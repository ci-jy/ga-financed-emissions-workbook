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Emission Factors" sheetId="3" state="visible" r:id="rId3"/>
    <sheet xmlns:r="http://schemas.openxmlformats.org/officeDocument/2006/relationships" name="Crosswalk" sheetId="4" state="visible" r:id="rId4"/>
    <sheet xmlns:r="http://schemas.openxmlformats.org/officeDocument/2006/relationships" name="Holdings" sheetId="5" state="visible" r:id="rId5"/>
    <sheet xmlns:r="http://schemas.openxmlformats.org/officeDocument/2006/relationships" name="Financed Emissions" sheetId="6" state="visible" r:id="rId6"/>
    <sheet xmlns:r="http://schemas.openxmlformats.org/officeDocument/2006/relationships" name="WACI" sheetId="7" state="visible" r:id="rId7"/>
    <sheet xmlns:r="http://schemas.openxmlformats.org/officeDocument/2006/relationships" name="Benchmark Comparison" sheetId="8" state="visible" r:id="rId8"/>
    <sheet xmlns:r="http://schemas.openxmlformats.org/officeDocument/2006/relationships" name="Carbon Price Scenarios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StatCan GHG" sheetId="11" state="visible" r:id="rId11"/>
    <sheet xmlns:r="http://schemas.openxmlformats.org/officeDocument/2006/relationships" name="StatCan Output" sheetId="12" state="visible" r:id="rId12"/>
    <sheet xmlns:r="http://schemas.openxmlformats.org/officeDocument/2006/relationships" name="StatCan 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"/>
    <numFmt numFmtId="166" formatCode="0.0%"/>
    <numFmt numFmtId="167" formatCode="0.00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0" fontId="4" fillId="3" borderId="0" applyAlignment="1" pivotButton="0" quotePrefix="0" xfId="0">
      <alignment vertical="top" wrapText="1"/>
    </xf>
    <xf numFmtId="4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9" fontId="0" fillId="2" borderId="0" pivotButton="0" quotePrefix="0" xfId="0"/>
    <xf numFmtId="165" fontId="0" fillId="0" borderId="0" pivotButton="0" quotePrefix="0" xfId="0"/>
    <xf numFmtId="0" fontId="4" fillId="3" borderId="0" pivotButton="0" quotePrefix="0" xfId="0"/>
    <xf numFmtId="9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2" customWidth="1" min="1" max="1"/>
    <col width="36" customWidth="1" min="2" max="2"/>
    <col width="24" customWidth="1" min="3" max="3"/>
    <col width="14" customWidth="1" min="4" max="4"/>
  </cols>
  <sheetData>
    <row r="1">
      <c r="A1" s="1" t="inlineStr">
        <is>
          <t>Climate metrics summary - general account corporate bond book (SYNTHETIC portfolio)</t>
        </is>
      </c>
    </row>
    <row r="2">
      <c r="A2" s="2" t="inlineStr">
        <is>
          <t>B-15 style metrics: financed emissions (PCAF), carbon footprint, WACI vs benchmark, carbon-price stress. Emission factors: Statistics Canada tables 38-10-0097-01 and 36-10-0488-01.</t>
        </is>
      </c>
    </row>
    <row r="3">
      <c r="A3" t="inlineStr">
        <is>
          <t>Reporting year</t>
        </is>
      </c>
      <c r="B3" s="3">
        <f>Inputs!B3</f>
        <v/>
      </c>
    </row>
    <row r="4">
      <c r="A4" t="inlineStr">
        <is>
          <t>Holdings</t>
        </is>
      </c>
      <c r="B4" s="3">
        <f>COUNTA(Holdings!A2:A301)</f>
        <v/>
      </c>
    </row>
    <row r="5">
      <c r="A5" t="inlineStr">
        <is>
          <t>Book value ($M CAD)</t>
        </is>
      </c>
      <c r="B5" s="4">
        <f>SUM(Holdings!F2:F301)</f>
        <v/>
      </c>
    </row>
    <row r="6">
      <c r="A6" t="inlineStr">
        <is>
          <t>Book ties to stated total</t>
        </is>
      </c>
      <c r="B6">
        <f>IF(ABS(B5-Inputs!B4)&lt;0.05,"PASS","FAIL")</f>
        <v/>
      </c>
    </row>
    <row r="7">
      <c r="A7" t="inlineStr">
        <is>
          <t>Financed emissions (tCO2e)</t>
        </is>
      </c>
      <c r="B7" s="5">
        <f>'Financed Emissions'!Q27</f>
        <v/>
      </c>
    </row>
    <row r="8">
      <c r="A8" t="inlineStr">
        <is>
          <t>Carbon footprint (tCO2e per $M invested)</t>
        </is>
      </c>
      <c r="B8" s="4">
        <f>WACI!B31</f>
        <v/>
      </c>
    </row>
    <row r="9">
      <c r="A9" t="inlineStr">
        <is>
          <t>Portfolio WACI (tCO2e per $M revenue)</t>
        </is>
      </c>
      <c r="B9" s="4">
        <f>'Benchmark Comparison'!B29</f>
        <v/>
      </c>
    </row>
    <row r="10">
      <c r="A10" t="inlineStr">
        <is>
          <t>Benchmark WACI (tCO2e per $M revenue)</t>
        </is>
      </c>
      <c r="B10" s="4">
        <f>'Benchmark Comparison'!B30</f>
        <v/>
      </c>
    </row>
    <row r="11">
      <c r="A11" t="inlineStr">
        <is>
          <t>Portfolio WACI vs benchmark</t>
        </is>
      </c>
      <c r="B11" s="6">
        <f>'Benchmark Comparison'!B31</f>
        <v/>
      </c>
    </row>
    <row r="12">
      <c r="A12" t="inlineStr">
        <is>
          <t>Weighted PCAF data-quality score (1 best - 5 worst)</t>
        </is>
      </c>
      <c r="B12" s="7">
        <f>'Financed Emissions'!S27</f>
        <v/>
      </c>
    </row>
    <row r="13">
      <c r="A13" t="inlineStr">
        <is>
          <t>Share of book at PCAF score 5</t>
        </is>
      </c>
      <c r="B13" s="6">
        <f>SUMIFS('Financed Emissions'!C5:C304,'Financed Emissions'!J5:J304,5)/B5</f>
        <v/>
      </c>
    </row>
    <row r="14">
      <c r="A14" t="inlineStr">
        <is>
          <t>Portfolio-sector share of StatCan industry emissions</t>
        </is>
      </c>
      <c r="B14" s="6">
        <f>SUMIFS('Emission Factors'!C:C,'Emission Factors'!B:B,B3)/INDEX('StatCan Totals'!B:B,MATCH(B3,'StatCan Totals'!A:A,0))</f>
        <v/>
      </c>
    </row>
    <row r="15">
      <c r="A15" t="inlineStr">
        <is>
          <t>StatCan reconciliation (all years)</t>
        </is>
      </c>
      <c r="B15">
        <f>Reconciliation!B21</f>
        <v/>
      </c>
    </row>
    <row r="18">
      <c r="A18" s="8" t="inlineStr">
        <is>
          <t>Rank</t>
        </is>
      </c>
      <c r="B18" s="8" t="inlineStr">
        <is>
          <t>Top sectors by financed emissions</t>
        </is>
      </c>
      <c r="C18" s="8" t="inlineStr">
        <is>
          <t>Financed emissions (tCO2e)</t>
        </is>
      </c>
      <c r="D18" s="8" t="inlineStr">
        <is>
          <t>Share of total</t>
        </is>
      </c>
    </row>
    <row r="19">
      <c r="A19" t="n">
        <v>1</v>
      </c>
      <c r="B19">
        <f>INDEX('Financed Emissions'!$N$5:$N$26,MATCH(C19,'Financed Emissions'!$Q$5:$Q$26,0))</f>
        <v/>
      </c>
      <c r="C19" s="5">
        <f>LARGE('Financed Emissions'!$Q$5:$Q$26,A19)</f>
        <v/>
      </c>
      <c r="D19" s="6">
        <f>C19/'Financed Emissions'!$Q$27</f>
        <v/>
      </c>
    </row>
    <row r="20">
      <c r="A20" t="n">
        <v>2</v>
      </c>
      <c r="B20">
        <f>INDEX('Financed Emissions'!$N$5:$N$26,MATCH(C20,'Financed Emissions'!$Q$5:$Q$26,0))</f>
        <v/>
      </c>
      <c r="C20" s="5">
        <f>LARGE('Financed Emissions'!$Q$5:$Q$26,A20)</f>
        <v/>
      </c>
      <c r="D20" s="6">
        <f>C20/'Financed Emissions'!$Q$27</f>
        <v/>
      </c>
    </row>
    <row r="21">
      <c r="A21" t="n">
        <v>3</v>
      </c>
      <c r="B21">
        <f>INDEX('Financed Emissions'!$N$5:$N$26,MATCH(C21,'Financed Emissions'!$Q$5:$Q$26,0))</f>
        <v/>
      </c>
      <c r="C21" s="5">
        <f>LARGE('Financed Emissions'!$Q$5:$Q$26,A21)</f>
        <v/>
      </c>
      <c r="D21" s="6">
        <f>C21/'Financed Emissions'!$Q$27</f>
        <v/>
      </c>
    </row>
    <row r="22">
      <c r="A22" t="n">
        <v>4</v>
      </c>
      <c r="B22">
        <f>INDEX('Financed Emissions'!$N$5:$N$26,MATCH(C22,'Financed Emissions'!$Q$5:$Q$26,0))</f>
        <v/>
      </c>
      <c r="C22" s="5">
        <f>LARGE('Financed Emissions'!$Q$5:$Q$26,A22)</f>
        <v/>
      </c>
      <c r="D22" s="6">
        <f>C22/'Financed Emissions'!$Q$27</f>
        <v/>
      </c>
    </row>
    <row r="23">
      <c r="A23" t="n">
        <v>5</v>
      </c>
      <c r="B23">
        <f>INDEX('Financed Emissions'!$N$5:$N$26,MATCH(C23,'Financed Emissions'!$Q$5:$Q$26,0))</f>
        <v/>
      </c>
      <c r="C23" s="5">
        <f>LARGE('Financed Emissions'!$Q$5:$Q$26,A23)</f>
        <v/>
      </c>
      <c r="D23" s="6">
        <f>C23/'Financed Emissions'!$Q$27</f>
        <v/>
      </c>
    </row>
    <row r="26">
      <c r="A26" s="8" t="inlineStr">
        <is>
          <t>Scenario</t>
        </is>
      </c>
      <c r="B26" s="8" t="inlineStr">
        <is>
          <t>Carbon cost in headline year ($M CAD)</t>
        </is>
      </c>
      <c r="C26" s="8" t="inlineStr">
        <is>
          <t>Share of holdings</t>
        </is>
      </c>
    </row>
    <row r="27">
      <c r="A27">
        <f>Inputs!A9</f>
        <v/>
      </c>
      <c r="B27" s="9">
        <f>INDEX('Carbon Price Scenarios'!$B$11:$H$13,1,MATCH(Inputs!$B$5,'Carbon Price Scenarios'!$B$4:$H$4,0))</f>
        <v/>
      </c>
      <c r="C27" s="10">
        <f>B27/$B$5</f>
        <v/>
      </c>
    </row>
    <row r="28">
      <c r="A28">
        <f>Inputs!A10</f>
        <v/>
      </c>
      <c r="B28" s="9">
        <f>INDEX('Carbon Price Scenarios'!$B$11:$H$13,2,MATCH(Inputs!$B$5,'Carbon Price Scenarios'!$B$4:$H$4,0))</f>
        <v/>
      </c>
      <c r="C28" s="10">
        <f>B28/$B$5</f>
        <v/>
      </c>
    </row>
    <row r="29">
      <c r="A29">
        <f>Inputs!A11</f>
        <v/>
      </c>
      <c r="B29" s="9">
        <f>INDEX('Carbon Price Scenarios'!$B$11:$H$13,3,MATCH(Inputs!$B$5,'Carbon Price Scenarios'!$B$4:$H$4,0))</f>
        <v/>
      </c>
      <c r="C29" s="10">
        <f>B29/$B$5</f>
        <v/>
      </c>
    </row>
    <row r="31">
      <c r="A31" s="2" t="inlineStr">
        <is>
          <t>Portfolio is synthetic (no real issuers). Emission factors are economy-wide sector averages (PCAF score 4-5); issuer-reported emissions would replace them where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9" max="9"/>
    <col width="90" customWidth="1" min="10" max="10"/>
  </cols>
  <sheetData>
    <row r="1">
      <c r="A1" s="1" t="inlineStr">
        <is>
          <t>Inputs and assumptions</t>
        </is>
      </c>
    </row>
    <row r="2">
      <c r="A2" s="2" t="inlineStr">
        <is>
          <t>Yellow cells are inputs: change them and every other tab recalculates.</t>
        </is>
      </c>
    </row>
    <row r="3">
      <c r="A3" t="inlineStr">
        <is>
          <t>Reporting year (emission factor vintage)</t>
        </is>
      </c>
      <c r="B3" s="11" t="n">
        <v>2022</v>
      </c>
    </row>
    <row r="4">
      <c r="A4" t="inlineStr">
        <is>
          <t>Stated book total ($M CAD)</t>
        </is>
      </c>
      <c r="B4" s="11" t="n">
        <v>12000</v>
      </c>
    </row>
    <row r="5">
      <c r="A5" t="inlineStr">
        <is>
          <t>Headline scenario year</t>
        </is>
      </c>
      <c r="B5" s="11" t="n">
        <v>2030</v>
      </c>
    </row>
    <row r="7">
      <c r="A7" s="12" t="inlineStr">
        <is>
          <t>Carbon price paths ($CAD per tCO2e, nominal)</t>
        </is>
      </c>
    </row>
    <row r="8">
      <c r="A8" s="8" t="inlineStr">
        <is>
          <t>Scenario</t>
        </is>
      </c>
      <c r="B8" s="8" t="n">
        <v>2024</v>
      </c>
      <c r="C8" s="8" t="n">
        <v>2025</v>
      </c>
      <c r="D8" s="8" t="n">
        <v>2026</v>
      </c>
      <c r="E8" s="8" t="n">
        <v>2027</v>
      </c>
      <c r="F8" s="8" t="n">
        <v>2028</v>
      </c>
      <c r="G8" s="8" t="n">
        <v>2029</v>
      </c>
      <c r="H8" s="8" t="n">
        <v>2030</v>
      </c>
      <c r="I8" s="8" t="inlineStr">
        <is>
          <t>Free allocation share</t>
        </is>
      </c>
      <c r="J8" s="8" t="inlineStr">
        <is>
          <t>Description</t>
        </is>
      </c>
    </row>
    <row r="9">
      <c r="A9" t="inlineStr">
        <is>
          <t>Current federal policy</t>
        </is>
      </c>
      <c r="B9" s="11" t="n">
        <v>80</v>
      </c>
      <c r="C9" s="11" t="n">
        <v>95</v>
      </c>
      <c r="D9" s="11" t="n">
        <v>110</v>
      </c>
      <c r="E9" s="11" t="n">
        <v>125</v>
      </c>
      <c r="F9" s="11" t="n">
        <v>140</v>
      </c>
      <c r="G9" s="11" t="n">
        <v>155</v>
      </c>
      <c r="H9" s="11" t="n">
        <v>170</v>
      </c>
      <c r="I9" s="13" t="n">
        <v>0.8</v>
      </c>
      <c r="J9" t="inlineStr">
        <is>
          <t>Federal OBPS benchmark price rising $15/t a year to $170/t in 2030; large emitters pay only on emissions above their output-based standard</t>
        </is>
      </c>
    </row>
    <row r="10">
      <c r="A10" t="inlineStr">
        <is>
          <t>Net-zero shadow price</t>
        </is>
      </c>
      <c r="B10" s="11" t="n">
        <v>150</v>
      </c>
      <c r="C10" s="11" t="n">
        <v>175</v>
      </c>
      <c r="D10" s="11" t="n">
        <v>200</v>
      </c>
      <c r="E10" s="11" t="n">
        <v>225</v>
      </c>
      <c r="F10" s="11" t="n">
        <v>250</v>
      </c>
      <c r="G10" s="11" t="n">
        <v>275</v>
      </c>
      <c r="H10" s="11" t="n">
        <v>300</v>
      </c>
      <c r="I10" s="13" t="n">
        <v>0.5</v>
      </c>
      <c r="J10" t="inlineStr">
        <is>
          <t>Illustrative internal shadow price consistent with a net-zero 2050 pathway; less free allocation</t>
        </is>
      </c>
    </row>
    <row r="11">
      <c r="A11" t="inlineStr">
        <is>
          <t>Delayed transition</t>
        </is>
      </c>
      <c r="B11" s="11" t="n">
        <v>80</v>
      </c>
      <c r="C11" s="11" t="n">
        <v>80</v>
      </c>
      <c r="D11" s="11" t="n">
        <v>80</v>
      </c>
      <c r="E11" s="11" t="n">
        <v>80</v>
      </c>
      <c r="F11" s="11" t="n">
        <v>140</v>
      </c>
      <c r="G11" s="11" t="n">
        <v>200</v>
      </c>
      <c r="H11" s="11" t="n">
        <v>260</v>
      </c>
      <c r="I11" s="13" t="n">
        <v>0.8</v>
      </c>
      <c r="J11" t="inlineStr">
        <is>
          <t>Illustrative path: price frozen to 2027 then a sharp catch-up toward net-zero levels</t>
        </is>
      </c>
    </row>
    <row r="13">
      <c r="A13" s="12" t="inlineStr">
        <is>
          <t>Revenue-to-EVIC proxy by sector (used when issuer revenue is not on file, PCAF score 5)</t>
        </is>
      </c>
    </row>
    <row r="14">
      <c r="A14" s="8" t="inlineStr">
        <is>
          <t>Portfolio sector</t>
        </is>
      </c>
      <c r="B14" s="8" t="inlineStr">
        <is>
          <t>Revenue / EVIC</t>
        </is>
      </c>
    </row>
    <row r="15">
      <c r="A15" t="inlineStr">
        <is>
          <t>Oil &amp; Gas Producers</t>
        </is>
      </c>
      <c r="B15" s="11" t="n">
        <v>0.55</v>
      </c>
    </row>
    <row r="16">
      <c r="A16" t="inlineStr">
        <is>
          <t>Petroleum Refining</t>
        </is>
      </c>
      <c r="B16" s="11" t="n">
        <v>1.4</v>
      </c>
    </row>
    <row r="17">
      <c r="A17" t="inlineStr">
        <is>
          <t>Pipelines</t>
        </is>
      </c>
      <c r="B17" s="11" t="n">
        <v>0.25</v>
      </c>
    </row>
    <row r="18">
      <c r="A18" t="inlineStr">
        <is>
          <t>Electric Utilities</t>
        </is>
      </c>
      <c r="B18" s="11" t="n">
        <v>0.3</v>
      </c>
    </row>
    <row r="19">
      <c r="A19" t="inlineStr">
        <is>
          <t>Gas Distribution &amp; Water</t>
        </is>
      </c>
      <c r="B19" s="11" t="n">
        <v>0.35</v>
      </c>
    </row>
    <row r="20">
      <c r="A20" t="inlineStr">
        <is>
          <t>Mining &amp; Quarrying</t>
        </is>
      </c>
      <c r="B20" s="11" t="n">
        <v>0.5</v>
      </c>
    </row>
    <row r="21">
      <c r="A21" t="inlineStr">
        <is>
          <t>Cement &amp; Building Materials</t>
        </is>
      </c>
      <c r="B21" s="11" t="n">
        <v>0.7</v>
      </c>
    </row>
    <row r="22">
      <c r="A22" t="inlineStr">
        <is>
          <t>Metals &amp; Steel</t>
        </is>
      </c>
      <c r="B22" s="11" t="n">
        <v>0.9</v>
      </c>
    </row>
    <row r="23">
      <c r="A23" t="inlineStr">
        <is>
          <t>Chemicals &amp; Plastics</t>
        </is>
      </c>
      <c r="B23" s="11" t="n">
        <v>0.8</v>
      </c>
    </row>
    <row r="24">
      <c r="A24" t="inlineStr">
        <is>
          <t>Forest &amp; Paper Products</t>
        </is>
      </c>
      <c r="B24" s="11" t="n">
        <v>0.85</v>
      </c>
    </row>
    <row r="25">
      <c r="A25" t="inlineStr">
        <is>
          <t>Agriculture &amp; Food</t>
        </is>
      </c>
      <c r="B25" s="11" t="n">
        <v>1.1</v>
      </c>
    </row>
    <row r="26">
      <c r="A26" t="inlineStr">
        <is>
          <t>Airlines</t>
        </is>
      </c>
      <c r="B26" s="11" t="n">
        <v>0.9</v>
      </c>
    </row>
    <row r="27">
      <c r="A27" t="inlineStr">
        <is>
          <t>Rail</t>
        </is>
      </c>
      <c r="B27" s="11" t="n">
        <v>0.3</v>
      </c>
    </row>
    <row r="28">
      <c r="A28" t="inlineStr">
        <is>
          <t>Trucking, Marine &amp; Logistics</t>
        </is>
      </c>
      <c r="B28" s="11" t="n">
        <v>0.9</v>
      </c>
    </row>
    <row r="29">
      <c r="A29" t="inlineStr">
        <is>
          <t>Construction</t>
        </is>
      </c>
      <c r="B29" s="11" t="n">
        <v>1.2</v>
      </c>
    </row>
    <row r="30">
      <c r="A30" t="inlineStr">
        <is>
          <t>Autos &amp; Transport Equipment</t>
        </is>
      </c>
      <c r="B30" s="11" t="n">
        <v>1</v>
      </c>
    </row>
    <row r="31">
      <c r="A31" t="inlineStr">
        <is>
          <t>Industrial &amp; Tech Manufacturing</t>
        </is>
      </c>
      <c r="B31" s="11" t="n">
        <v>0.7</v>
      </c>
    </row>
    <row r="32">
      <c r="A32" t="inlineStr">
        <is>
          <t>Retail &amp; Wholesale</t>
        </is>
      </c>
      <c r="B32" s="11" t="n">
        <v>1.3</v>
      </c>
    </row>
    <row r="33">
      <c r="A33" t="inlineStr">
        <is>
          <t>Telecom &amp; Media</t>
        </is>
      </c>
      <c r="B33" s="11" t="n">
        <v>0.35</v>
      </c>
    </row>
    <row r="34">
      <c r="A34" t="inlineStr">
        <is>
          <t>Banks &amp; Insurance</t>
        </is>
      </c>
      <c r="B34" s="11" t="n">
        <v>0.15</v>
      </c>
    </row>
    <row r="35">
      <c r="A35" t="inlineStr">
        <is>
          <t>Real Estate</t>
        </is>
      </c>
      <c r="B35" s="11" t="n">
        <v>0.12</v>
      </c>
    </row>
    <row r="36">
      <c r="A36" t="inlineStr">
        <is>
          <t>Business &amp; Consumer Services</t>
        </is>
      </c>
      <c r="B36" s="11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2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4" customWidth="1" min="3" max="3"/>
    <col width="14" customWidth="1" min="4" max="4"/>
    <col width="14" customWidth="1" min="5" max="5"/>
    <col width="34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Sector emission factors (tCO2e per $M CAD of gross output)</t>
        </is>
      </c>
    </row>
    <row r="2">
      <c r="A2" s="2" t="inlineStr">
        <is>
          <t>Emissions and output are SUMIFS over the StatCan sheets by portfolio sector and year.</t>
        </is>
      </c>
    </row>
    <row r="4">
      <c r="A4" s="8" t="inlineStr">
        <is>
          <t>Portfolio sector</t>
        </is>
      </c>
      <c r="B4" s="8" t="inlineStr">
        <is>
          <t>Year</t>
        </is>
      </c>
      <c r="C4" s="8" t="inlineStr">
        <is>
          <t>Emissions (kt CO2e)</t>
        </is>
      </c>
      <c r="D4" s="8" t="inlineStr">
        <is>
          <t>Gross output ($M)</t>
        </is>
      </c>
      <c r="E4" s="8" t="inlineStr">
        <is>
          <t>Emission factor (t/$M)</t>
        </is>
      </c>
      <c r="G4" s="8" t="inlineStr">
        <is>
          <t>Portfolio sector</t>
        </is>
      </c>
      <c r="H4" s="8" t="inlineStr">
        <is>
          <t>EF in reporting year (t/$M)</t>
        </is>
      </c>
      <c r="I4" s="8" t="inlineStr">
        <is>
          <t>Output in reporting year ($M)</t>
        </is>
      </c>
      <c r="J4" s="8" t="inlineStr">
        <is>
          <t>Emissions in reporting year (kt)</t>
        </is>
      </c>
    </row>
    <row r="5">
      <c r="A5" t="inlineStr">
        <is>
          <t>Oil &amp; Gas Producers</t>
        </is>
      </c>
      <c r="B5" t="n">
        <v>2009</v>
      </c>
      <c r="C5" s="5">
        <f>SUMIFS('StatCan GHG'!$D$2:$D$1692,'StatCan GHG'!$E$2:$E$1692,A5,'StatCan GHG'!$A$2:$A$1692,B5)</f>
        <v/>
      </c>
      <c r="D5" s="5">
        <f>SUMIFS('StatCan Output'!$D$2:$D$1504,'StatCan Output'!$E$2:$E$1504,A5,'StatCan Output'!$A$2:$A$1504,B5)</f>
        <v/>
      </c>
      <c r="E5" s="4">
        <f>IF(D5&gt;0,C5*1000/D5,0)</f>
        <v/>
      </c>
      <c r="G5" t="inlineStr">
        <is>
          <t>Oil &amp; Gas Producers</t>
        </is>
      </c>
      <c r="H5" s="4">
        <f>SUMIFS($E$5:$E$312,$A$5:$A$312,G5,$B$5:$B$312,Inputs!$B$3)</f>
        <v/>
      </c>
      <c r="I5" s="5">
        <f>SUMIFS($D$5:$D$312,$A$5:$A$312,G5,$B$5:$B$312,Inputs!$B$3)</f>
        <v/>
      </c>
      <c r="J5" s="5">
        <f>SUMIFS($C$5:$C$312,$A$5:$A$312,G5,$B$5:$B$312,Inputs!$B$3)</f>
        <v/>
      </c>
    </row>
    <row r="6">
      <c r="A6" t="inlineStr">
        <is>
          <t>Oil &amp; Gas Producers</t>
        </is>
      </c>
      <c r="B6" t="n">
        <v>2010</v>
      </c>
      <c r="C6" s="5">
        <f>SUMIFS('StatCan GHG'!$D$2:$D$1692,'StatCan GHG'!$E$2:$E$1692,A6,'StatCan GHG'!$A$2:$A$1692,B6)</f>
        <v/>
      </c>
      <c r="D6" s="5">
        <f>SUMIFS('StatCan Output'!$D$2:$D$1504,'StatCan Output'!$E$2:$E$1504,A6,'StatCan Output'!$A$2:$A$1504,B6)</f>
        <v/>
      </c>
      <c r="E6" s="4">
        <f>IF(D6&gt;0,C6*1000/D6,0)</f>
        <v/>
      </c>
      <c r="G6" t="inlineStr">
        <is>
          <t>Petroleum Refining</t>
        </is>
      </c>
      <c r="H6" s="4">
        <f>SUMIFS($E$5:$E$312,$A$5:$A$312,G6,$B$5:$B$312,Inputs!$B$3)</f>
        <v/>
      </c>
      <c r="I6" s="5">
        <f>SUMIFS($D$5:$D$312,$A$5:$A$312,G6,$B$5:$B$312,Inputs!$B$3)</f>
        <v/>
      </c>
      <c r="J6" s="5">
        <f>SUMIFS($C$5:$C$312,$A$5:$A$312,G6,$B$5:$B$312,Inputs!$B$3)</f>
        <v/>
      </c>
    </row>
    <row r="7">
      <c r="A7" t="inlineStr">
        <is>
          <t>Oil &amp; Gas Producers</t>
        </is>
      </c>
      <c r="B7" t="n">
        <v>2011</v>
      </c>
      <c r="C7" s="5">
        <f>SUMIFS('StatCan GHG'!$D$2:$D$1692,'StatCan GHG'!$E$2:$E$1692,A7,'StatCan GHG'!$A$2:$A$1692,B7)</f>
        <v/>
      </c>
      <c r="D7" s="5">
        <f>SUMIFS('StatCan Output'!$D$2:$D$1504,'StatCan Output'!$E$2:$E$1504,A7,'StatCan Output'!$A$2:$A$1504,B7)</f>
        <v/>
      </c>
      <c r="E7" s="4">
        <f>IF(D7&gt;0,C7*1000/D7,0)</f>
        <v/>
      </c>
      <c r="G7" t="inlineStr">
        <is>
          <t>Pipelines</t>
        </is>
      </c>
      <c r="H7" s="4">
        <f>SUMIFS($E$5:$E$312,$A$5:$A$312,G7,$B$5:$B$312,Inputs!$B$3)</f>
        <v/>
      </c>
      <c r="I7" s="5">
        <f>SUMIFS($D$5:$D$312,$A$5:$A$312,G7,$B$5:$B$312,Inputs!$B$3)</f>
        <v/>
      </c>
      <c r="J7" s="5">
        <f>SUMIFS($C$5:$C$312,$A$5:$A$312,G7,$B$5:$B$312,Inputs!$B$3)</f>
        <v/>
      </c>
    </row>
    <row r="8">
      <c r="A8" t="inlineStr">
        <is>
          <t>Oil &amp; Gas Producers</t>
        </is>
      </c>
      <c r="B8" t="n">
        <v>2012</v>
      </c>
      <c r="C8" s="5">
        <f>SUMIFS('StatCan GHG'!$D$2:$D$1692,'StatCan GHG'!$E$2:$E$1692,A8,'StatCan GHG'!$A$2:$A$1692,B8)</f>
        <v/>
      </c>
      <c r="D8" s="5">
        <f>SUMIFS('StatCan Output'!$D$2:$D$1504,'StatCan Output'!$E$2:$E$1504,A8,'StatCan Output'!$A$2:$A$1504,B8)</f>
        <v/>
      </c>
      <c r="E8" s="4">
        <f>IF(D8&gt;0,C8*1000/D8,0)</f>
        <v/>
      </c>
      <c r="G8" t="inlineStr">
        <is>
          <t>Electric Utilities</t>
        </is>
      </c>
      <c r="H8" s="4">
        <f>SUMIFS($E$5:$E$312,$A$5:$A$312,G8,$B$5:$B$312,Inputs!$B$3)</f>
        <v/>
      </c>
      <c r="I8" s="5">
        <f>SUMIFS($D$5:$D$312,$A$5:$A$312,G8,$B$5:$B$312,Inputs!$B$3)</f>
        <v/>
      </c>
      <c r="J8" s="5">
        <f>SUMIFS($C$5:$C$312,$A$5:$A$312,G8,$B$5:$B$312,Inputs!$B$3)</f>
        <v/>
      </c>
    </row>
    <row r="9">
      <c r="A9" t="inlineStr">
        <is>
          <t>Oil &amp; Gas Producers</t>
        </is>
      </c>
      <c r="B9" t="n">
        <v>2013</v>
      </c>
      <c r="C9" s="5">
        <f>SUMIFS('StatCan GHG'!$D$2:$D$1692,'StatCan GHG'!$E$2:$E$1692,A9,'StatCan GHG'!$A$2:$A$1692,B9)</f>
        <v/>
      </c>
      <c r="D9" s="5">
        <f>SUMIFS('StatCan Output'!$D$2:$D$1504,'StatCan Output'!$E$2:$E$1504,A9,'StatCan Output'!$A$2:$A$1504,B9)</f>
        <v/>
      </c>
      <c r="E9" s="4">
        <f>IF(D9&gt;0,C9*1000/D9,0)</f>
        <v/>
      </c>
      <c r="G9" t="inlineStr">
        <is>
          <t>Gas Distribution &amp; Water</t>
        </is>
      </c>
      <c r="H9" s="4">
        <f>SUMIFS($E$5:$E$312,$A$5:$A$312,G9,$B$5:$B$312,Inputs!$B$3)</f>
        <v/>
      </c>
      <c r="I9" s="5">
        <f>SUMIFS($D$5:$D$312,$A$5:$A$312,G9,$B$5:$B$312,Inputs!$B$3)</f>
        <v/>
      </c>
      <c r="J9" s="5">
        <f>SUMIFS($C$5:$C$312,$A$5:$A$312,G9,$B$5:$B$312,Inputs!$B$3)</f>
        <v/>
      </c>
    </row>
    <row r="10">
      <c r="A10" t="inlineStr">
        <is>
          <t>Oil &amp; Gas Producers</t>
        </is>
      </c>
      <c r="B10" t="n">
        <v>2014</v>
      </c>
      <c r="C10" s="5">
        <f>SUMIFS('StatCan GHG'!$D$2:$D$1692,'StatCan GHG'!$E$2:$E$1692,A10,'StatCan GHG'!$A$2:$A$1692,B10)</f>
        <v/>
      </c>
      <c r="D10" s="5">
        <f>SUMIFS('StatCan Output'!$D$2:$D$1504,'StatCan Output'!$E$2:$E$1504,A10,'StatCan Output'!$A$2:$A$1504,B10)</f>
        <v/>
      </c>
      <c r="E10" s="4">
        <f>IF(D10&gt;0,C10*1000/D10,0)</f>
        <v/>
      </c>
      <c r="G10" t="inlineStr">
        <is>
          <t>Mining &amp; Quarrying</t>
        </is>
      </c>
      <c r="H10" s="4">
        <f>SUMIFS($E$5:$E$312,$A$5:$A$312,G10,$B$5:$B$312,Inputs!$B$3)</f>
        <v/>
      </c>
      <c r="I10" s="5">
        <f>SUMIFS($D$5:$D$312,$A$5:$A$312,G10,$B$5:$B$312,Inputs!$B$3)</f>
        <v/>
      </c>
      <c r="J10" s="5">
        <f>SUMIFS($C$5:$C$312,$A$5:$A$312,G10,$B$5:$B$312,Inputs!$B$3)</f>
        <v/>
      </c>
    </row>
    <row r="11">
      <c r="A11" t="inlineStr">
        <is>
          <t>Oil &amp; Gas Producers</t>
        </is>
      </c>
      <c r="B11" t="n">
        <v>2015</v>
      </c>
      <c r="C11" s="5">
        <f>SUMIFS('StatCan GHG'!$D$2:$D$1692,'StatCan GHG'!$E$2:$E$1692,A11,'StatCan GHG'!$A$2:$A$1692,B11)</f>
        <v/>
      </c>
      <c r="D11" s="5">
        <f>SUMIFS('StatCan Output'!$D$2:$D$1504,'StatCan Output'!$E$2:$E$1504,A11,'StatCan Output'!$A$2:$A$1504,B11)</f>
        <v/>
      </c>
      <c r="E11" s="4">
        <f>IF(D11&gt;0,C11*1000/D11,0)</f>
        <v/>
      </c>
      <c r="G11" t="inlineStr">
        <is>
          <t>Cement &amp; Building Materials</t>
        </is>
      </c>
      <c r="H11" s="4">
        <f>SUMIFS($E$5:$E$312,$A$5:$A$312,G11,$B$5:$B$312,Inputs!$B$3)</f>
        <v/>
      </c>
      <c r="I11" s="5">
        <f>SUMIFS($D$5:$D$312,$A$5:$A$312,G11,$B$5:$B$312,Inputs!$B$3)</f>
        <v/>
      </c>
      <c r="J11" s="5">
        <f>SUMIFS($C$5:$C$312,$A$5:$A$312,G11,$B$5:$B$312,Inputs!$B$3)</f>
        <v/>
      </c>
    </row>
    <row r="12">
      <c r="A12" t="inlineStr">
        <is>
          <t>Oil &amp; Gas Producers</t>
        </is>
      </c>
      <c r="B12" t="n">
        <v>2016</v>
      </c>
      <c r="C12" s="5">
        <f>SUMIFS('StatCan GHG'!$D$2:$D$1692,'StatCan GHG'!$E$2:$E$1692,A12,'StatCan GHG'!$A$2:$A$1692,B12)</f>
        <v/>
      </c>
      <c r="D12" s="5">
        <f>SUMIFS('StatCan Output'!$D$2:$D$1504,'StatCan Output'!$E$2:$E$1504,A12,'StatCan Output'!$A$2:$A$1504,B12)</f>
        <v/>
      </c>
      <c r="E12" s="4">
        <f>IF(D12&gt;0,C12*1000/D12,0)</f>
        <v/>
      </c>
      <c r="G12" t="inlineStr">
        <is>
          <t>Metals &amp; Steel</t>
        </is>
      </c>
      <c r="H12" s="4">
        <f>SUMIFS($E$5:$E$312,$A$5:$A$312,G12,$B$5:$B$312,Inputs!$B$3)</f>
        <v/>
      </c>
      <c r="I12" s="5">
        <f>SUMIFS($D$5:$D$312,$A$5:$A$312,G12,$B$5:$B$312,Inputs!$B$3)</f>
        <v/>
      </c>
      <c r="J12" s="5">
        <f>SUMIFS($C$5:$C$312,$A$5:$A$312,G12,$B$5:$B$312,Inputs!$B$3)</f>
        <v/>
      </c>
    </row>
    <row r="13">
      <c r="A13" t="inlineStr">
        <is>
          <t>Oil &amp; Gas Producers</t>
        </is>
      </c>
      <c r="B13" t="n">
        <v>2017</v>
      </c>
      <c r="C13" s="5">
        <f>SUMIFS('StatCan GHG'!$D$2:$D$1692,'StatCan GHG'!$E$2:$E$1692,A13,'StatCan GHG'!$A$2:$A$1692,B13)</f>
        <v/>
      </c>
      <c r="D13" s="5">
        <f>SUMIFS('StatCan Output'!$D$2:$D$1504,'StatCan Output'!$E$2:$E$1504,A13,'StatCan Output'!$A$2:$A$1504,B13)</f>
        <v/>
      </c>
      <c r="E13" s="4">
        <f>IF(D13&gt;0,C13*1000/D13,0)</f>
        <v/>
      </c>
      <c r="G13" t="inlineStr">
        <is>
          <t>Chemicals &amp; Plastics</t>
        </is>
      </c>
      <c r="H13" s="4">
        <f>SUMIFS($E$5:$E$312,$A$5:$A$312,G13,$B$5:$B$312,Inputs!$B$3)</f>
        <v/>
      </c>
      <c r="I13" s="5">
        <f>SUMIFS($D$5:$D$312,$A$5:$A$312,G13,$B$5:$B$312,Inputs!$B$3)</f>
        <v/>
      </c>
      <c r="J13" s="5">
        <f>SUMIFS($C$5:$C$312,$A$5:$A$312,G13,$B$5:$B$312,Inputs!$B$3)</f>
        <v/>
      </c>
    </row>
    <row r="14">
      <c r="A14" t="inlineStr">
        <is>
          <t>Oil &amp; Gas Producers</t>
        </is>
      </c>
      <c r="B14" t="n">
        <v>2018</v>
      </c>
      <c r="C14" s="5">
        <f>SUMIFS('StatCan GHG'!$D$2:$D$1692,'StatCan GHG'!$E$2:$E$1692,A14,'StatCan GHG'!$A$2:$A$1692,B14)</f>
        <v/>
      </c>
      <c r="D14" s="5">
        <f>SUMIFS('StatCan Output'!$D$2:$D$1504,'StatCan Output'!$E$2:$E$1504,A14,'StatCan Output'!$A$2:$A$1504,B14)</f>
        <v/>
      </c>
      <c r="E14" s="4">
        <f>IF(D14&gt;0,C14*1000/D14,0)</f>
        <v/>
      </c>
      <c r="G14" t="inlineStr">
        <is>
          <t>Forest &amp; Paper Products</t>
        </is>
      </c>
      <c r="H14" s="4">
        <f>SUMIFS($E$5:$E$312,$A$5:$A$312,G14,$B$5:$B$312,Inputs!$B$3)</f>
        <v/>
      </c>
      <c r="I14" s="5">
        <f>SUMIFS($D$5:$D$312,$A$5:$A$312,G14,$B$5:$B$312,Inputs!$B$3)</f>
        <v/>
      </c>
      <c r="J14" s="5">
        <f>SUMIFS($C$5:$C$312,$A$5:$A$312,G14,$B$5:$B$312,Inputs!$B$3)</f>
        <v/>
      </c>
    </row>
    <row r="15">
      <c r="A15" t="inlineStr">
        <is>
          <t>Oil &amp; Gas Producers</t>
        </is>
      </c>
      <c r="B15" t="n">
        <v>2019</v>
      </c>
      <c r="C15" s="5">
        <f>SUMIFS('StatCan GHG'!$D$2:$D$1692,'StatCan GHG'!$E$2:$E$1692,A15,'StatCan GHG'!$A$2:$A$1692,B15)</f>
        <v/>
      </c>
      <c r="D15" s="5">
        <f>SUMIFS('StatCan Output'!$D$2:$D$1504,'StatCan Output'!$E$2:$E$1504,A15,'StatCan Output'!$A$2:$A$1504,B15)</f>
        <v/>
      </c>
      <c r="E15" s="4">
        <f>IF(D15&gt;0,C15*1000/D15,0)</f>
        <v/>
      </c>
      <c r="G15" t="inlineStr">
        <is>
          <t>Agriculture &amp; Food</t>
        </is>
      </c>
      <c r="H15" s="4">
        <f>SUMIFS($E$5:$E$312,$A$5:$A$312,G15,$B$5:$B$312,Inputs!$B$3)</f>
        <v/>
      </c>
      <c r="I15" s="5">
        <f>SUMIFS($D$5:$D$312,$A$5:$A$312,G15,$B$5:$B$312,Inputs!$B$3)</f>
        <v/>
      </c>
      <c r="J15" s="5">
        <f>SUMIFS($C$5:$C$312,$A$5:$A$312,G15,$B$5:$B$312,Inputs!$B$3)</f>
        <v/>
      </c>
    </row>
    <row r="16">
      <c r="A16" t="inlineStr">
        <is>
          <t>Oil &amp; Gas Producers</t>
        </is>
      </c>
      <c r="B16" t="n">
        <v>2020</v>
      </c>
      <c r="C16" s="5">
        <f>SUMIFS('StatCan GHG'!$D$2:$D$1692,'StatCan GHG'!$E$2:$E$1692,A16,'StatCan GHG'!$A$2:$A$1692,B16)</f>
        <v/>
      </c>
      <c r="D16" s="5">
        <f>SUMIFS('StatCan Output'!$D$2:$D$1504,'StatCan Output'!$E$2:$E$1504,A16,'StatCan Output'!$A$2:$A$1504,B16)</f>
        <v/>
      </c>
      <c r="E16" s="4">
        <f>IF(D16&gt;0,C16*1000/D16,0)</f>
        <v/>
      </c>
      <c r="G16" t="inlineStr">
        <is>
          <t>Airlines</t>
        </is>
      </c>
      <c r="H16" s="4">
        <f>SUMIFS($E$5:$E$312,$A$5:$A$312,G16,$B$5:$B$312,Inputs!$B$3)</f>
        <v/>
      </c>
      <c r="I16" s="5">
        <f>SUMIFS($D$5:$D$312,$A$5:$A$312,G16,$B$5:$B$312,Inputs!$B$3)</f>
        <v/>
      </c>
      <c r="J16" s="5">
        <f>SUMIFS($C$5:$C$312,$A$5:$A$312,G16,$B$5:$B$312,Inputs!$B$3)</f>
        <v/>
      </c>
    </row>
    <row r="17">
      <c r="A17" t="inlineStr">
        <is>
          <t>Oil &amp; Gas Producers</t>
        </is>
      </c>
      <c r="B17" t="n">
        <v>2021</v>
      </c>
      <c r="C17" s="5">
        <f>SUMIFS('StatCan GHG'!$D$2:$D$1692,'StatCan GHG'!$E$2:$E$1692,A17,'StatCan GHG'!$A$2:$A$1692,B17)</f>
        <v/>
      </c>
      <c r="D17" s="5">
        <f>SUMIFS('StatCan Output'!$D$2:$D$1504,'StatCan Output'!$E$2:$E$1504,A17,'StatCan Output'!$A$2:$A$1504,B17)</f>
        <v/>
      </c>
      <c r="E17" s="4">
        <f>IF(D17&gt;0,C17*1000/D17,0)</f>
        <v/>
      </c>
      <c r="G17" t="inlineStr">
        <is>
          <t>Rail</t>
        </is>
      </c>
      <c r="H17" s="4">
        <f>SUMIFS($E$5:$E$312,$A$5:$A$312,G17,$B$5:$B$312,Inputs!$B$3)</f>
        <v/>
      </c>
      <c r="I17" s="5">
        <f>SUMIFS($D$5:$D$312,$A$5:$A$312,G17,$B$5:$B$312,Inputs!$B$3)</f>
        <v/>
      </c>
      <c r="J17" s="5">
        <f>SUMIFS($C$5:$C$312,$A$5:$A$312,G17,$B$5:$B$312,Inputs!$B$3)</f>
        <v/>
      </c>
    </row>
    <row r="18">
      <c r="A18" t="inlineStr">
        <is>
          <t>Oil &amp; Gas Producers</t>
        </is>
      </c>
      <c r="B18" t="n">
        <v>2022</v>
      </c>
      <c r="C18" s="5">
        <f>SUMIFS('StatCan GHG'!$D$2:$D$1692,'StatCan GHG'!$E$2:$E$1692,A18,'StatCan GHG'!$A$2:$A$1692,B18)</f>
        <v/>
      </c>
      <c r="D18" s="5">
        <f>SUMIFS('StatCan Output'!$D$2:$D$1504,'StatCan Output'!$E$2:$E$1504,A18,'StatCan Output'!$A$2:$A$1504,B18)</f>
        <v/>
      </c>
      <c r="E18" s="4">
        <f>IF(D18&gt;0,C18*1000/D18,0)</f>
        <v/>
      </c>
      <c r="G18" t="inlineStr">
        <is>
          <t>Trucking, Marine &amp; Logistics</t>
        </is>
      </c>
      <c r="H18" s="4">
        <f>SUMIFS($E$5:$E$312,$A$5:$A$312,G18,$B$5:$B$312,Inputs!$B$3)</f>
        <v/>
      </c>
      <c r="I18" s="5">
        <f>SUMIFS($D$5:$D$312,$A$5:$A$312,G18,$B$5:$B$312,Inputs!$B$3)</f>
        <v/>
      </c>
      <c r="J18" s="5">
        <f>SUMIFS($C$5:$C$312,$A$5:$A$312,G18,$B$5:$B$312,Inputs!$B$3)</f>
        <v/>
      </c>
    </row>
    <row r="19">
      <c r="A19" t="inlineStr">
        <is>
          <t>Petroleum Refining</t>
        </is>
      </c>
      <c r="B19" t="n">
        <v>2009</v>
      </c>
      <c r="C19" s="5">
        <f>SUMIFS('StatCan GHG'!$D$2:$D$1692,'StatCan GHG'!$E$2:$E$1692,A19,'StatCan GHG'!$A$2:$A$1692,B19)</f>
        <v/>
      </c>
      <c r="D19" s="5">
        <f>SUMIFS('StatCan Output'!$D$2:$D$1504,'StatCan Output'!$E$2:$E$1504,A19,'StatCan Output'!$A$2:$A$1504,B19)</f>
        <v/>
      </c>
      <c r="E19" s="4">
        <f>IF(D19&gt;0,C19*1000/D19,0)</f>
        <v/>
      </c>
      <c r="G19" t="inlineStr">
        <is>
          <t>Construction</t>
        </is>
      </c>
      <c r="H19" s="4">
        <f>SUMIFS($E$5:$E$312,$A$5:$A$312,G19,$B$5:$B$312,Inputs!$B$3)</f>
        <v/>
      </c>
      <c r="I19" s="5">
        <f>SUMIFS($D$5:$D$312,$A$5:$A$312,G19,$B$5:$B$312,Inputs!$B$3)</f>
        <v/>
      </c>
      <c r="J19" s="5">
        <f>SUMIFS($C$5:$C$312,$A$5:$A$312,G19,$B$5:$B$312,Inputs!$B$3)</f>
        <v/>
      </c>
    </row>
    <row r="20">
      <c r="A20" t="inlineStr">
        <is>
          <t>Petroleum Refining</t>
        </is>
      </c>
      <c r="B20" t="n">
        <v>2010</v>
      </c>
      <c r="C20" s="5">
        <f>SUMIFS('StatCan GHG'!$D$2:$D$1692,'StatCan GHG'!$E$2:$E$1692,A20,'StatCan GHG'!$A$2:$A$1692,B20)</f>
        <v/>
      </c>
      <c r="D20" s="5">
        <f>SUMIFS('StatCan Output'!$D$2:$D$1504,'StatCan Output'!$E$2:$E$1504,A20,'StatCan Output'!$A$2:$A$1504,B20)</f>
        <v/>
      </c>
      <c r="E20" s="4">
        <f>IF(D20&gt;0,C20*1000/D20,0)</f>
        <v/>
      </c>
      <c r="G20" t="inlineStr">
        <is>
          <t>Autos &amp; Transport Equipment</t>
        </is>
      </c>
      <c r="H20" s="4">
        <f>SUMIFS($E$5:$E$312,$A$5:$A$312,G20,$B$5:$B$312,Inputs!$B$3)</f>
        <v/>
      </c>
      <c r="I20" s="5">
        <f>SUMIFS($D$5:$D$312,$A$5:$A$312,G20,$B$5:$B$312,Inputs!$B$3)</f>
        <v/>
      </c>
      <c r="J20" s="5">
        <f>SUMIFS($C$5:$C$312,$A$5:$A$312,G20,$B$5:$B$312,Inputs!$B$3)</f>
        <v/>
      </c>
    </row>
    <row r="21">
      <c r="A21" t="inlineStr">
        <is>
          <t>Petroleum Refining</t>
        </is>
      </c>
      <c r="B21" t="n">
        <v>2011</v>
      </c>
      <c r="C21" s="5">
        <f>SUMIFS('StatCan GHG'!$D$2:$D$1692,'StatCan GHG'!$E$2:$E$1692,A21,'StatCan GHG'!$A$2:$A$1692,B21)</f>
        <v/>
      </c>
      <c r="D21" s="5">
        <f>SUMIFS('StatCan Output'!$D$2:$D$1504,'StatCan Output'!$E$2:$E$1504,A21,'StatCan Output'!$A$2:$A$1504,B21)</f>
        <v/>
      </c>
      <c r="E21" s="4">
        <f>IF(D21&gt;0,C21*1000/D21,0)</f>
        <v/>
      </c>
      <c r="G21" t="inlineStr">
        <is>
          <t>Industrial &amp; Tech Manufacturing</t>
        </is>
      </c>
      <c r="H21" s="4">
        <f>SUMIFS($E$5:$E$312,$A$5:$A$312,G21,$B$5:$B$312,Inputs!$B$3)</f>
        <v/>
      </c>
      <c r="I21" s="5">
        <f>SUMIFS($D$5:$D$312,$A$5:$A$312,G21,$B$5:$B$312,Inputs!$B$3)</f>
        <v/>
      </c>
      <c r="J21" s="5">
        <f>SUMIFS($C$5:$C$312,$A$5:$A$312,G21,$B$5:$B$312,Inputs!$B$3)</f>
        <v/>
      </c>
    </row>
    <row r="22">
      <c r="A22" t="inlineStr">
        <is>
          <t>Petroleum Refining</t>
        </is>
      </c>
      <c r="B22" t="n">
        <v>2012</v>
      </c>
      <c r="C22" s="5">
        <f>SUMIFS('StatCan GHG'!$D$2:$D$1692,'StatCan GHG'!$E$2:$E$1692,A22,'StatCan GHG'!$A$2:$A$1692,B22)</f>
        <v/>
      </c>
      <c r="D22" s="5">
        <f>SUMIFS('StatCan Output'!$D$2:$D$1504,'StatCan Output'!$E$2:$E$1504,A22,'StatCan Output'!$A$2:$A$1504,B22)</f>
        <v/>
      </c>
      <c r="E22" s="4">
        <f>IF(D22&gt;0,C22*1000/D22,0)</f>
        <v/>
      </c>
      <c r="G22" t="inlineStr">
        <is>
          <t>Retail &amp; Wholesale</t>
        </is>
      </c>
      <c r="H22" s="4">
        <f>SUMIFS($E$5:$E$312,$A$5:$A$312,G22,$B$5:$B$312,Inputs!$B$3)</f>
        <v/>
      </c>
      <c r="I22" s="5">
        <f>SUMIFS($D$5:$D$312,$A$5:$A$312,G22,$B$5:$B$312,Inputs!$B$3)</f>
        <v/>
      </c>
      <c r="J22" s="5">
        <f>SUMIFS($C$5:$C$312,$A$5:$A$312,G22,$B$5:$B$312,Inputs!$B$3)</f>
        <v/>
      </c>
    </row>
    <row r="23">
      <c r="A23" t="inlineStr">
        <is>
          <t>Petroleum Refining</t>
        </is>
      </c>
      <c r="B23" t="n">
        <v>2013</v>
      </c>
      <c r="C23" s="5">
        <f>SUMIFS('StatCan GHG'!$D$2:$D$1692,'StatCan GHG'!$E$2:$E$1692,A23,'StatCan GHG'!$A$2:$A$1692,B23)</f>
        <v/>
      </c>
      <c r="D23" s="5">
        <f>SUMIFS('StatCan Output'!$D$2:$D$1504,'StatCan Output'!$E$2:$E$1504,A23,'StatCan Output'!$A$2:$A$1504,B23)</f>
        <v/>
      </c>
      <c r="E23" s="4">
        <f>IF(D23&gt;0,C23*1000/D23,0)</f>
        <v/>
      </c>
      <c r="G23" t="inlineStr">
        <is>
          <t>Telecom &amp; Media</t>
        </is>
      </c>
      <c r="H23" s="4">
        <f>SUMIFS($E$5:$E$312,$A$5:$A$312,G23,$B$5:$B$312,Inputs!$B$3)</f>
        <v/>
      </c>
      <c r="I23" s="5">
        <f>SUMIFS($D$5:$D$312,$A$5:$A$312,G23,$B$5:$B$312,Inputs!$B$3)</f>
        <v/>
      </c>
      <c r="J23" s="5">
        <f>SUMIFS($C$5:$C$312,$A$5:$A$312,G23,$B$5:$B$312,Inputs!$B$3)</f>
        <v/>
      </c>
    </row>
    <row r="24">
      <c r="A24" t="inlineStr">
        <is>
          <t>Petroleum Refining</t>
        </is>
      </c>
      <c r="B24" t="n">
        <v>2014</v>
      </c>
      <c r="C24" s="5">
        <f>SUMIFS('StatCan GHG'!$D$2:$D$1692,'StatCan GHG'!$E$2:$E$1692,A24,'StatCan GHG'!$A$2:$A$1692,B24)</f>
        <v/>
      </c>
      <c r="D24" s="5">
        <f>SUMIFS('StatCan Output'!$D$2:$D$1504,'StatCan Output'!$E$2:$E$1504,A24,'StatCan Output'!$A$2:$A$1504,B24)</f>
        <v/>
      </c>
      <c r="E24" s="4">
        <f>IF(D24&gt;0,C24*1000/D24,0)</f>
        <v/>
      </c>
      <c r="G24" t="inlineStr">
        <is>
          <t>Banks &amp; Insurance</t>
        </is>
      </c>
      <c r="H24" s="4">
        <f>SUMIFS($E$5:$E$312,$A$5:$A$312,G24,$B$5:$B$312,Inputs!$B$3)</f>
        <v/>
      </c>
      <c r="I24" s="5">
        <f>SUMIFS($D$5:$D$312,$A$5:$A$312,G24,$B$5:$B$312,Inputs!$B$3)</f>
        <v/>
      </c>
      <c r="J24" s="5">
        <f>SUMIFS($C$5:$C$312,$A$5:$A$312,G24,$B$5:$B$312,Inputs!$B$3)</f>
        <v/>
      </c>
    </row>
    <row r="25">
      <c r="A25" t="inlineStr">
        <is>
          <t>Petroleum Refining</t>
        </is>
      </c>
      <c r="B25" t="n">
        <v>2015</v>
      </c>
      <c r="C25" s="5">
        <f>SUMIFS('StatCan GHG'!$D$2:$D$1692,'StatCan GHG'!$E$2:$E$1692,A25,'StatCan GHG'!$A$2:$A$1692,B25)</f>
        <v/>
      </c>
      <c r="D25" s="5">
        <f>SUMIFS('StatCan Output'!$D$2:$D$1504,'StatCan Output'!$E$2:$E$1504,A25,'StatCan Output'!$A$2:$A$1504,B25)</f>
        <v/>
      </c>
      <c r="E25" s="4">
        <f>IF(D25&gt;0,C25*1000/D25,0)</f>
        <v/>
      </c>
      <c r="G25" t="inlineStr">
        <is>
          <t>Real Estate</t>
        </is>
      </c>
      <c r="H25" s="4">
        <f>SUMIFS($E$5:$E$312,$A$5:$A$312,G25,$B$5:$B$312,Inputs!$B$3)</f>
        <v/>
      </c>
      <c r="I25" s="5">
        <f>SUMIFS($D$5:$D$312,$A$5:$A$312,G25,$B$5:$B$312,Inputs!$B$3)</f>
        <v/>
      </c>
      <c r="J25" s="5">
        <f>SUMIFS($C$5:$C$312,$A$5:$A$312,G25,$B$5:$B$312,Inputs!$B$3)</f>
        <v/>
      </c>
    </row>
    <row r="26">
      <c r="A26" t="inlineStr">
        <is>
          <t>Petroleum Refining</t>
        </is>
      </c>
      <c r="B26" t="n">
        <v>2016</v>
      </c>
      <c r="C26" s="5">
        <f>SUMIFS('StatCan GHG'!$D$2:$D$1692,'StatCan GHG'!$E$2:$E$1692,A26,'StatCan GHG'!$A$2:$A$1692,B26)</f>
        <v/>
      </c>
      <c r="D26" s="5">
        <f>SUMIFS('StatCan Output'!$D$2:$D$1504,'StatCan Output'!$E$2:$E$1504,A26,'StatCan Output'!$A$2:$A$1504,B26)</f>
        <v/>
      </c>
      <c r="E26" s="4">
        <f>IF(D26&gt;0,C26*1000/D26,0)</f>
        <v/>
      </c>
      <c r="G26" t="inlineStr">
        <is>
          <t>Business &amp; Consumer Services</t>
        </is>
      </c>
      <c r="H26" s="4">
        <f>SUMIFS($E$5:$E$312,$A$5:$A$312,G26,$B$5:$B$312,Inputs!$B$3)</f>
        <v/>
      </c>
      <c r="I26" s="5">
        <f>SUMIFS($D$5:$D$312,$A$5:$A$312,G26,$B$5:$B$312,Inputs!$B$3)</f>
        <v/>
      </c>
      <c r="J26" s="5">
        <f>SUMIFS($C$5:$C$312,$A$5:$A$312,G26,$B$5:$B$312,Inputs!$B$3)</f>
        <v/>
      </c>
    </row>
    <row r="27">
      <c r="A27" t="inlineStr">
        <is>
          <t>Petroleum Refining</t>
        </is>
      </c>
      <c r="B27" t="n">
        <v>2017</v>
      </c>
      <c r="C27" s="5">
        <f>SUMIFS('StatCan GHG'!$D$2:$D$1692,'StatCan GHG'!$E$2:$E$1692,A27,'StatCan GHG'!$A$2:$A$1692,B27)</f>
        <v/>
      </c>
      <c r="D27" s="5">
        <f>SUMIFS('StatCan Output'!$D$2:$D$1504,'StatCan Output'!$E$2:$E$1504,A27,'StatCan Output'!$A$2:$A$1504,B27)</f>
        <v/>
      </c>
      <c r="E27" s="4">
        <f>IF(D27&gt;0,C27*1000/D27,0)</f>
        <v/>
      </c>
    </row>
    <row r="28">
      <c r="A28" t="inlineStr">
        <is>
          <t>Petroleum Refining</t>
        </is>
      </c>
      <c r="B28" t="n">
        <v>2018</v>
      </c>
      <c r="C28" s="5">
        <f>SUMIFS('StatCan GHG'!$D$2:$D$1692,'StatCan GHG'!$E$2:$E$1692,A28,'StatCan GHG'!$A$2:$A$1692,B28)</f>
        <v/>
      </c>
      <c r="D28" s="5">
        <f>SUMIFS('StatCan Output'!$D$2:$D$1504,'StatCan Output'!$E$2:$E$1504,A28,'StatCan Output'!$A$2:$A$1504,B28)</f>
        <v/>
      </c>
      <c r="E28" s="4">
        <f>IF(D28&gt;0,C28*1000/D28,0)</f>
        <v/>
      </c>
    </row>
    <row r="29">
      <c r="A29" t="inlineStr">
        <is>
          <t>Petroleum Refining</t>
        </is>
      </c>
      <c r="B29" t="n">
        <v>2019</v>
      </c>
      <c r="C29" s="5">
        <f>SUMIFS('StatCan GHG'!$D$2:$D$1692,'StatCan GHG'!$E$2:$E$1692,A29,'StatCan GHG'!$A$2:$A$1692,B29)</f>
        <v/>
      </c>
      <c r="D29" s="5">
        <f>SUMIFS('StatCan Output'!$D$2:$D$1504,'StatCan Output'!$E$2:$E$1504,A29,'StatCan Output'!$A$2:$A$1504,B29)</f>
        <v/>
      </c>
      <c r="E29" s="4">
        <f>IF(D29&gt;0,C29*1000/D29,0)</f>
        <v/>
      </c>
    </row>
    <row r="30">
      <c r="A30" t="inlineStr">
        <is>
          <t>Petroleum Refining</t>
        </is>
      </c>
      <c r="B30" t="n">
        <v>2020</v>
      </c>
      <c r="C30" s="5">
        <f>SUMIFS('StatCan GHG'!$D$2:$D$1692,'StatCan GHG'!$E$2:$E$1692,A30,'StatCan GHG'!$A$2:$A$1692,B30)</f>
        <v/>
      </c>
      <c r="D30" s="5">
        <f>SUMIFS('StatCan Output'!$D$2:$D$1504,'StatCan Output'!$E$2:$E$1504,A30,'StatCan Output'!$A$2:$A$1504,B30)</f>
        <v/>
      </c>
      <c r="E30" s="4">
        <f>IF(D30&gt;0,C30*1000/D30,0)</f>
        <v/>
      </c>
    </row>
    <row r="31">
      <c r="A31" t="inlineStr">
        <is>
          <t>Petroleum Refining</t>
        </is>
      </c>
      <c r="B31" t="n">
        <v>2021</v>
      </c>
      <c r="C31" s="5">
        <f>SUMIFS('StatCan GHG'!$D$2:$D$1692,'StatCan GHG'!$E$2:$E$1692,A31,'StatCan GHG'!$A$2:$A$1692,B31)</f>
        <v/>
      </c>
      <c r="D31" s="5">
        <f>SUMIFS('StatCan Output'!$D$2:$D$1504,'StatCan Output'!$E$2:$E$1504,A31,'StatCan Output'!$A$2:$A$1504,B31)</f>
        <v/>
      </c>
      <c r="E31" s="4">
        <f>IF(D31&gt;0,C31*1000/D31,0)</f>
        <v/>
      </c>
    </row>
    <row r="32">
      <c r="A32" t="inlineStr">
        <is>
          <t>Petroleum Refining</t>
        </is>
      </c>
      <c r="B32" t="n">
        <v>2022</v>
      </c>
      <c r="C32" s="5">
        <f>SUMIFS('StatCan GHG'!$D$2:$D$1692,'StatCan GHG'!$E$2:$E$1692,A32,'StatCan GHG'!$A$2:$A$1692,B32)</f>
        <v/>
      </c>
      <c r="D32" s="5">
        <f>SUMIFS('StatCan Output'!$D$2:$D$1504,'StatCan Output'!$E$2:$E$1504,A32,'StatCan Output'!$A$2:$A$1504,B32)</f>
        <v/>
      </c>
      <c r="E32" s="4">
        <f>IF(D32&gt;0,C32*1000/D32,0)</f>
        <v/>
      </c>
    </row>
    <row r="33">
      <c r="A33" t="inlineStr">
        <is>
          <t>Pipelines</t>
        </is>
      </c>
      <c r="B33" t="n">
        <v>2009</v>
      </c>
      <c r="C33" s="5">
        <f>SUMIFS('StatCan GHG'!$D$2:$D$1692,'StatCan GHG'!$E$2:$E$1692,A33,'StatCan GHG'!$A$2:$A$1692,B33)</f>
        <v/>
      </c>
      <c r="D33" s="5">
        <f>SUMIFS('StatCan Output'!$D$2:$D$1504,'StatCan Output'!$E$2:$E$1504,A33,'StatCan Output'!$A$2:$A$1504,B33)</f>
        <v/>
      </c>
      <c r="E33" s="4">
        <f>IF(D33&gt;0,C33*1000/D33,0)</f>
        <v/>
      </c>
    </row>
    <row r="34">
      <c r="A34" t="inlineStr">
        <is>
          <t>Pipelines</t>
        </is>
      </c>
      <c r="B34" t="n">
        <v>2010</v>
      </c>
      <c r="C34" s="5">
        <f>SUMIFS('StatCan GHG'!$D$2:$D$1692,'StatCan GHG'!$E$2:$E$1692,A34,'StatCan GHG'!$A$2:$A$1692,B34)</f>
        <v/>
      </c>
      <c r="D34" s="5">
        <f>SUMIFS('StatCan Output'!$D$2:$D$1504,'StatCan Output'!$E$2:$E$1504,A34,'StatCan Output'!$A$2:$A$1504,B34)</f>
        <v/>
      </c>
      <c r="E34" s="4">
        <f>IF(D34&gt;0,C34*1000/D34,0)</f>
        <v/>
      </c>
    </row>
    <row r="35">
      <c r="A35" t="inlineStr">
        <is>
          <t>Pipelines</t>
        </is>
      </c>
      <c r="B35" t="n">
        <v>2011</v>
      </c>
      <c r="C35" s="5">
        <f>SUMIFS('StatCan GHG'!$D$2:$D$1692,'StatCan GHG'!$E$2:$E$1692,A35,'StatCan GHG'!$A$2:$A$1692,B35)</f>
        <v/>
      </c>
      <c r="D35" s="5">
        <f>SUMIFS('StatCan Output'!$D$2:$D$1504,'StatCan Output'!$E$2:$E$1504,A35,'StatCan Output'!$A$2:$A$1504,B35)</f>
        <v/>
      </c>
      <c r="E35" s="4">
        <f>IF(D35&gt;0,C35*1000/D35,0)</f>
        <v/>
      </c>
    </row>
    <row r="36">
      <c r="A36" t="inlineStr">
        <is>
          <t>Pipelines</t>
        </is>
      </c>
      <c r="B36" t="n">
        <v>2012</v>
      </c>
      <c r="C36" s="5">
        <f>SUMIFS('StatCan GHG'!$D$2:$D$1692,'StatCan GHG'!$E$2:$E$1692,A36,'StatCan GHG'!$A$2:$A$1692,B36)</f>
        <v/>
      </c>
      <c r="D36" s="5">
        <f>SUMIFS('StatCan Output'!$D$2:$D$1504,'StatCan Output'!$E$2:$E$1504,A36,'StatCan Output'!$A$2:$A$1504,B36)</f>
        <v/>
      </c>
      <c r="E36" s="4">
        <f>IF(D36&gt;0,C36*1000/D36,0)</f>
        <v/>
      </c>
    </row>
    <row r="37">
      <c r="A37" t="inlineStr">
        <is>
          <t>Pipelines</t>
        </is>
      </c>
      <c r="B37" t="n">
        <v>2013</v>
      </c>
      <c r="C37" s="5">
        <f>SUMIFS('StatCan GHG'!$D$2:$D$1692,'StatCan GHG'!$E$2:$E$1692,A37,'StatCan GHG'!$A$2:$A$1692,B37)</f>
        <v/>
      </c>
      <c r="D37" s="5">
        <f>SUMIFS('StatCan Output'!$D$2:$D$1504,'StatCan Output'!$E$2:$E$1504,A37,'StatCan Output'!$A$2:$A$1504,B37)</f>
        <v/>
      </c>
      <c r="E37" s="4">
        <f>IF(D37&gt;0,C37*1000/D37,0)</f>
        <v/>
      </c>
    </row>
    <row r="38">
      <c r="A38" t="inlineStr">
        <is>
          <t>Pipelines</t>
        </is>
      </c>
      <c r="B38" t="n">
        <v>2014</v>
      </c>
      <c r="C38" s="5">
        <f>SUMIFS('StatCan GHG'!$D$2:$D$1692,'StatCan GHG'!$E$2:$E$1692,A38,'StatCan GHG'!$A$2:$A$1692,B38)</f>
        <v/>
      </c>
      <c r="D38" s="5">
        <f>SUMIFS('StatCan Output'!$D$2:$D$1504,'StatCan Output'!$E$2:$E$1504,A38,'StatCan Output'!$A$2:$A$1504,B38)</f>
        <v/>
      </c>
      <c r="E38" s="4">
        <f>IF(D38&gt;0,C38*1000/D38,0)</f>
        <v/>
      </c>
    </row>
    <row r="39">
      <c r="A39" t="inlineStr">
        <is>
          <t>Pipelines</t>
        </is>
      </c>
      <c r="B39" t="n">
        <v>2015</v>
      </c>
      <c r="C39" s="5">
        <f>SUMIFS('StatCan GHG'!$D$2:$D$1692,'StatCan GHG'!$E$2:$E$1692,A39,'StatCan GHG'!$A$2:$A$1692,B39)</f>
        <v/>
      </c>
      <c r="D39" s="5">
        <f>SUMIFS('StatCan Output'!$D$2:$D$1504,'StatCan Output'!$E$2:$E$1504,A39,'StatCan Output'!$A$2:$A$1504,B39)</f>
        <v/>
      </c>
      <c r="E39" s="4">
        <f>IF(D39&gt;0,C39*1000/D39,0)</f>
        <v/>
      </c>
    </row>
    <row r="40">
      <c r="A40" t="inlineStr">
        <is>
          <t>Pipelines</t>
        </is>
      </c>
      <c r="B40" t="n">
        <v>2016</v>
      </c>
      <c r="C40" s="5">
        <f>SUMIFS('StatCan GHG'!$D$2:$D$1692,'StatCan GHG'!$E$2:$E$1692,A40,'StatCan GHG'!$A$2:$A$1692,B40)</f>
        <v/>
      </c>
      <c r="D40" s="5">
        <f>SUMIFS('StatCan Output'!$D$2:$D$1504,'StatCan Output'!$E$2:$E$1504,A40,'StatCan Output'!$A$2:$A$1504,B40)</f>
        <v/>
      </c>
      <c r="E40" s="4">
        <f>IF(D40&gt;0,C40*1000/D40,0)</f>
        <v/>
      </c>
    </row>
    <row r="41">
      <c r="A41" t="inlineStr">
        <is>
          <t>Pipelines</t>
        </is>
      </c>
      <c r="B41" t="n">
        <v>2017</v>
      </c>
      <c r="C41" s="5">
        <f>SUMIFS('StatCan GHG'!$D$2:$D$1692,'StatCan GHG'!$E$2:$E$1692,A41,'StatCan GHG'!$A$2:$A$1692,B41)</f>
        <v/>
      </c>
      <c r="D41" s="5">
        <f>SUMIFS('StatCan Output'!$D$2:$D$1504,'StatCan Output'!$E$2:$E$1504,A41,'StatCan Output'!$A$2:$A$1504,B41)</f>
        <v/>
      </c>
      <c r="E41" s="4">
        <f>IF(D41&gt;0,C41*1000/D41,0)</f>
        <v/>
      </c>
    </row>
    <row r="42">
      <c r="A42" t="inlineStr">
        <is>
          <t>Pipelines</t>
        </is>
      </c>
      <c r="B42" t="n">
        <v>2018</v>
      </c>
      <c r="C42" s="5">
        <f>SUMIFS('StatCan GHG'!$D$2:$D$1692,'StatCan GHG'!$E$2:$E$1692,A42,'StatCan GHG'!$A$2:$A$1692,B42)</f>
        <v/>
      </c>
      <c r="D42" s="5">
        <f>SUMIFS('StatCan Output'!$D$2:$D$1504,'StatCan Output'!$E$2:$E$1504,A42,'StatCan Output'!$A$2:$A$1504,B42)</f>
        <v/>
      </c>
      <c r="E42" s="4">
        <f>IF(D42&gt;0,C42*1000/D42,0)</f>
        <v/>
      </c>
    </row>
    <row r="43">
      <c r="A43" t="inlineStr">
        <is>
          <t>Pipelines</t>
        </is>
      </c>
      <c r="B43" t="n">
        <v>2019</v>
      </c>
      <c r="C43" s="5">
        <f>SUMIFS('StatCan GHG'!$D$2:$D$1692,'StatCan GHG'!$E$2:$E$1692,A43,'StatCan GHG'!$A$2:$A$1692,B43)</f>
        <v/>
      </c>
      <c r="D43" s="5">
        <f>SUMIFS('StatCan Output'!$D$2:$D$1504,'StatCan Output'!$E$2:$E$1504,A43,'StatCan Output'!$A$2:$A$1504,B43)</f>
        <v/>
      </c>
      <c r="E43" s="4">
        <f>IF(D43&gt;0,C43*1000/D43,0)</f>
        <v/>
      </c>
    </row>
    <row r="44">
      <c r="A44" t="inlineStr">
        <is>
          <t>Pipelines</t>
        </is>
      </c>
      <c r="B44" t="n">
        <v>2020</v>
      </c>
      <c r="C44" s="5">
        <f>SUMIFS('StatCan GHG'!$D$2:$D$1692,'StatCan GHG'!$E$2:$E$1692,A44,'StatCan GHG'!$A$2:$A$1692,B44)</f>
        <v/>
      </c>
      <c r="D44" s="5">
        <f>SUMIFS('StatCan Output'!$D$2:$D$1504,'StatCan Output'!$E$2:$E$1504,A44,'StatCan Output'!$A$2:$A$1504,B44)</f>
        <v/>
      </c>
      <c r="E44" s="4">
        <f>IF(D44&gt;0,C44*1000/D44,0)</f>
        <v/>
      </c>
    </row>
    <row r="45">
      <c r="A45" t="inlineStr">
        <is>
          <t>Pipelines</t>
        </is>
      </c>
      <c r="B45" t="n">
        <v>2021</v>
      </c>
      <c r="C45" s="5">
        <f>SUMIFS('StatCan GHG'!$D$2:$D$1692,'StatCan GHG'!$E$2:$E$1692,A45,'StatCan GHG'!$A$2:$A$1692,B45)</f>
        <v/>
      </c>
      <c r="D45" s="5">
        <f>SUMIFS('StatCan Output'!$D$2:$D$1504,'StatCan Output'!$E$2:$E$1504,A45,'StatCan Output'!$A$2:$A$1504,B45)</f>
        <v/>
      </c>
      <c r="E45" s="4">
        <f>IF(D45&gt;0,C45*1000/D45,0)</f>
        <v/>
      </c>
    </row>
    <row r="46">
      <c r="A46" t="inlineStr">
        <is>
          <t>Pipelines</t>
        </is>
      </c>
      <c r="B46" t="n">
        <v>2022</v>
      </c>
      <c r="C46" s="5">
        <f>SUMIFS('StatCan GHG'!$D$2:$D$1692,'StatCan GHG'!$E$2:$E$1692,A46,'StatCan GHG'!$A$2:$A$1692,B46)</f>
        <v/>
      </c>
      <c r="D46" s="5">
        <f>SUMIFS('StatCan Output'!$D$2:$D$1504,'StatCan Output'!$E$2:$E$1504,A46,'StatCan Output'!$A$2:$A$1504,B46)</f>
        <v/>
      </c>
      <c r="E46" s="4">
        <f>IF(D46&gt;0,C46*1000/D46,0)</f>
        <v/>
      </c>
    </row>
    <row r="47">
      <c r="A47" t="inlineStr">
        <is>
          <t>Electric Utilities</t>
        </is>
      </c>
      <c r="B47" t="n">
        <v>2009</v>
      </c>
      <c r="C47" s="5">
        <f>SUMIFS('StatCan GHG'!$D$2:$D$1692,'StatCan GHG'!$E$2:$E$1692,A47,'StatCan GHG'!$A$2:$A$1692,B47)</f>
        <v/>
      </c>
      <c r="D47" s="5">
        <f>SUMIFS('StatCan Output'!$D$2:$D$1504,'StatCan Output'!$E$2:$E$1504,A47,'StatCan Output'!$A$2:$A$1504,B47)</f>
        <v/>
      </c>
      <c r="E47" s="4">
        <f>IF(D47&gt;0,C47*1000/D47,0)</f>
        <v/>
      </c>
    </row>
    <row r="48">
      <c r="A48" t="inlineStr">
        <is>
          <t>Electric Utilities</t>
        </is>
      </c>
      <c r="B48" t="n">
        <v>2010</v>
      </c>
      <c r="C48" s="5">
        <f>SUMIFS('StatCan GHG'!$D$2:$D$1692,'StatCan GHG'!$E$2:$E$1692,A48,'StatCan GHG'!$A$2:$A$1692,B48)</f>
        <v/>
      </c>
      <c r="D48" s="5">
        <f>SUMIFS('StatCan Output'!$D$2:$D$1504,'StatCan Output'!$E$2:$E$1504,A48,'StatCan Output'!$A$2:$A$1504,B48)</f>
        <v/>
      </c>
      <c r="E48" s="4">
        <f>IF(D48&gt;0,C48*1000/D48,0)</f>
        <v/>
      </c>
    </row>
    <row r="49">
      <c r="A49" t="inlineStr">
        <is>
          <t>Electric Utilities</t>
        </is>
      </c>
      <c r="B49" t="n">
        <v>2011</v>
      </c>
      <c r="C49" s="5">
        <f>SUMIFS('StatCan GHG'!$D$2:$D$1692,'StatCan GHG'!$E$2:$E$1692,A49,'StatCan GHG'!$A$2:$A$1692,B49)</f>
        <v/>
      </c>
      <c r="D49" s="5">
        <f>SUMIFS('StatCan Output'!$D$2:$D$1504,'StatCan Output'!$E$2:$E$1504,A49,'StatCan Output'!$A$2:$A$1504,B49)</f>
        <v/>
      </c>
      <c r="E49" s="4">
        <f>IF(D49&gt;0,C49*1000/D49,0)</f>
        <v/>
      </c>
    </row>
    <row r="50">
      <c r="A50" t="inlineStr">
        <is>
          <t>Electric Utilities</t>
        </is>
      </c>
      <c r="B50" t="n">
        <v>2012</v>
      </c>
      <c r="C50" s="5">
        <f>SUMIFS('StatCan GHG'!$D$2:$D$1692,'StatCan GHG'!$E$2:$E$1692,A50,'StatCan GHG'!$A$2:$A$1692,B50)</f>
        <v/>
      </c>
      <c r="D50" s="5">
        <f>SUMIFS('StatCan Output'!$D$2:$D$1504,'StatCan Output'!$E$2:$E$1504,A50,'StatCan Output'!$A$2:$A$1504,B50)</f>
        <v/>
      </c>
      <c r="E50" s="4">
        <f>IF(D50&gt;0,C50*1000/D50,0)</f>
        <v/>
      </c>
    </row>
    <row r="51">
      <c r="A51" t="inlineStr">
        <is>
          <t>Electric Utilities</t>
        </is>
      </c>
      <c r="B51" t="n">
        <v>2013</v>
      </c>
      <c r="C51" s="5">
        <f>SUMIFS('StatCan GHG'!$D$2:$D$1692,'StatCan GHG'!$E$2:$E$1692,A51,'StatCan GHG'!$A$2:$A$1692,B51)</f>
        <v/>
      </c>
      <c r="D51" s="5">
        <f>SUMIFS('StatCan Output'!$D$2:$D$1504,'StatCan Output'!$E$2:$E$1504,A51,'StatCan Output'!$A$2:$A$1504,B51)</f>
        <v/>
      </c>
      <c r="E51" s="4">
        <f>IF(D51&gt;0,C51*1000/D51,0)</f>
        <v/>
      </c>
    </row>
    <row r="52">
      <c r="A52" t="inlineStr">
        <is>
          <t>Electric Utilities</t>
        </is>
      </c>
      <c r="B52" t="n">
        <v>2014</v>
      </c>
      <c r="C52" s="5">
        <f>SUMIFS('StatCan GHG'!$D$2:$D$1692,'StatCan GHG'!$E$2:$E$1692,A52,'StatCan GHG'!$A$2:$A$1692,B52)</f>
        <v/>
      </c>
      <c r="D52" s="5">
        <f>SUMIFS('StatCan Output'!$D$2:$D$1504,'StatCan Output'!$E$2:$E$1504,A52,'StatCan Output'!$A$2:$A$1504,B52)</f>
        <v/>
      </c>
      <c r="E52" s="4">
        <f>IF(D52&gt;0,C52*1000/D52,0)</f>
        <v/>
      </c>
    </row>
    <row r="53">
      <c r="A53" t="inlineStr">
        <is>
          <t>Electric Utilities</t>
        </is>
      </c>
      <c r="B53" t="n">
        <v>2015</v>
      </c>
      <c r="C53" s="5">
        <f>SUMIFS('StatCan GHG'!$D$2:$D$1692,'StatCan GHG'!$E$2:$E$1692,A53,'StatCan GHG'!$A$2:$A$1692,B53)</f>
        <v/>
      </c>
      <c r="D53" s="5">
        <f>SUMIFS('StatCan Output'!$D$2:$D$1504,'StatCan Output'!$E$2:$E$1504,A53,'StatCan Output'!$A$2:$A$1504,B53)</f>
        <v/>
      </c>
      <c r="E53" s="4">
        <f>IF(D53&gt;0,C53*1000/D53,0)</f>
        <v/>
      </c>
    </row>
    <row r="54">
      <c r="A54" t="inlineStr">
        <is>
          <t>Electric Utilities</t>
        </is>
      </c>
      <c r="B54" t="n">
        <v>2016</v>
      </c>
      <c r="C54" s="5">
        <f>SUMIFS('StatCan GHG'!$D$2:$D$1692,'StatCan GHG'!$E$2:$E$1692,A54,'StatCan GHG'!$A$2:$A$1692,B54)</f>
        <v/>
      </c>
      <c r="D54" s="5">
        <f>SUMIFS('StatCan Output'!$D$2:$D$1504,'StatCan Output'!$E$2:$E$1504,A54,'StatCan Output'!$A$2:$A$1504,B54)</f>
        <v/>
      </c>
      <c r="E54" s="4">
        <f>IF(D54&gt;0,C54*1000/D54,0)</f>
        <v/>
      </c>
    </row>
    <row r="55">
      <c r="A55" t="inlineStr">
        <is>
          <t>Electric Utilities</t>
        </is>
      </c>
      <c r="B55" t="n">
        <v>2017</v>
      </c>
      <c r="C55" s="5">
        <f>SUMIFS('StatCan GHG'!$D$2:$D$1692,'StatCan GHG'!$E$2:$E$1692,A55,'StatCan GHG'!$A$2:$A$1692,B55)</f>
        <v/>
      </c>
      <c r="D55" s="5">
        <f>SUMIFS('StatCan Output'!$D$2:$D$1504,'StatCan Output'!$E$2:$E$1504,A55,'StatCan Output'!$A$2:$A$1504,B55)</f>
        <v/>
      </c>
      <c r="E55" s="4">
        <f>IF(D55&gt;0,C55*1000/D55,0)</f>
        <v/>
      </c>
    </row>
    <row r="56">
      <c r="A56" t="inlineStr">
        <is>
          <t>Electric Utilities</t>
        </is>
      </c>
      <c r="B56" t="n">
        <v>2018</v>
      </c>
      <c r="C56" s="5">
        <f>SUMIFS('StatCan GHG'!$D$2:$D$1692,'StatCan GHG'!$E$2:$E$1692,A56,'StatCan GHG'!$A$2:$A$1692,B56)</f>
        <v/>
      </c>
      <c r="D56" s="5">
        <f>SUMIFS('StatCan Output'!$D$2:$D$1504,'StatCan Output'!$E$2:$E$1504,A56,'StatCan Output'!$A$2:$A$1504,B56)</f>
        <v/>
      </c>
      <c r="E56" s="4">
        <f>IF(D56&gt;0,C56*1000/D56,0)</f>
        <v/>
      </c>
    </row>
    <row r="57">
      <c r="A57" t="inlineStr">
        <is>
          <t>Electric Utilities</t>
        </is>
      </c>
      <c r="B57" t="n">
        <v>2019</v>
      </c>
      <c r="C57" s="5">
        <f>SUMIFS('StatCan GHG'!$D$2:$D$1692,'StatCan GHG'!$E$2:$E$1692,A57,'StatCan GHG'!$A$2:$A$1692,B57)</f>
        <v/>
      </c>
      <c r="D57" s="5">
        <f>SUMIFS('StatCan Output'!$D$2:$D$1504,'StatCan Output'!$E$2:$E$1504,A57,'StatCan Output'!$A$2:$A$1504,B57)</f>
        <v/>
      </c>
      <c r="E57" s="4">
        <f>IF(D57&gt;0,C57*1000/D57,0)</f>
        <v/>
      </c>
    </row>
    <row r="58">
      <c r="A58" t="inlineStr">
        <is>
          <t>Electric Utilities</t>
        </is>
      </c>
      <c r="B58" t="n">
        <v>2020</v>
      </c>
      <c r="C58" s="5">
        <f>SUMIFS('StatCan GHG'!$D$2:$D$1692,'StatCan GHG'!$E$2:$E$1692,A58,'StatCan GHG'!$A$2:$A$1692,B58)</f>
        <v/>
      </c>
      <c r="D58" s="5">
        <f>SUMIFS('StatCan Output'!$D$2:$D$1504,'StatCan Output'!$E$2:$E$1504,A58,'StatCan Output'!$A$2:$A$1504,B58)</f>
        <v/>
      </c>
      <c r="E58" s="4">
        <f>IF(D58&gt;0,C58*1000/D58,0)</f>
        <v/>
      </c>
    </row>
    <row r="59">
      <c r="A59" t="inlineStr">
        <is>
          <t>Electric Utilities</t>
        </is>
      </c>
      <c r="B59" t="n">
        <v>2021</v>
      </c>
      <c r="C59" s="5">
        <f>SUMIFS('StatCan GHG'!$D$2:$D$1692,'StatCan GHG'!$E$2:$E$1692,A59,'StatCan GHG'!$A$2:$A$1692,B59)</f>
        <v/>
      </c>
      <c r="D59" s="5">
        <f>SUMIFS('StatCan Output'!$D$2:$D$1504,'StatCan Output'!$E$2:$E$1504,A59,'StatCan Output'!$A$2:$A$1504,B59)</f>
        <v/>
      </c>
      <c r="E59" s="4">
        <f>IF(D59&gt;0,C59*1000/D59,0)</f>
        <v/>
      </c>
    </row>
    <row r="60">
      <c r="A60" t="inlineStr">
        <is>
          <t>Electric Utilities</t>
        </is>
      </c>
      <c r="B60" t="n">
        <v>2022</v>
      </c>
      <c r="C60" s="5">
        <f>SUMIFS('StatCan GHG'!$D$2:$D$1692,'StatCan GHG'!$E$2:$E$1692,A60,'StatCan GHG'!$A$2:$A$1692,B60)</f>
        <v/>
      </c>
      <c r="D60" s="5">
        <f>SUMIFS('StatCan Output'!$D$2:$D$1504,'StatCan Output'!$E$2:$E$1504,A60,'StatCan Output'!$A$2:$A$1504,B60)</f>
        <v/>
      </c>
      <c r="E60" s="4">
        <f>IF(D60&gt;0,C60*1000/D60,0)</f>
        <v/>
      </c>
    </row>
    <row r="61">
      <c r="A61" t="inlineStr">
        <is>
          <t>Gas Distribution &amp; Water</t>
        </is>
      </c>
      <c r="B61" t="n">
        <v>2009</v>
      </c>
      <c r="C61" s="5">
        <f>SUMIFS('StatCan GHG'!$D$2:$D$1692,'StatCan GHG'!$E$2:$E$1692,A61,'StatCan GHG'!$A$2:$A$1692,B61)</f>
        <v/>
      </c>
      <c r="D61" s="5">
        <f>SUMIFS('StatCan Output'!$D$2:$D$1504,'StatCan Output'!$E$2:$E$1504,A61,'StatCan Output'!$A$2:$A$1504,B61)</f>
        <v/>
      </c>
      <c r="E61" s="4">
        <f>IF(D61&gt;0,C61*1000/D61,0)</f>
        <v/>
      </c>
    </row>
    <row r="62">
      <c r="A62" t="inlineStr">
        <is>
          <t>Gas Distribution &amp; Water</t>
        </is>
      </c>
      <c r="B62" t="n">
        <v>2010</v>
      </c>
      <c r="C62" s="5">
        <f>SUMIFS('StatCan GHG'!$D$2:$D$1692,'StatCan GHG'!$E$2:$E$1692,A62,'StatCan GHG'!$A$2:$A$1692,B62)</f>
        <v/>
      </c>
      <c r="D62" s="5">
        <f>SUMIFS('StatCan Output'!$D$2:$D$1504,'StatCan Output'!$E$2:$E$1504,A62,'StatCan Output'!$A$2:$A$1504,B62)</f>
        <v/>
      </c>
      <c r="E62" s="4">
        <f>IF(D62&gt;0,C62*1000/D62,0)</f>
        <v/>
      </c>
    </row>
    <row r="63">
      <c r="A63" t="inlineStr">
        <is>
          <t>Gas Distribution &amp; Water</t>
        </is>
      </c>
      <c r="B63" t="n">
        <v>2011</v>
      </c>
      <c r="C63" s="5">
        <f>SUMIFS('StatCan GHG'!$D$2:$D$1692,'StatCan GHG'!$E$2:$E$1692,A63,'StatCan GHG'!$A$2:$A$1692,B63)</f>
        <v/>
      </c>
      <c r="D63" s="5">
        <f>SUMIFS('StatCan Output'!$D$2:$D$1504,'StatCan Output'!$E$2:$E$1504,A63,'StatCan Output'!$A$2:$A$1504,B63)</f>
        <v/>
      </c>
      <c r="E63" s="4">
        <f>IF(D63&gt;0,C63*1000/D63,0)</f>
        <v/>
      </c>
    </row>
    <row r="64">
      <c r="A64" t="inlineStr">
        <is>
          <t>Gas Distribution &amp; Water</t>
        </is>
      </c>
      <c r="B64" t="n">
        <v>2012</v>
      </c>
      <c r="C64" s="5">
        <f>SUMIFS('StatCan GHG'!$D$2:$D$1692,'StatCan GHG'!$E$2:$E$1692,A64,'StatCan GHG'!$A$2:$A$1692,B64)</f>
        <v/>
      </c>
      <c r="D64" s="5">
        <f>SUMIFS('StatCan Output'!$D$2:$D$1504,'StatCan Output'!$E$2:$E$1504,A64,'StatCan Output'!$A$2:$A$1504,B64)</f>
        <v/>
      </c>
      <c r="E64" s="4">
        <f>IF(D64&gt;0,C64*1000/D64,0)</f>
        <v/>
      </c>
    </row>
    <row r="65">
      <c r="A65" t="inlineStr">
        <is>
          <t>Gas Distribution &amp; Water</t>
        </is>
      </c>
      <c r="B65" t="n">
        <v>2013</v>
      </c>
      <c r="C65" s="5">
        <f>SUMIFS('StatCan GHG'!$D$2:$D$1692,'StatCan GHG'!$E$2:$E$1692,A65,'StatCan GHG'!$A$2:$A$1692,B65)</f>
        <v/>
      </c>
      <c r="D65" s="5">
        <f>SUMIFS('StatCan Output'!$D$2:$D$1504,'StatCan Output'!$E$2:$E$1504,A65,'StatCan Output'!$A$2:$A$1504,B65)</f>
        <v/>
      </c>
      <c r="E65" s="4">
        <f>IF(D65&gt;0,C65*1000/D65,0)</f>
        <v/>
      </c>
    </row>
    <row r="66">
      <c r="A66" t="inlineStr">
        <is>
          <t>Gas Distribution &amp; Water</t>
        </is>
      </c>
      <c r="B66" t="n">
        <v>2014</v>
      </c>
      <c r="C66" s="5">
        <f>SUMIFS('StatCan GHG'!$D$2:$D$1692,'StatCan GHG'!$E$2:$E$1692,A66,'StatCan GHG'!$A$2:$A$1692,B66)</f>
        <v/>
      </c>
      <c r="D66" s="5">
        <f>SUMIFS('StatCan Output'!$D$2:$D$1504,'StatCan Output'!$E$2:$E$1504,A66,'StatCan Output'!$A$2:$A$1504,B66)</f>
        <v/>
      </c>
      <c r="E66" s="4">
        <f>IF(D66&gt;0,C66*1000/D66,0)</f>
        <v/>
      </c>
    </row>
    <row r="67">
      <c r="A67" t="inlineStr">
        <is>
          <t>Gas Distribution &amp; Water</t>
        </is>
      </c>
      <c r="B67" t="n">
        <v>2015</v>
      </c>
      <c r="C67" s="5">
        <f>SUMIFS('StatCan GHG'!$D$2:$D$1692,'StatCan GHG'!$E$2:$E$1692,A67,'StatCan GHG'!$A$2:$A$1692,B67)</f>
        <v/>
      </c>
      <c r="D67" s="5">
        <f>SUMIFS('StatCan Output'!$D$2:$D$1504,'StatCan Output'!$E$2:$E$1504,A67,'StatCan Output'!$A$2:$A$1504,B67)</f>
        <v/>
      </c>
      <c r="E67" s="4">
        <f>IF(D67&gt;0,C67*1000/D67,0)</f>
        <v/>
      </c>
    </row>
    <row r="68">
      <c r="A68" t="inlineStr">
        <is>
          <t>Gas Distribution &amp; Water</t>
        </is>
      </c>
      <c r="B68" t="n">
        <v>2016</v>
      </c>
      <c r="C68" s="5">
        <f>SUMIFS('StatCan GHG'!$D$2:$D$1692,'StatCan GHG'!$E$2:$E$1692,A68,'StatCan GHG'!$A$2:$A$1692,B68)</f>
        <v/>
      </c>
      <c r="D68" s="5">
        <f>SUMIFS('StatCan Output'!$D$2:$D$1504,'StatCan Output'!$E$2:$E$1504,A68,'StatCan Output'!$A$2:$A$1504,B68)</f>
        <v/>
      </c>
      <c r="E68" s="4">
        <f>IF(D68&gt;0,C68*1000/D68,0)</f>
        <v/>
      </c>
    </row>
    <row r="69">
      <c r="A69" t="inlineStr">
        <is>
          <t>Gas Distribution &amp; Water</t>
        </is>
      </c>
      <c r="B69" t="n">
        <v>2017</v>
      </c>
      <c r="C69" s="5">
        <f>SUMIFS('StatCan GHG'!$D$2:$D$1692,'StatCan GHG'!$E$2:$E$1692,A69,'StatCan GHG'!$A$2:$A$1692,B69)</f>
        <v/>
      </c>
      <c r="D69" s="5">
        <f>SUMIFS('StatCan Output'!$D$2:$D$1504,'StatCan Output'!$E$2:$E$1504,A69,'StatCan Output'!$A$2:$A$1504,B69)</f>
        <v/>
      </c>
      <c r="E69" s="4">
        <f>IF(D69&gt;0,C69*1000/D69,0)</f>
        <v/>
      </c>
    </row>
    <row r="70">
      <c r="A70" t="inlineStr">
        <is>
          <t>Gas Distribution &amp; Water</t>
        </is>
      </c>
      <c r="B70" t="n">
        <v>2018</v>
      </c>
      <c r="C70" s="5">
        <f>SUMIFS('StatCan GHG'!$D$2:$D$1692,'StatCan GHG'!$E$2:$E$1692,A70,'StatCan GHG'!$A$2:$A$1692,B70)</f>
        <v/>
      </c>
      <c r="D70" s="5">
        <f>SUMIFS('StatCan Output'!$D$2:$D$1504,'StatCan Output'!$E$2:$E$1504,A70,'StatCan Output'!$A$2:$A$1504,B70)</f>
        <v/>
      </c>
      <c r="E70" s="4">
        <f>IF(D70&gt;0,C70*1000/D70,0)</f>
        <v/>
      </c>
    </row>
    <row r="71">
      <c r="A71" t="inlineStr">
        <is>
          <t>Gas Distribution &amp; Water</t>
        </is>
      </c>
      <c r="B71" t="n">
        <v>2019</v>
      </c>
      <c r="C71" s="5">
        <f>SUMIFS('StatCan GHG'!$D$2:$D$1692,'StatCan GHG'!$E$2:$E$1692,A71,'StatCan GHG'!$A$2:$A$1692,B71)</f>
        <v/>
      </c>
      <c r="D71" s="5">
        <f>SUMIFS('StatCan Output'!$D$2:$D$1504,'StatCan Output'!$E$2:$E$1504,A71,'StatCan Output'!$A$2:$A$1504,B71)</f>
        <v/>
      </c>
      <c r="E71" s="4">
        <f>IF(D71&gt;0,C71*1000/D71,0)</f>
        <v/>
      </c>
    </row>
    <row r="72">
      <c r="A72" t="inlineStr">
        <is>
          <t>Gas Distribution &amp; Water</t>
        </is>
      </c>
      <c r="B72" t="n">
        <v>2020</v>
      </c>
      <c r="C72" s="5">
        <f>SUMIFS('StatCan GHG'!$D$2:$D$1692,'StatCan GHG'!$E$2:$E$1692,A72,'StatCan GHG'!$A$2:$A$1692,B72)</f>
        <v/>
      </c>
      <c r="D72" s="5">
        <f>SUMIFS('StatCan Output'!$D$2:$D$1504,'StatCan Output'!$E$2:$E$1504,A72,'StatCan Output'!$A$2:$A$1504,B72)</f>
        <v/>
      </c>
      <c r="E72" s="4">
        <f>IF(D72&gt;0,C72*1000/D72,0)</f>
        <v/>
      </c>
    </row>
    <row r="73">
      <c r="A73" t="inlineStr">
        <is>
          <t>Gas Distribution &amp; Water</t>
        </is>
      </c>
      <c r="B73" t="n">
        <v>2021</v>
      </c>
      <c r="C73" s="5">
        <f>SUMIFS('StatCan GHG'!$D$2:$D$1692,'StatCan GHG'!$E$2:$E$1692,A73,'StatCan GHG'!$A$2:$A$1692,B73)</f>
        <v/>
      </c>
      <c r="D73" s="5">
        <f>SUMIFS('StatCan Output'!$D$2:$D$1504,'StatCan Output'!$E$2:$E$1504,A73,'StatCan Output'!$A$2:$A$1504,B73)</f>
        <v/>
      </c>
      <c r="E73" s="4">
        <f>IF(D73&gt;0,C73*1000/D73,0)</f>
        <v/>
      </c>
    </row>
    <row r="74">
      <c r="A74" t="inlineStr">
        <is>
          <t>Gas Distribution &amp; Water</t>
        </is>
      </c>
      <c r="B74" t="n">
        <v>2022</v>
      </c>
      <c r="C74" s="5">
        <f>SUMIFS('StatCan GHG'!$D$2:$D$1692,'StatCan GHG'!$E$2:$E$1692,A74,'StatCan GHG'!$A$2:$A$1692,B74)</f>
        <v/>
      </c>
      <c r="D74" s="5">
        <f>SUMIFS('StatCan Output'!$D$2:$D$1504,'StatCan Output'!$E$2:$E$1504,A74,'StatCan Output'!$A$2:$A$1504,B74)</f>
        <v/>
      </c>
      <c r="E74" s="4">
        <f>IF(D74&gt;0,C74*1000/D74,0)</f>
        <v/>
      </c>
    </row>
    <row r="75">
      <c r="A75" t="inlineStr">
        <is>
          <t>Mining &amp; Quarrying</t>
        </is>
      </c>
      <c r="B75" t="n">
        <v>2009</v>
      </c>
      <c r="C75" s="5">
        <f>SUMIFS('StatCan GHG'!$D$2:$D$1692,'StatCan GHG'!$E$2:$E$1692,A75,'StatCan GHG'!$A$2:$A$1692,B75)</f>
        <v/>
      </c>
      <c r="D75" s="5">
        <f>SUMIFS('StatCan Output'!$D$2:$D$1504,'StatCan Output'!$E$2:$E$1504,A75,'StatCan Output'!$A$2:$A$1504,B75)</f>
        <v/>
      </c>
      <c r="E75" s="4">
        <f>IF(D75&gt;0,C75*1000/D75,0)</f>
        <v/>
      </c>
    </row>
    <row r="76">
      <c r="A76" t="inlineStr">
        <is>
          <t>Mining &amp; Quarrying</t>
        </is>
      </c>
      <c r="B76" t="n">
        <v>2010</v>
      </c>
      <c r="C76" s="5">
        <f>SUMIFS('StatCan GHG'!$D$2:$D$1692,'StatCan GHG'!$E$2:$E$1692,A76,'StatCan GHG'!$A$2:$A$1692,B76)</f>
        <v/>
      </c>
      <c r="D76" s="5">
        <f>SUMIFS('StatCan Output'!$D$2:$D$1504,'StatCan Output'!$E$2:$E$1504,A76,'StatCan Output'!$A$2:$A$1504,B76)</f>
        <v/>
      </c>
      <c r="E76" s="4">
        <f>IF(D76&gt;0,C76*1000/D76,0)</f>
        <v/>
      </c>
    </row>
    <row r="77">
      <c r="A77" t="inlineStr">
        <is>
          <t>Mining &amp; Quarrying</t>
        </is>
      </c>
      <c r="B77" t="n">
        <v>2011</v>
      </c>
      <c r="C77" s="5">
        <f>SUMIFS('StatCan GHG'!$D$2:$D$1692,'StatCan GHG'!$E$2:$E$1692,A77,'StatCan GHG'!$A$2:$A$1692,B77)</f>
        <v/>
      </c>
      <c r="D77" s="5">
        <f>SUMIFS('StatCan Output'!$D$2:$D$1504,'StatCan Output'!$E$2:$E$1504,A77,'StatCan Output'!$A$2:$A$1504,B77)</f>
        <v/>
      </c>
      <c r="E77" s="4">
        <f>IF(D77&gt;0,C77*1000/D77,0)</f>
        <v/>
      </c>
    </row>
    <row r="78">
      <c r="A78" t="inlineStr">
        <is>
          <t>Mining &amp; Quarrying</t>
        </is>
      </c>
      <c r="B78" t="n">
        <v>2012</v>
      </c>
      <c r="C78" s="5">
        <f>SUMIFS('StatCan GHG'!$D$2:$D$1692,'StatCan GHG'!$E$2:$E$1692,A78,'StatCan GHG'!$A$2:$A$1692,B78)</f>
        <v/>
      </c>
      <c r="D78" s="5">
        <f>SUMIFS('StatCan Output'!$D$2:$D$1504,'StatCan Output'!$E$2:$E$1504,A78,'StatCan Output'!$A$2:$A$1504,B78)</f>
        <v/>
      </c>
      <c r="E78" s="4">
        <f>IF(D78&gt;0,C78*1000/D78,0)</f>
        <v/>
      </c>
    </row>
    <row r="79">
      <c r="A79" t="inlineStr">
        <is>
          <t>Mining &amp; Quarrying</t>
        </is>
      </c>
      <c r="B79" t="n">
        <v>2013</v>
      </c>
      <c r="C79" s="5">
        <f>SUMIFS('StatCan GHG'!$D$2:$D$1692,'StatCan GHG'!$E$2:$E$1692,A79,'StatCan GHG'!$A$2:$A$1692,B79)</f>
        <v/>
      </c>
      <c r="D79" s="5">
        <f>SUMIFS('StatCan Output'!$D$2:$D$1504,'StatCan Output'!$E$2:$E$1504,A79,'StatCan Output'!$A$2:$A$1504,B79)</f>
        <v/>
      </c>
      <c r="E79" s="4">
        <f>IF(D79&gt;0,C79*1000/D79,0)</f>
        <v/>
      </c>
    </row>
    <row r="80">
      <c r="A80" t="inlineStr">
        <is>
          <t>Mining &amp; Quarrying</t>
        </is>
      </c>
      <c r="B80" t="n">
        <v>2014</v>
      </c>
      <c r="C80" s="5">
        <f>SUMIFS('StatCan GHG'!$D$2:$D$1692,'StatCan GHG'!$E$2:$E$1692,A80,'StatCan GHG'!$A$2:$A$1692,B80)</f>
        <v/>
      </c>
      <c r="D80" s="5">
        <f>SUMIFS('StatCan Output'!$D$2:$D$1504,'StatCan Output'!$E$2:$E$1504,A80,'StatCan Output'!$A$2:$A$1504,B80)</f>
        <v/>
      </c>
      <c r="E80" s="4">
        <f>IF(D80&gt;0,C80*1000/D80,0)</f>
        <v/>
      </c>
    </row>
    <row r="81">
      <c r="A81" t="inlineStr">
        <is>
          <t>Mining &amp; Quarrying</t>
        </is>
      </c>
      <c r="B81" t="n">
        <v>2015</v>
      </c>
      <c r="C81" s="5">
        <f>SUMIFS('StatCan GHG'!$D$2:$D$1692,'StatCan GHG'!$E$2:$E$1692,A81,'StatCan GHG'!$A$2:$A$1692,B81)</f>
        <v/>
      </c>
      <c r="D81" s="5">
        <f>SUMIFS('StatCan Output'!$D$2:$D$1504,'StatCan Output'!$E$2:$E$1504,A81,'StatCan Output'!$A$2:$A$1504,B81)</f>
        <v/>
      </c>
      <c r="E81" s="4">
        <f>IF(D81&gt;0,C81*1000/D81,0)</f>
        <v/>
      </c>
    </row>
    <row r="82">
      <c r="A82" t="inlineStr">
        <is>
          <t>Mining &amp; Quarrying</t>
        </is>
      </c>
      <c r="B82" t="n">
        <v>2016</v>
      </c>
      <c r="C82" s="5">
        <f>SUMIFS('StatCan GHG'!$D$2:$D$1692,'StatCan GHG'!$E$2:$E$1692,A82,'StatCan GHG'!$A$2:$A$1692,B82)</f>
        <v/>
      </c>
      <c r="D82" s="5">
        <f>SUMIFS('StatCan Output'!$D$2:$D$1504,'StatCan Output'!$E$2:$E$1504,A82,'StatCan Output'!$A$2:$A$1504,B82)</f>
        <v/>
      </c>
      <c r="E82" s="4">
        <f>IF(D82&gt;0,C82*1000/D82,0)</f>
        <v/>
      </c>
    </row>
    <row r="83">
      <c r="A83" t="inlineStr">
        <is>
          <t>Mining &amp; Quarrying</t>
        </is>
      </c>
      <c r="B83" t="n">
        <v>2017</v>
      </c>
      <c r="C83" s="5">
        <f>SUMIFS('StatCan GHG'!$D$2:$D$1692,'StatCan GHG'!$E$2:$E$1692,A83,'StatCan GHG'!$A$2:$A$1692,B83)</f>
        <v/>
      </c>
      <c r="D83" s="5">
        <f>SUMIFS('StatCan Output'!$D$2:$D$1504,'StatCan Output'!$E$2:$E$1504,A83,'StatCan Output'!$A$2:$A$1504,B83)</f>
        <v/>
      </c>
      <c r="E83" s="4">
        <f>IF(D83&gt;0,C83*1000/D83,0)</f>
        <v/>
      </c>
    </row>
    <row r="84">
      <c r="A84" t="inlineStr">
        <is>
          <t>Mining &amp; Quarrying</t>
        </is>
      </c>
      <c r="B84" t="n">
        <v>2018</v>
      </c>
      <c r="C84" s="5">
        <f>SUMIFS('StatCan GHG'!$D$2:$D$1692,'StatCan GHG'!$E$2:$E$1692,A84,'StatCan GHG'!$A$2:$A$1692,B84)</f>
        <v/>
      </c>
      <c r="D84" s="5">
        <f>SUMIFS('StatCan Output'!$D$2:$D$1504,'StatCan Output'!$E$2:$E$1504,A84,'StatCan Output'!$A$2:$A$1504,B84)</f>
        <v/>
      </c>
      <c r="E84" s="4">
        <f>IF(D84&gt;0,C84*1000/D84,0)</f>
        <v/>
      </c>
    </row>
    <row r="85">
      <c r="A85" t="inlineStr">
        <is>
          <t>Mining &amp; Quarrying</t>
        </is>
      </c>
      <c r="B85" t="n">
        <v>2019</v>
      </c>
      <c r="C85" s="5">
        <f>SUMIFS('StatCan GHG'!$D$2:$D$1692,'StatCan GHG'!$E$2:$E$1692,A85,'StatCan GHG'!$A$2:$A$1692,B85)</f>
        <v/>
      </c>
      <c r="D85" s="5">
        <f>SUMIFS('StatCan Output'!$D$2:$D$1504,'StatCan Output'!$E$2:$E$1504,A85,'StatCan Output'!$A$2:$A$1504,B85)</f>
        <v/>
      </c>
      <c r="E85" s="4">
        <f>IF(D85&gt;0,C85*1000/D85,0)</f>
        <v/>
      </c>
    </row>
    <row r="86">
      <c r="A86" t="inlineStr">
        <is>
          <t>Mining &amp; Quarrying</t>
        </is>
      </c>
      <c r="B86" t="n">
        <v>2020</v>
      </c>
      <c r="C86" s="5">
        <f>SUMIFS('StatCan GHG'!$D$2:$D$1692,'StatCan GHG'!$E$2:$E$1692,A86,'StatCan GHG'!$A$2:$A$1692,B86)</f>
        <v/>
      </c>
      <c r="D86" s="5">
        <f>SUMIFS('StatCan Output'!$D$2:$D$1504,'StatCan Output'!$E$2:$E$1504,A86,'StatCan Output'!$A$2:$A$1504,B86)</f>
        <v/>
      </c>
      <c r="E86" s="4">
        <f>IF(D86&gt;0,C86*1000/D86,0)</f>
        <v/>
      </c>
    </row>
    <row r="87">
      <c r="A87" t="inlineStr">
        <is>
          <t>Mining &amp; Quarrying</t>
        </is>
      </c>
      <c r="B87" t="n">
        <v>2021</v>
      </c>
      <c r="C87" s="5">
        <f>SUMIFS('StatCan GHG'!$D$2:$D$1692,'StatCan GHG'!$E$2:$E$1692,A87,'StatCan GHG'!$A$2:$A$1692,B87)</f>
        <v/>
      </c>
      <c r="D87" s="5">
        <f>SUMIFS('StatCan Output'!$D$2:$D$1504,'StatCan Output'!$E$2:$E$1504,A87,'StatCan Output'!$A$2:$A$1504,B87)</f>
        <v/>
      </c>
      <c r="E87" s="4">
        <f>IF(D87&gt;0,C87*1000/D87,0)</f>
        <v/>
      </c>
    </row>
    <row r="88">
      <c r="A88" t="inlineStr">
        <is>
          <t>Mining &amp; Quarrying</t>
        </is>
      </c>
      <c r="B88" t="n">
        <v>2022</v>
      </c>
      <c r="C88" s="5">
        <f>SUMIFS('StatCan GHG'!$D$2:$D$1692,'StatCan GHG'!$E$2:$E$1692,A88,'StatCan GHG'!$A$2:$A$1692,B88)</f>
        <v/>
      </c>
      <c r="D88" s="5">
        <f>SUMIFS('StatCan Output'!$D$2:$D$1504,'StatCan Output'!$E$2:$E$1504,A88,'StatCan Output'!$A$2:$A$1504,B88)</f>
        <v/>
      </c>
      <c r="E88" s="4">
        <f>IF(D88&gt;0,C88*1000/D88,0)</f>
        <v/>
      </c>
    </row>
    <row r="89">
      <c r="A89" t="inlineStr">
        <is>
          <t>Cement &amp; Building Materials</t>
        </is>
      </c>
      <c r="B89" t="n">
        <v>2009</v>
      </c>
      <c r="C89" s="5">
        <f>SUMIFS('StatCan GHG'!$D$2:$D$1692,'StatCan GHG'!$E$2:$E$1692,A89,'StatCan GHG'!$A$2:$A$1692,B89)</f>
        <v/>
      </c>
      <c r="D89" s="5">
        <f>SUMIFS('StatCan Output'!$D$2:$D$1504,'StatCan Output'!$E$2:$E$1504,A89,'StatCan Output'!$A$2:$A$1504,B89)</f>
        <v/>
      </c>
      <c r="E89" s="4">
        <f>IF(D89&gt;0,C89*1000/D89,0)</f>
        <v/>
      </c>
    </row>
    <row r="90">
      <c r="A90" t="inlineStr">
        <is>
          <t>Cement &amp; Building Materials</t>
        </is>
      </c>
      <c r="B90" t="n">
        <v>2010</v>
      </c>
      <c r="C90" s="5">
        <f>SUMIFS('StatCan GHG'!$D$2:$D$1692,'StatCan GHG'!$E$2:$E$1692,A90,'StatCan GHG'!$A$2:$A$1692,B90)</f>
        <v/>
      </c>
      <c r="D90" s="5">
        <f>SUMIFS('StatCan Output'!$D$2:$D$1504,'StatCan Output'!$E$2:$E$1504,A90,'StatCan Output'!$A$2:$A$1504,B90)</f>
        <v/>
      </c>
      <c r="E90" s="4">
        <f>IF(D90&gt;0,C90*1000/D90,0)</f>
        <v/>
      </c>
    </row>
    <row r="91">
      <c r="A91" t="inlineStr">
        <is>
          <t>Cement &amp; Building Materials</t>
        </is>
      </c>
      <c r="B91" t="n">
        <v>2011</v>
      </c>
      <c r="C91" s="5">
        <f>SUMIFS('StatCan GHG'!$D$2:$D$1692,'StatCan GHG'!$E$2:$E$1692,A91,'StatCan GHG'!$A$2:$A$1692,B91)</f>
        <v/>
      </c>
      <c r="D91" s="5">
        <f>SUMIFS('StatCan Output'!$D$2:$D$1504,'StatCan Output'!$E$2:$E$1504,A91,'StatCan Output'!$A$2:$A$1504,B91)</f>
        <v/>
      </c>
      <c r="E91" s="4">
        <f>IF(D91&gt;0,C91*1000/D91,0)</f>
        <v/>
      </c>
    </row>
    <row r="92">
      <c r="A92" t="inlineStr">
        <is>
          <t>Cement &amp; Building Materials</t>
        </is>
      </c>
      <c r="B92" t="n">
        <v>2012</v>
      </c>
      <c r="C92" s="5">
        <f>SUMIFS('StatCan GHG'!$D$2:$D$1692,'StatCan GHG'!$E$2:$E$1692,A92,'StatCan GHG'!$A$2:$A$1692,B92)</f>
        <v/>
      </c>
      <c r="D92" s="5">
        <f>SUMIFS('StatCan Output'!$D$2:$D$1504,'StatCan Output'!$E$2:$E$1504,A92,'StatCan Output'!$A$2:$A$1504,B92)</f>
        <v/>
      </c>
      <c r="E92" s="4">
        <f>IF(D92&gt;0,C92*1000/D92,0)</f>
        <v/>
      </c>
    </row>
    <row r="93">
      <c r="A93" t="inlineStr">
        <is>
          <t>Cement &amp; Building Materials</t>
        </is>
      </c>
      <c r="B93" t="n">
        <v>2013</v>
      </c>
      <c r="C93" s="5">
        <f>SUMIFS('StatCan GHG'!$D$2:$D$1692,'StatCan GHG'!$E$2:$E$1692,A93,'StatCan GHG'!$A$2:$A$1692,B93)</f>
        <v/>
      </c>
      <c r="D93" s="5">
        <f>SUMIFS('StatCan Output'!$D$2:$D$1504,'StatCan Output'!$E$2:$E$1504,A93,'StatCan Output'!$A$2:$A$1504,B93)</f>
        <v/>
      </c>
      <c r="E93" s="4">
        <f>IF(D93&gt;0,C93*1000/D93,0)</f>
        <v/>
      </c>
    </row>
    <row r="94">
      <c r="A94" t="inlineStr">
        <is>
          <t>Cement &amp; Building Materials</t>
        </is>
      </c>
      <c r="B94" t="n">
        <v>2014</v>
      </c>
      <c r="C94" s="5">
        <f>SUMIFS('StatCan GHG'!$D$2:$D$1692,'StatCan GHG'!$E$2:$E$1692,A94,'StatCan GHG'!$A$2:$A$1692,B94)</f>
        <v/>
      </c>
      <c r="D94" s="5">
        <f>SUMIFS('StatCan Output'!$D$2:$D$1504,'StatCan Output'!$E$2:$E$1504,A94,'StatCan Output'!$A$2:$A$1504,B94)</f>
        <v/>
      </c>
      <c r="E94" s="4">
        <f>IF(D94&gt;0,C94*1000/D94,0)</f>
        <v/>
      </c>
    </row>
    <row r="95">
      <c r="A95" t="inlineStr">
        <is>
          <t>Cement &amp; Building Materials</t>
        </is>
      </c>
      <c r="B95" t="n">
        <v>2015</v>
      </c>
      <c r="C95" s="5">
        <f>SUMIFS('StatCan GHG'!$D$2:$D$1692,'StatCan GHG'!$E$2:$E$1692,A95,'StatCan GHG'!$A$2:$A$1692,B95)</f>
        <v/>
      </c>
      <c r="D95" s="5">
        <f>SUMIFS('StatCan Output'!$D$2:$D$1504,'StatCan Output'!$E$2:$E$1504,A95,'StatCan Output'!$A$2:$A$1504,B95)</f>
        <v/>
      </c>
      <c r="E95" s="4">
        <f>IF(D95&gt;0,C95*1000/D95,0)</f>
        <v/>
      </c>
    </row>
    <row r="96">
      <c r="A96" t="inlineStr">
        <is>
          <t>Cement &amp; Building Materials</t>
        </is>
      </c>
      <c r="B96" t="n">
        <v>2016</v>
      </c>
      <c r="C96" s="5">
        <f>SUMIFS('StatCan GHG'!$D$2:$D$1692,'StatCan GHG'!$E$2:$E$1692,A96,'StatCan GHG'!$A$2:$A$1692,B96)</f>
        <v/>
      </c>
      <c r="D96" s="5">
        <f>SUMIFS('StatCan Output'!$D$2:$D$1504,'StatCan Output'!$E$2:$E$1504,A96,'StatCan Output'!$A$2:$A$1504,B96)</f>
        <v/>
      </c>
      <c r="E96" s="4">
        <f>IF(D96&gt;0,C96*1000/D96,0)</f>
        <v/>
      </c>
    </row>
    <row r="97">
      <c r="A97" t="inlineStr">
        <is>
          <t>Cement &amp; Building Materials</t>
        </is>
      </c>
      <c r="B97" t="n">
        <v>2017</v>
      </c>
      <c r="C97" s="5">
        <f>SUMIFS('StatCan GHG'!$D$2:$D$1692,'StatCan GHG'!$E$2:$E$1692,A97,'StatCan GHG'!$A$2:$A$1692,B97)</f>
        <v/>
      </c>
      <c r="D97" s="5">
        <f>SUMIFS('StatCan Output'!$D$2:$D$1504,'StatCan Output'!$E$2:$E$1504,A97,'StatCan Output'!$A$2:$A$1504,B97)</f>
        <v/>
      </c>
      <c r="E97" s="4">
        <f>IF(D97&gt;0,C97*1000/D97,0)</f>
        <v/>
      </c>
    </row>
    <row r="98">
      <c r="A98" t="inlineStr">
        <is>
          <t>Cement &amp; Building Materials</t>
        </is>
      </c>
      <c r="B98" t="n">
        <v>2018</v>
      </c>
      <c r="C98" s="5">
        <f>SUMIFS('StatCan GHG'!$D$2:$D$1692,'StatCan GHG'!$E$2:$E$1692,A98,'StatCan GHG'!$A$2:$A$1692,B98)</f>
        <v/>
      </c>
      <c r="D98" s="5">
        <f>SUMIFS('StatCan Output'!$D$2:$D$1504,'StatCan Output'!$E$2:$E$1504,A98,'StatCan Output'!$A$2:$A$1504,B98)</f>
        <v/>
      </c>
      <c r="E98" s="4">
        <f>IF(D98&gt;0,C98*1000/D98,0)</f>
        <v/>
      </c>
    </row>
    <row r="99">
      <c r="A99" t="inlineStr">
        <is>
          <t>Cement &amp; Building Materials</t>
        </is>
      </c>
      <c r="B99" t="n">
        <v>2019</v>
      </c>
      <c r="C99" s="5">
        <f>SUMIFS('StatCan GHG'!$D$2:$D$1692,'StatCan GHG'!$E$2:$E$1692,A99,'StatCan GHG'!$A$2:$A$1692,B99)</f>
        <v/>
      </c>
      <c r="D99" s="5">
        <f>SUMIFS('StatCan Output'!$D$2:$D$1504,'StatCan Output'!$E$2:$E$1504,A99,'StatCan Output'!$A$2:$A$1504,B99)</f>
        <v/>
      </c>
      <c r="E99" s="4">
        <f>IF(D99&gt;0,C99*1000/D99,0)</f>
        <v/>
      </c>
    </row>
    <row r="100">
      <c r="A100" t="inlineStr">
        <is>
          <t>Cement &amp; Building Materials</t>
        </is>
      </c>
      <c r="B100" t="n">
        <v>2020</v>
      </c>
      <c r="C100" s="5">
        <f>SUMIFS('StatCan GHG'!$D$2:$D$1692,'StatCan GHG'!$E$2:$E$1692,A100,'StatCan GHG'!$A$2:$A$1692,B100)</f>
        <v/>
      </c>
      <c r="D100" s="5">
        <f>SUMIFS('StatCan Output'!$D$2:$D$1504,'StatCan Output'!$E$2:$E$1504,A100,'StatCan Output'!$A$2:$A$1504,B100)</f>
        <v/>
      </c>
      <c r="E100" s="4">
        <f>IF(D100&gt;0,C100*1000/D100,0)</f>
        <v/>
      </c>
    </row>
    <row r="101">
      <c r="A101" t="inlineStr">
        <is>
          <t>Cement &amp; Building Materials</t>
        </is>
      </c>
      <c r="B101" t="n">
        <v>2021</v>
      </c>
      <c r="C101" s="5">
        <f>SUMIFS('StatCan GHG'!$D$2:$D$1692,'StatCan GHG'!$E$2:$E$1692,A101,'StatCan GHG'!$A$2:$A$1692,B101)</f>
        <v/>
      </c>
      <c r="D101" s="5">
        <f>SUMIFS('StatCan Output'!$D$2:$D$1504,'StatCan Output'!$E$2:$E$1504,A101,'StatCan Output'!$A$2:$A$1504,B101)</f>
        <v/>
      </c>
      <c r="E101" s="4">
        <f>IF(D101&gt;0,C101*1000/D101,0)</f>
        <v/>
      </c>
    </row>
    <row r="102">
      <c r="A102" t="inlineStr">
        <is>
          <t>Cement &amp; Building Materials</t>
        </is>
      </c>
      <c r="B102" t="n">
        <v>2022</v>
      </c>
      <c r="C102" s="5">
        <f>SUMIFS('StatCan GHG'!$D$2:$D$1692,'StatCan GHG'!$E$2:$E$1692,A102,'StatCan GHG'!$A$2:$A$1692,B102)</f>
        <v/>
      </c>
      <c r="D102" s="5">
        <f>SUMIFS('StatCan Output'!$D$2:$D$1504,'StatCan Output'!$E$2:$E$1504,A102,'StatCan Output'!$A$2:$A$1504,B102)</f>
        <v/>
      </c>
      <c r="E102" s="4">
        <f>IF(D102&gt;0,C102*1000/D102,0)</f>
        <v/>
      </c>
    </row>
    <row r="103">
      <c r="A103" t="inlineStr">
        <is>
          <t>Metals &amp; Steel</t>
        </is>
      </c>
      <c r="B103" t="n">
        <v>2009</v>
      </c>
      <c r="C103" s="5">
        <f>SUMIFS('StatCan GHG'!$D$2:$D$1692,'StatCan GHG'!$E$2:$E$1692,A103,'StatCan GHG'!$A$2:$A$1692,B103)</f>
        <v/>
      </c>
      <c r="D103" s="5">
        <f>SUMIFS('StatCan Output'!$D$2:$D$1504,'StatCan Output'!$E$2:$E$1504,A103,'StatCan Output'!$A$2:$A$1504,B103)</f>
        <v/>
      </c>
      <c r="E103" s="4">
        <f>IF(D103&gt;0,C103*1000/D103,0)</f>
        <v/>
      </c>
    </row>
    <row r="104">
      <c r="A104" t="inlineStr">
        <is>
          <t>Metals &amp; Steel</t>
        </is>
      </c>
      <c r="B104" t="n">
        <v>2010</v>
      </c>
      <c r="C104" s="5">
        <f>SUMIFS('StatCan GHG'!$D$2:$D$1692,'StatCan GHG'!$E$2:$E$1692,A104,'StatCan GHG'!$A$2:$A$1692,B104)</f>
        <v/>
      </c>
      <c r="D104" s="5">
        <f>SUMIFS('StatCan Output'!$D$2:$D$1504,'StatCan Output'!$E$2:$E$1504,A104,'StatCan Output'!$A$2:$A$1504,B104)</f>
        <v/>
      </c>
      <c r="E104" s="4">
        <f>IF(D104&gt;0,C104*1000/D104,0)</f>
        <v/>
      </c>
    </row>
    <row r="105">
      <c r="A105" t="inlineStr">
        <is>
          <t>Metals &amp; Steel</t>
        </is>
      </c>
      <c r="B105" t="n">
        <v>2011</v>
      </c>
      <c r="C105" s="5">
        <f>SUMIFS('StatCan GHG'!$D$2:$D$1692,'StatCan GHG'!$E$2:$E$1692,A105,'StatCan GHG'!$A$2:$A$1692,B105)</f>
        <v/>
      </c>
      <c r="D105" s="5">
        <f>SUMIFS('StatCan Output'!$D$2:$D$1504,'StatCan Output'!$E$2:$E$1504,A105,'StatCan Output'!$A$2:$A$1504,B105)</f>
        <v/>
      </c>
      <c r="E105" s="4">
        <f>IF(D105&gt;0,C105*1000/D105,0)</f>
        <v/>
      </c>
    </row>
    <row r="106">
      <c r="A106" t="inlineStr">
        <is>
          <t>Metals &amp; Steel</t>
        </is>
      </c>
      <c r="B106" t="n">
        <v>2012</v>
      </c>
      <c r="C106" s="5">
        <f>SUMIFS('StatCan GHG'!$D$2:$D$1692,'StatCan GHG'!$E$2:$E$1692,A106,'StatCan GHG'!$A$2:$A$1692,B106)</f>
        <v/>
      </c>
      <c r="D106" s="5">
        <f>SUMIFS('StatCan Output'!$D$2:$D$1504,'StatCan Output'!$E$2:$E$1504,A106,'StatCan Output'!$A$2:$A$1504,B106)</f>
        <v/>
      </c>
      <c r="E106" s="4">
        <f>IF(D106&gt;0,C106*1000/D106,0)</f>
        <v/>
      </c>
    </row>
    <row r="107">
      <c r="A107" t="inlineStr">
        <is>
          <t>Metals &amp; Steel</t>
        </is>
      </c>
      <c r="B107" t="n">
        <v>2013</v>
      </c>
      <c r="C107" s="5">
        <f>SUMIFS('StatCan GHG'!$D$2:$D$1692,'StatCan GHG'!$E$2:$E$1692,A107,'StatCan GHG'!$A$2:$A$1692,B107)</f>
        <v/>
      </c>
      <c r="D107" s="5">
        <f>SUMIFS('StatCan Output'!$D$2:$D$1504,'StatCan Output'!$E$2:$E$1504,A107,'StatCan Output'!$A$2:$A$1504,B107)</f>
        <v/>
      </c>
      <c r="E107" s="4">
        <f>IF(D107&gt;0,C107*1000/D107,0)</f>
        <v/>
      </c>
    </row>
    <row r="108">
      <c r="A108" t="inlineStr">
        <is>
          <t>Metals &amp; Steel</t>
        </is>
      </c>
      <c r="B108" t="n">
        <v>2014</v>
      </c>
      <c r="C108" s="5">
        <f>SUMIFS('StatCan GHG'!$D$2:$D$1692,'StatCan GHG'!$E$2:$E$1692,A108,'StatCan GHG'!$A$2:$A$1692,B108)</f>
        <v/>
      </c>
      <c r="D108" s="5">
        <f>SUMIFS('StatCan Output'!$D$2:$D$1504,'StatCan Output'!$E$2:$E$1504,A108,'StatCan Output'!$A$2:$A$1504,B108)</f>
        <v/>
      </c>
      <c r="E108" s="4">
        <f>IF(D108&gt;0,C108*1000/D108,0)</f>
        <v/>
      </c>
    </row>
    <row r="109">
      <c r="A109" t="inlineStr">
        <is>
          <t>Metals &amp; Steel</t>
        </is>
      </c>
      <c r="B109" t="n">
        <v>2015</v>
      </c>
      <c r="C109" s="5">
        <f>SUMIFS('StatCan GHG'!$D$2:$D$1692,'StatCan GHG'!$E$2:$E$1692,A109,'StatCan GHG'!$A$2:$A$1692,B109)</f>
        <v/>
      </c>
      <c r="D109" s="5">
        <f>SUMIFS('StatCan Output'!$D$2:$D$1504,'StatCan Output'!$E$2:$E$1504,A109,'StatCan Output'!$A$2:$A$1504,B109)</f>
        <v/>
      </c>
      <c r="E109" s="4">
        <f>IF(D109&gt;0,C109*1000/D109,0)</f>
        <v/>
      </c>
    </row>
    <row r="110">
      <c r="A110" t="inlineStr">
        <is>
          <t>Metals &amp; Steel</t>
        </is>
      </c>
      <c r="B110" t="n">
        <v>2016</v>
      </c>
      <c r="C110" s="5">
        <f>SUMIFS('StatCan GHG'!$D$2:$D$1692,'StatCan GHG'!$E$2:$E$1692,A110,'StatCan GHG'!$A$2:$A$1692,B110)</f>
        <v/>
      </c>
      <c r="D110" s="5">
        <f>SUMIFS('StatCan Output'!$D$2:$D$1504,'StatCan Output'!$E$2:$E$1504,A110,'StatCan Output'!$A$2:$A$1504,B110)</f>
        <v/>
      </c>
      <c r="E110" s="4">
        <f>IF(D110&gt;0,C110*1000/D110,0)</f>
        <v/>
      </c>
    </row>
    <row r="111">
      <c r="A111" t="inlineStr">
        <is>
          <t>Metals &amp; Steel</t>
        </is>
      </c>
      <c r="B111" t="n">
        <v>2017</v>
      </c>
      <c r="C111" s="5">
        <f>SUMIFS('StatCan GHG'!$D$2:$D$1692,'StatCan GHG'!$E$2:$E$1692,A111,'StatCan GHG'!$A$2:$A$1692,B111)</f>
        <v/>
      </c>
      <c r="D111" s="5">
        <f>SUMIFS('StatCan Output'!$D$2:$D$1504,'StatCan Output'!$E$2:$E$1504,A111,'StatCan Output'!$A$2:$A$1504,B111)</f>
        <v/>
      </c>
      <c r="E111" s="4">
        <f>IF(D111&gt;0,C111*1000/D111,0)</f>
        <v/>
      </c>
    </row>
    <row r="112">
      <c r="A112" t="inlineStr">
        <is>
          <t>Metals &amp; Steel</t>
        </is>
      </c>
      <c r="B112" t="n">
        <v>2018</v>
      </c>
      <c r="C112" s="5">
        <f>SUMIFS('StatCan GHG'!$D$2:$D$1692,'StatCan GHG'!$E$2:$E$1692,A112,'StatCan GHG'!$A$2:$A$1692,B112)</f>
        <v/>
      </c>
      <c r="D112" s="5">
        <f>SUMIFS('StatCan Output'!$D$2:$D$1504,'StatCan Output'!$E$2:$E$1504,A112,'StatCan Output'!$A$2:$A$1504,B112)</f>
        <v/>
      </c>
      <c r="E112" s="4">
        <f>IF(D112&gt;0,C112*1000/D112,0)</f>
        <v/>
      </c>
    </row>
    <row r="113">
      <c r="A113" t="inlineStr">
        <is>
          <t>Metals &amp; Steel</t>
        </is>
      </c>
      <c r="B113" t="n">
        <v>2019</v>
      </c>
      <c r="C113" s="5">
        <f>SUMIFS('StatCan GHG'!$D$2:$D$1692,'StatCan GHG'!$E$2:$E$1692,A113,'StatCan GHG'!$A$2:$A$1692,B113)</f>
        <v/>
      </c>
      <c r="D113" s="5">
        <f>SUMIFS('StatCan Output'!$D$2:$D$1504,'StatCan Output'!$E$2:$E$1504,A113,'StatCan Output'!$A$2:$A$1504,B113)</f>
        <v/>
      </c>
      <c r="E113" s="4">
        <f>IF(D113&gt;0,C113*1000/D113,0)</f>
        <v/>
      </c>
    </row>
    <row r="114">
      <c r="A114" t="inlineStr">
        <is>
          <t>Metals &amp; Steel</t>
        </is>
      </c>
      <c r="B114" t="n">
        <v>2020</v>
      </c>
      <c r="C114" s="5">
        <f>SUMIFS('StatCan GHG'!$D$2:$D$1692,'StatCan GHG'!$E$2:$E$1692,A114,'StatCan GHG'!$A$2:$A$1692,B114)</f>
        <v/>
      </c>
      <c r="D114" s="5">
        <f>SUMIFS('StatCan Output'!$D$2:$D$1504,'StatCan Output'!$E$2:$E$1504,A114,'StatCan Output'!$A$2:$A$1504,B114)</f>
        <v/>
      </c>
      <c r="E114" s="4">
        <f>IF(D114&gt;0,C114*1000/D114,0)</f>
        <v/>
      </c>
    </row>
    <row r="115">
      <c r="A115" t="inlineStr">
        <is>
          <t>Metals &amp; Steel</t>
        </is>
      </c>
      <c r="B115" t="n">
        <v>2021</v>
      </c>
      <c r="C115" s="5">
        <f>SUMIFS('StatCan GHG'!$D$2:$D$1692,'StatCan GHG'!$E$2:$E$1692,A115,'StatCan GHG'!$A$2:$A$1692,B115)</f>
        <v/>
      </c>
      <c r="D115" s="5">
        <f>SUMIFS('StatCan Output'!$D$2:$D$1504,'StatCan Output'!$E$2:$E$1504,A115,'StatCan Output'!$A$2:$A$1504,B115)</f>
        <v/>
      </c>
      <c r="E115" s="4">
        <f>IF(D115&gt;0,C115*1000/D115,0)</f>
        <v/>
      </c>
    </row>
    <row r="116">
      <c r="A116" t="inlineStr">
        <is>
          <t>Metals &amp; Steel</t>
        </is>
      </c>
      <c r="B116" t="n">
        <v>2022</v>
      </c>
      <c r="C116" s="5">
        <f>SUMIFS('StatCan GHG'!$D$2:$D$1692,'StatCan GHG'!$E$2:$E$1692,A116,'StatCan GHG'!$A$2:$A$1692,B116)</f>
        <v/>
      </c>
      <c r="D116" s="5">
        <f>SUMIFS('StatCan Output'!$D$2:$D$1504,'StatCan Output'!$E$2:$E$1504,A116,'StatCan Output'!$A$2:$A$1504,B116)</f>
        <v/>
      </c>
      <c r="E116" s="4">
        <f>IF(D116&gt;0,C116*1000/D116,0)</f>
        <v/>
      </c>
    </row>
    <row r="117">
      <c r="A117" t="inlineStr">
        <is>
          <t>Chemicals &amp; Plastics</t>
        </is>
      </c>
      <c r="B117" t="n">
        <v>2009</v>
      </c>
      <c r="C117" s="5">
        <f>SUMIFS('StatCan GHG'!$D$2:$D$1692,'StatCan GHG'!$E$2:$E$1692,A117,'StatCan GHG'!$A$2:$A$1692,B117)</f>
        <v/>
      </c>
      <c r="D117" s="5">
        <f>SUMIFS('StatCan Output'!$D$2:$D$1504,'StatCan Output'!$E$2:$E$1504,A117,'StatCan Output'!$A$2:$A$1504,B117)</f>
        <v/>
      </c>
      <c r="E117" s="4">
        <f>IF(D117&gt;0,C117*1000/D117,0)</f>
        <v/>
      </c>
    </row>
    <row r="118">
      <c r="A118" t="inlineStr">
        <is>
          <t>Chemicals &amp; Plastics</t>
        </is>
      </c>
      <c r="B118" t="n">
        <v>2010</v>
      </c>
      <c r="C118" s="5">
        <f>SUMIFS('StatCan GHG'!$D$2:$D$1692,'StatCan GHG'!$E$2:$E$1692,A118,'StatCan GHG'!$A$2:$A$1692,B118)</f>
        <v/>
      </c>
      <c r="D118" s="5">
        <f>SUMIFS('StatCan Output'!$D$2:$D$1504,'StatCan Output'!$E$2:$E$1504,A118,'StatCan Output'!$A$2:$A$1504,B118)</f>
        <v/>
      </c>
      <c r="E118" s="4">
        <f>IF(D118&gt;0,C118*1000/D118,0)</f>
        <v/>
      </c>
    </row>
    <row r="119">
      <c r="A119" t="inlineStr">
        <is>
          <t>Chemicals &amp; Plastics</t>
        </is>
      </c>
      <c r="B119" t="n">
        <v>2011</v>
      </c>
      <c r="C119" s="5">
        <f>SUMIFS('StatCan GHG'!$D$2:$D$1692,'StatCan GHG'!$E$2:$E$1692,A119,'StatCan GHG'!$A$2:$A$1692,B119)</f>
        <v/>
      </c>
      <c r="D119" s="5">
        <f>SUMIFS('StatCan Output'!$D$2:$D$1504,'StatCan Output'!$E$2:$E$1504,A119,'StatCan Output'!$A$2:$A$1504,B119)</f>
        <v/>
      </c>
      <c r="E119" s="4">
        <f>IF(D119&gt;0,C119*1000/D119,0)</f>
        <v/>
      </c>
    </row>
    <row r="120">
      <c r="A120" t="inlineStr">
        <is>
          <t>Chemicals &amp; Plastics</t>
        </is>
      </c>
      <c r="B120" t="n">
        <v>2012</v>
      </c>
      <c r="C120" s="5">
        <f>SUMIFS('StatCan GHG'!$D$2:$D$1692,'StatCan GHG'!$E$2:$E$1692,A120,'StatCan GHG'!$A$2:$A$1692,B120)</f>
        <v/>
      </c>
      <c r="D120" s="5">
        <f>SUMIFS('StatCan Output'!$D$2:$D$1504,'StatCan Output'!$E$2:$E$1504,A120,'StatCan Output'!$A$2:$A$1504,B120)</f>
        <v/>
      </c>
      <c r="E120" s="4">
        <f>IF(D120&gt;0,C120*1000/D120,0)</f>
        <v/>
      </c>
    </row>
    <row r="121">
      <c r="A121" t="inlineStr">
        <is>
          <t>Chemicals &amp; Plastics</t>
        </is>
      </c>
      <c r="B121" t="n">
        <v>2013</v>
      </c>
      <c r="C121" s="5">
        <f>SUMIFS('StatCan GHG'!$D$2:$D$1692,'StatCan GHG'!$E$2:$E$1692,A121,'StatCan GHG'!$A$2:$A$1692,B121)</f>
        <v/>
      </c>
      <c r="D121" s="5">
        <f>SUMIFS('StatCan Output'!$D$2:$D$1504,'StatCan Output'!$E$2:$E$1504,A121,'StatCan Output'!$A$2:$A$1504,B121)</f>
        <v/>
      </c>
      <c r="E121" s="4">
        <f>IF(D121&gt;0,C121*1000/D121,0)</f>
        <v/>
      </c>
    </row>
    <row r="122">
      <c r="A122" t="inlineStr">
        <is>
          <t>Chemicals &amp; Plastics</t>
        </is>
      </c>
      <c r="B122" t="n">
        <v>2014</v>
      </c>
      <c r="C122" s="5">
        <f>SUMIFS('StatCan GHG'!$D$2:$D$1692,'StatCan GHG'!$E$2:$E$1692,A122,'StatCan GHG'!$A$2:$A$1692,B122)</f>
        <v/>
      </c>
      <c r="D122" s="5">
        <f>SUMIFS('StatCan Output'!$D$2:$D$1504,'StatCan Output'!$E$2:$E$1504,A122,'StatCan Output'!$A$2:$A$1504,B122)</f>
        <v/>
      </c>
      <c r="E122" s="4">
        <f>IF(D122&gt;0,C122*1000/D122,0)</f>
        <v/>
      </c>
    </row>
    <row r="123">
      <c r="A123" t="inlineStr">
        <is>
          <t>Chemicals &amp; Plastics</t>
        </is>
      </c>
      <c r="B123" t="n">
        <v>2015</v>
      </c>
      <c r="C123" s="5">
        <f>SUMIFS('StatCan GHG'!$D$2:$D$1692,'StatCan GHG'!$E$2:$E$1692,A123,'StatCan GHG'!$A$2:$A$1692,B123)</f>
        <v/>
      </c>
      <c r="D123" s="5">
        <f>SUMIFS('StatCan Output'!$D$2:$D$1504,'StatCan Output'!$E$2:$E$1504,A123,'StatCan Output'!$A$2:$A$1504,B123)</f>
        <v/>
      </c>
      <c r="E123" s="4">
        <f>IF(D123&gt;0,C123*1000/D123,0)</f>
        <v/>
      </c>
    </row>
    <row r="124">
      <c r="A124" t="inlineStr">
        <is>
          <t>Chemicals &amp; Plastics</t>
        </is>
      </c>
      <c r="B124" t="n">
        <v>2016</v>
      </c>
      <c r="C124" s="5">
        <f>SUMIFS('StatCan GHG'!$D$2:$D$1692,'StatCan GHG'!$E$2:$E$1692,A124,'StatCan GHG'!$A$2:$A$1692,B124)</f>
        <v/>
      </c>
      <c r="D124" s="5">
        <f>SUMIFS('StatCan Output'!$D$2:$D$1504,'StatCan Output'!$E$2:$E$1504,A124,'StatCan Output'!$A$2:$A$1504,B124)</f>
        <v/>
      </c>
      <c r="E124" s="4">
        <f>IF(D124&gt;0,C124*1000/D124,0)</f>
        <v/>
      </c>
    </row>
    <row r="125">
      <c r="A125" t="inlineStr">
        <is>
          <t>Chemicals &amp; Plastics</t>
        </is>
      </c>
      <c r="B125" t="n">
        <v>2017</v>
      </c>
      <c r="C125" s="5">
        <f>SUMIFS('StatCan GHG'!$D$2:$D$1692,'StatCan GHG'!$E$2:$E$1692,A125,'StatCan GHG'!$A$2:$A$1692,B125)</f>
        <v/>
      </c>
      <c r="D125" s="5">
        <f>SUMIFS('StatCan Output'!$D$2:$D$1504,'StatCan Output'!$E$2:$E$1504,A125,'StatCan Output'!$A$2:$A$1504,B125)</f>
        <v/>
      </c>
      <c r="E125" s="4">
        <f>IF(D125&gt;0,C125*1000/D125,0)</f>
        <v/>
      </c>
    </row>
    <row r="126">
      <c r="A126" t="inlineStr">
        <is>
          <t>Chemicals &amp; Plastics</t>
        </is>
      </c>
      <c r="B126" t="n">
        <v>2018</v>
      </c>
      <c r="C126" s="5">
        <f>SUMIFS('StatCan GHG'!$D$2:$D$1692,'StatCan GHG'!$E$2:$E$1692,A126,'StatCan GHG'!$A$2:$A$1692,B126)</f>
        <v/>
      </c>
      <c r="D126" s="5">
        <f>SUMIFS('StatCan Output'!$D$2:$D$1504,'StatCan Output'!$E$2:$E$1504,A126,'StatCan Output'!$A$2:$A$1504,B126)</f>
        <v/>
      </c>
      <c r="E126" s="4">
        <f>IF(D126&gt;0,C126*1000/D126,0)</f>
        <v/>
      </c>
    </row>
    <row r="127">
      <c r="A127" t="inlineStr">
        <is>
          <t>Chemicals &amp; Plastics</t>
        </is>
      </c>
      <c r="B127" t="n">
        <v>2019</v>
      </c>
      <c r="C127" s="5">
        <f>SUMIFS('StatCan GHG'!$D$2:$D$1692,'StatCan GHG'!$E$2:$E$1692,A127,'StatCan GHG'!$A$2:$A$1692,B127)</f>
        <v/>
      </c>
      <c r="D127" s="5">
        <f>SUMIFS('StatCan Output'!$D$2:$D$1504,'StatCan Output'!$E$2:$E$1504,A127,'StatCan Output'!$A$2:$A$1504,B127)</f>
        <v/>
      </c>
      <c r="E127" s="4">
        <f>IF(D127&gt;0,C127*1000/D127,0)</f>
        <v/>
      </c>
    </row>
    <row r="128">
      <c r="A128" t="inlineStr">
        <is>
          <t>Chemicals &amp; Plastics</t>
        </is>
      </c>
      <c r="B128" t="n">
        <v>2020</v>
      </c>
      <c r="C128" s="5">
        <f>SUMIFS('StatCan GHG'!$D$2:$D$1692,'StatCan GHG'!$E$2:$E$1692,A128,'StatCan GHG'!$A$2:$A$1692,B128)</f>
        <v/>
      </c>
      <c r="D128" s="5">
        <f>SUMIFS('StatCan Output'!$D$2:$D$1504,'StatCan Output'!$E$2:$E$1504,A128,'StatCan Output'!$A$2:$A$1504,B128)</f>
        <v/>
      </c>
      <c r="E128" s="4">
        <f>IF(D128&gt;0,C128*1000/D128,0)</f>
        <v/>
      </c>
    </row>
    <row r="129">
      <c r="A129" t="inlineStr">
        <is>
          <t>Chemicals &amp; Plastics</t>
        </is>
      </c>
      <c r="B129" t="n">
        <v>2021</v>
      </c>
      <c r="C129" s="5">
        <f>SUMIFS('StatCan GHG'!$D$2:$D$1692,'StatCan GHG'!$E$2:$E$1692,A129,'StatCan GHG'!$A$2:$A$1692,B129)</f>
        <v/>
      </c>
      <c r="D129" s="5">
        <f>SUMIFS('StatCan Output'!$D$2:$D$1504,'StatCan Output'!$E$2:$E$1504,A129,'StatCan Output'!$A$2:$A$1504,B129)</f>
        <v/>
      </c>
      <c r="E129" s="4">
        <f>IF(D129&gt;0,C129*1000/D129,0)</f>
        <v/>
      </c>
    </row>
    <row r="130">
      <c r="A130" t="inlineStr">
        <is>
          <t>Chemicals &amp; Plastics</t>
        </is>
      </c>
      <c r="B130" t="n">
        <v>2022</v>
      </c>
      <c r="C130" s="5">
        <f>SUMIFS('StatCan GHG'!$D$2:$D$1692,'StatCan GHG'!$E$2:$E$1692,A130,'StatCan GHG'!$A$2:$A$1692,B130)</f>
        <v/>
      </c>
      <c r="D130" s="5">
        <f>SUMIFS('StatCan Output'!$D$2:$D$1504,'StatCan Output'!$E$2:$E$1504,A130,'StatCan Output'!$A$2:$A$1504,B130)</f>
        <v/>
      </c>
      <c r="E130" s="4">
        <f>IF(D130&gt;0,C130*1000/D130,0)</f>
        <v/>
      </c>
    </row>
    <row r="131">
      <c r="A131" t="inlineStr">
        <is>
          <t>Forest &amp; Paper Products</t>
        </is>
      </c>
      <c r="B131" t="n">
        <v>2009</v>
      </c>
      <c r="C131" s="5">
        <f>SUMIFS('StatCan GHG'!$D$2:$D$1692,'StatCan GHG'!$E$2:$E$1692,A131,'StatCan GHG'!$A$2:$A$1692,B131)</f>
        <v/>
      </c>
      <c r="D131" s="5">
        <f>SUMIFS('StatCan Output'!$D$2:$D$1504,'StatCan Output'!$E$2:$E$1504,A131,'StatCan Output'!$A$2:$A$1504,B131)</f>
        <v/>
      </c>
      <c r="E131" s="4">
        <f>IF(D131&gt;0,C131*1000/D131,0)</f>
        <v/>
      </c>
    </row>
    <row r="132">
      <c r="A132" t="inlineStr">
        <is>
          <t>Forest &amp; Paper Products</t>
        </is>
      </c>
      <c r="B132" t="n">
        <v>2010</v>
      </c>
      <c r="C132" s="5">
        <f>SUMIFS('StatCan GHG'!$D$2:$D$1692,'StatCan GHG'!$E$2:$E$1692,A132,'StatCan GHG'!$A$2:$A$1692,B132)</f>
        <v/>
      </c>
      <c r="D132" s="5">
        <f>SUMIFS('StatCan Output'!$D$2:$D$1504,'StatCan Output'!$E$2:$E$1504,A132,'StatCan Output'!$A$2:$A$1504,B132)</f>
        <v/>
      </c>
      <c r="E132" s="4">
        <f>IF(D132&gt;0,C132*1000/D132,0)</f>
        <v/>
      </c>
    </row>
    <row r="133">
      <c r="A133" t="inlineStr">
        <is>
          <t>Forest &amp; Paper Products</t>
        </is>
      </c>
      <c r="B133" t="n">
        <v>2011</v>
      </c>
      <c r="C133" s="5">
        <f>SUMIFS('StatCan GHG'!$D$2:$D$1692,'StatCan GHG'!$E$2:$E$1692,A133,'StatCan GHG'!$A$2:$A$1692,B133)</f>
        <v/>
      </c>
      <c r="D133" s="5">
        <f>SUMIFS('StatCan Output'!$D$2:$D$1504,'StatCan Output'!$E$2:$E$1504,A133,'StatCan Output'!$A$2:$A$1504,B133)</f>
        <v/>
      </c>
      <c r="E133" s="4">
        <f>IF(D133&gt;0,C133*1000/D133,0)</f>
        <v/>
      </c>
    </row>
    <row r="134">
      <c r="A134" t="inlineStr">
        <is>
          <t>Forest &amp; Paper Products</t>
        </is>
      </c>
      <c r="B134" t="n">
        <v>2012</v>
      </c>
      <c r="C134" s="5">
        <f>SUMIFS('StatCan GHG'!$D$2:$D$1692,'StatCan GHG'!$E$2:$E$1692,A134,'StatCan GHG'!$A$2:$A$1692,B134)</f>
        <v/>
      </c>
      <c r="D134" s="5">
        <f>SUMIFS('StatCan Output'!$D$2:$D$1504,'StatCan Output'!$E$2:$E$1504,A134,'StatCan Output'!$A$2:$A$1504,B134)</f>
        <v/>
      </c>
      <c r="E134" s="4">
        <f>IF(D134&gt;0,C134*1000/D134,0)</f>
        <v/>
      </c>
    </row>
    <row r="135">
      <c r="A135" t="inlineStr">
        <is>
          <t>Forest &amp; Paper Products</t>
        </is>
      </c>
      <c r="B135" t="n">
        <v>2013</v>
      </c>
      <c r="C135" s="5">
        <f>SUMIFS('StatCan GHG'!$D$2:$D$1692,'StatCan GHG'!$E$2:$E$1692,A135,'StatCan GHG'!$A$2:$A$1692,B135)</f>
        <v/>
      </c>
      <c r="D135" s="5">
        <f>SUMIFS('StatCan Output'!$D$2:$D$1504,'StatCan Output'!$E$2:$E$1504,A135,'StatCan Output'!$A$2:$A$1504,B135)</f>
        <v/>
      </c>
      <c r="E135" s="4">
        <f>IF(D135&gt;0,C135*1000/D135,0)</f>
        <v/>
      </c>
    </row>
    <row r="136">
      <c r="A136" t="inlineStr">
        <is>
          <t>Forest &amp; Paper Products</t>
        </is>
      </c>
      <c r="B136" t="n">
        <v>2014</v>
      </c>
      <c r="C136" s="5">
        <f>SUMIFS('StatCan GHG'!$D$2:$D$1692,'StatCan GHG'!$E$2:$E$1692,A136,'StatCan GHG'!$A$2:$A$1692,B136)</f>
        <v/>
      </c>
      <c r="D136" s="5">
        <f>SUMIFS('StatCan Output'!$D$2:$D$1504,'StatCan Output'!$E$2:$E$1504,A136,'StatCan Output'!$A$2:$A$1504,B136)</f>
        <v/>
      </c>
      <c r="E136" s="4">
        <f>IF(D136&gt;0,C136*1000/D136,0)</f>
        <v/>
      </c>
    </row>
    <row r="137">
      <c r="A137" t="inlineStr">
        <is>
          <t>Forest &amp; Paper Products</t>
        </is>
      </c>
      <c r="B137" t="n">
        <v>2015</v>
      </c>
      <c r="C137" s="5">
        <f>SUMIFS('StatCan GHG'!$D$2:$D$1692,'StatCan GHG'!$E$2:$E$1692,A137,'StatCan GHG'!$A$2:$A$1692,B137)</f>
        <v/>
      </c>
      <c r="D137" s="5">
        <f>SUMIFS('StatCan Output'!$D$2:$D$1504,'StatCan Output'!$E$2:$E$1504,A137,'StatCan Output'!$A$2:$A$1504,B137)</f>
        <v/>
      </c>
      <c r="E137" s="4">
        <f>IF(D137&gt;0,C137*1000/D137,0)</f>
        <v/>
      </c>
    </row>
    <row r="138">
      <c r="A138" t="inlineStr">
        <is>
          <t>Forest &amp; Paper Products</t>
        </is>
      </c>
      <c r="B138" t="n">
        <v>2016</v>
      </c>
      <c r="C138" s="5">
        <f>SUMIFS('StatCan GHG'!$D$2:$D$1692,'StatCan GHG'!$E$2:$E$1692,A138,'StatCan GHG'!$A$2:$A$1692,B138)</f>
        <v/>
      </c>
      <c r="D138" s="5">
        <f>SUMIFS('StatCan Output'!$D$2:$D$1504,'StatCan Output'!$E$2:$E$1504,A138,'StatCan Output'!$A$2:$A$1504,B138)</f>
        <v/>
      </c>
      <c r="E138" s="4">
        <f>IF(D138&gt;0,C138*1000/D138,0)</f>
        <v/>
      </c>
    </row>
    <row r="139">
      <c r="A139" t="inlineStr">
        <is>
          <t>Forest &amp; Paper Products</t>
        </is>
      </c>
      <c r="B139" t="n">
        <v>2017</v>
      </c>
      <c r="C139" s="5">
        <f>SUMIFS('StatCan GHG'!$D$2:$D$1692,'StatCan GHG'!$E$2:$E$1692,A139,'StatCan GHG'!$A$2:$A$1692,B139)</f>
        <v/>
      </c>
      <c r="D139" s="5">
        <f>SUMIFS('StatCan Output'!$D$2:$D$1504,'StatCan Output'!$E$2:$E$1504,A139,'StatCan Output'!$A$2:$A$1504,B139)</f>
        <v/>
      </c>
      <c r="E139" s="4">
        <f>IF(D139&gt;0,C139*1000/D139,0)</f>
        <v/>
      </c>
    </row>
    <row r="140">
      <c r="A140" t="inlineStr">
        <is>
          <t>Forest &amp; Paper Products</t>
        </is>
      </c>
      <c r="B140" t="n">
        <v>2018</v>
      </c>
      <c r="C140" s="5">
        <f>SUMIFS('StatCan GHG'!$D$2:$D$1692,'StatCan GHG'!$E$2:$E$1692,A140,'StatCan GHG'!$A$2:$A$1692,B140)</f>
        <v/>
      </c>
      <c r="D140" s="5">
        <f>SUMIFS('StatCan Output'!$D$2:$D$1504,'StatCan Output'!$E$2:$E$1504,A140,'StatCan Output'!$A$2:$A$1504,B140)</f>
        <v/>
      </c>
      <c r="E140" s="4">
        <f>IF(D140&gt;0,C140*1000/D140,0)</f>
        <v/>
      </c>
    </row>
    <row r="141">
      <c r="A141" t="inlineStr">
        <is>
          <t>Forest &amp; Paper Products</t>
        </is>
      </c>
      <c r="B141" t="n">
        <v>2019</v>
      </c>
      <c r="C141" s="5">
        <f>SUMIFS('StatCan GHG'!$D$2:$D$1692,'StatCan GHG'!$E$2:$E$1692,A141,'StatCan GHG'!$A$2:$A$1692,B141)</f>
        <v/>
      </c>
      <c r="D141" s="5">
        <f>SUMIFS('StatCan Output'!$D$2:$D$1504,'StatCan Output'!$E$2:$E$1504,A141,'StatCan Output'!$A$2:$A$1504,B141)</f>
        <v/>
      </c>
      <c r="E141" s="4">
        <f>IF(D141&gt;0,C141*1000/D141,0)</f>
        <v/>
      </c>
    </row>
    <row r="142">
      <c r="A142" t="inlineStr">
        <is>
          <t>Forest &amp; Paper Products</t>
        </is>
      </c>
      <c r="B142" t="n">
        <v>2020</v>
      </c>
      <c r="C142" s="5">
        <f>SUMIFS('StatCan GHG'!$D$2:$D$1692,'StatCan GHG'!$E$2:$E$1692,A142,'StatCan GHG'!$A$2:$A$1692,B142)</f>
        <v/>
      </c>
      <c r="D142" s="5">
        <f>SUMIFS('StatCan Output'!$D$2:$D$1504,'StatCan Output'!$E$2:$E$1504,A142,'StatCan Output'!$A$2:$A$1504,B142)</f>
        <v/>
      </c>
      <c r="E142" s="4">
        <f>IF(D142&gt;0,C142*1000/D142,0)</f>
        <v/>
      </c>
    </row>
    <row r="143">
      <c r="A143" t="inlineStr">
        <is>
          <t>Forest &amp; Paper Products</t>
        </is>
      </c>
      <c r="B143" t="n">
        <v>2021</v>
      </c>
      <c r="C143" s="5">
        <f>SUMIFS('StatCan GHG'!$D$2:$D$1692,'StatCan GHG'!$E$2:$E$1692,A143,'StatCan GHG'!$A$2:$A$1692,B143)</f>
        <v/>
      </c>
      <c r="D143" s="5">
        <f>SUMIFS('StatCan Output'!$D$2:$D$1504,'StatCan Output'!$E$2:$E$1504,A143,'StatCan Output'!$A$2:$A$1504,B143)</f>
        <v/>
      </c>
      <c r="E143" s="4">
        <f>IF(D143&gt;0,C143*1000/D143,0)</f>
        <v/>
      </c>
    </row>
    <row r="144">
      <c r="A144" t="inlineStr">
        <is>
          <t>Forest &amp; Paper Products</t>
        </is>
      </c>
      <c r="B144" t="n">
        <v>2022</v>
      </c>
      <c r="C144" s="5">
        <f>SUMIFS('StatCan GHG'!$D$2:$D$1692,'StatCan GHG'!$E$2:$E$1692,A144,'StatCan GHG'!$A$2:$A$1692,B144)</f>
        <v/>
      </c>
      <c r="D144" s="5">
        <f>SUMIFS('StatCan Output'!$D$2:$D$1504,'StatCan Output'!$E$2:$E$1504,A144,'StatCan Output'!$A$2:$A$1504,B144)</f>
        <v/>
      </c>
      <c r="E144" s="4">
        <f>IF(D144&gt;0,C144*1000/D144,0)</f>
        <v/>
      </c>
    </row>
    <row r="145">
      <c r="A145" t="inlineStr">
        <is>
          <t>Agriculture &amp; Food</t>
        </is>
      </c>
      <c r="B145" t="n">
        <v>2009</v>
      </c>
      <c r="C145" s="5">
        <f>SUMIFS('StatCan GHG'!$D$2:$D$1692,'StatCan GHG'!$E$2:$E$1692,A145,'StatCan GHG'!$A$2:$A$1692,B145)</f>
        <v/>
      </c>
      <c r="D145" s="5">
        <f>SUMIFS('StatCan Output'!$D$2:$D$1504,'StatCan Output'!$E$2:$E$1504,A145,'StatCan Output'!$A$2:$A$1504,B145)</f>
        <v/>
      </c>
      <c r="E145" s="4">
        <f>IF(D145&gt;0,C145*1000/D145,0)</f>
        <v/>
      </c>
    </row>
    <row r="146">
      <c r="A146" t="inlineStr">
        <is>
          <t>Agriculture &amp; Food</t>
        </is>
      </c>
      <c r="B146" t="n">
        <v>2010</v>
      </c>
      <c r="C146" s="5">
        <f>SUMIFS('StatCan GHG'!$D$2:$D$1692,'StatCan GHG'!$E$2:$E$1692,A146,'StatCan GHG'!$A$2:$A$1692,B146)</f>
        <v/>
      </c>
      <c r="D146" s="5">
        <f>SUMIFS('StatCan Output'!$D$2:$D$1504,'StatCan Output'!$E$2:$E$1504,A146,'StatCan Output'!$A$2:$A$1504,B146)</f>
        <v/>
      </c>
      <c r="E146" s="4">
        <f>IF(D146&gt;0,C146*1000/D146,0)</f>
        <v/>
      </c>
    </row>
    <row r="147">
      <c r="A147" t="inlineStr">
        <is>
          <t>Agriculture &amp; Food</t>
        </is>
      </c>
      <c r="B147" t="n">
        <v>2011</v>
      </c>
      <c r="C147" s="5">
        <f>SUMIFS('StatCan GHG'!$D$2:$D$1692,'StatCan GHG'!$E$2:$E$1692,A147,'StatCan GHG'!$A$2:$A$1692,B147)</f>
        <v/>
      </c>
      <c r="D147" s="5">
        <f>SUMIFS('StatCan Output'!$D$2:$D$1504,'StatCan Output'!$E$2:$E$1504,A147,'StatCan Output'!$A$2:$A$1504,B147)</f>
        <v/>
      </c>
      <c r="E147" s="4">
        <f>IF(D147&gt;0,C147*1000/D147,0)</f>
        <v/>
      </c>
    </row>
    <row r="148">
      <c r="A148" t="inlineStr">
        <is>
          <t>Agriculture &amp; Food</t>
        </is>
      </c>
      <c r="B148" t="n">
        <v>2012</v>
      </c>
      <c r="C148" s="5">
        <f>SUMIFS('StatCan GHG'!$D$2:$D$1692,'StatCan GHG'!$E$2:$E$1692,A148,'StatCan GHG'!$A$2:$A$1692,B148)</f>
        <v/>
      </c>
      <c r="D148" s="5">
        <f>SUMIFS('StatCan Output'!$D$2:$D$1504,'StatCan Output'!$E$2:$E$1504,A148,'StatCan Output'!$A$2:$A$1504,B148)</f>
        <v/>
      </c>
      <c r="E148" s="4">
        <f>IF(D148&gt;0,C148*1000/D148,0)</f>
        <v/>
      </c>
    </row>
    <row r="149">
      <c r="A149" t="inlineStr">
        <is>
          <t>Agriculture &amp; Food</t>
        </is>
      </c>
      <c r="B149" t="n">
        <v>2013</v>
      </c>
      <c r="C149" s="5">
        <f>SUMIFS('StatCan GHG'!$D$2:$D$1692,'StatCan GHG'!$E$2:$E$1692,A149,'StatCan GHG'!$A$2:$A$1692,B149)</f>
        <v/>
      </c>
      <c r="D149" s="5">
        <f>SUMIFS('StatCan Output'!$D$2:$D$1504,'StatCan Output'!$E$2:$E$1504,A149,'StatCan Output'!$A$2:$A$1504,B149)</f>
        <v/>
      </c>
      <c r="E149" s="4">
        <f>IF(D149&gt;0,C149*1000/D149,0)</f>
        <v/>
      </c>
    </row>
    <row r="150">
      <c r="A150" t="inlineStr">
        <is>
          <t>Agriculture &amp; Food</t>
        </is>
      </c>
      <c r="B150" t="n">
        <v>2014</v>
      </c>
      <c r="C150" s="5">
        <f>SUMIFS('StatCan GHG'!$D$2:$D$1692,'StatCan GHG'!$E$2:$E$1692,A150,'StatCan GHG'!$A$2:$A$1692,B150)</f>
        <v/>
      </c>
      <c r="D150" s="5">
        <f>SUMIFS('StatCan Output'!$D$2:$D$1504,'StatCan Output'!$E$2:$E$1504,A150,'StatCan Output'!$A$2:$A$1504,B150)</f>
        <v/>
      </c>
      <c r="E150" s="4">
        <f>IF(D150&gt;0,C150*1000/D150,0)</f>
        <v/>
      </c>
    </row>
    <row r="151">
      <c r="A151" t="inlineStr">
        <is>
          <t>Agriculture &amp; Food</t>
        </is>
      </c>
      <c r="B151" t="n">
        <v>2015</v>
      </c>
      <c r="C151" s="5">
        <f>SUMIFS('StatCan GHG'!$D$2:$D$1692,'StatCan GHG'!$E$2:$E$1692,A151,'StatCan GHG'!$A$2:$A$1692,B151)</f>
        <v/>
      </c>
      <c r="D151" s="5">
        <f>SUMIFS('StatCan Output'!$D$2:$D$1504,'StatCan Output'!$E$2:$E$1504,A151,'StatCan Output'!$A$2:$A$1504,B151)</f>
        <v/>
      </c>
      <c r="E151" s="4">
        <f>IF(D151&gt;0,C151*1000/D151,0)</f>
        <v/>
      </c>
    </row>
    <row r="152">
      <c r="A152" t="inlineStr">
        <is>
          <t>Agriculture &amp; Food</t>
        </is>
      </c>
      <c r="B152" t="n">
        <v>2016</v>
      </c>
      <c r="C152" s="5">
        <f>SUMIFS('StatCan GHG'!$D$2:$D$1692,'StatCan GHG'!$E$2:$E$1692,A152,'StatCan GHG'!$A$2:$A$1692,B152)</f>
        <v/>
      </c>
      <c r="D152" s="5">
        <f>SUMIFS('StatCan Output'!$D$2:$D$1504,'StatCan Output'!$E$2:$E$1504,A152,'StatCan Output'!$A$2:$A$1504,B152)</f>
        <v/>
      </c>
      <c r="E152" s="4">
        <f>IF(D152&gt;0,C152*1000/D152,0)</f>
        <v/>
      </c>
    </row>
    <row r="153">
      <c r="A153" t="inlineStr">
        <is>
          <t>Agriculture &amp; Food</t>
        </is>
      </c>
      <c r="B153" t="n">
        <v>2017</v>
      </c>
      <c r="C153" s="5">
        <f>SUMIFS('StatCan GHG'!$D$2:$D$1692,'StatCan GHG'!$E$2:$E$1692,A153,'StatCan GHG'!$A$2:$A$1692,B153)</f>
        <v/>
      </c>
      <c r="D153" s="5">
        <f>SUMIFS('StatCan Output'!$D$2:$D$1504,'StatCan Output'!$E$2:$E$1504,A153,'StatCan Output'!$A$2:$A$1504,B153)</f>
        <v/>
      </c>
      <c r="E153" s="4">
        <f>IF(D153&gt;0,C153*1000/D153,0)</f>
        <v/>
      </c>
    </row>
    <row r="154">
      <c r="A154" t="inlineStr">
        <is>
          <t>Agriculture &amp; Food</t>
        </is>
      </c>
      <c r="B154" t="n">
        <v>2018</v>
      </c>
      <c r="C154" s="5">
        <f>SUMIFS('StatCan GHG'!$D$2:$D$1692,'StatCan GHG'!$E$2:$E$1692,A154,'StatCan GHG'!$A$2:$A$1692,B154)</f>
        <v/>
      </c>
      <c r="D154" s="5">
        <f>SUMIFS('StatCan Output'!$D$2:$D$1504,'StatCan Output'!$E$2:$E$1504,A154,'StatCan Output'!$A$2:$A$1504,B154)</f>
        <v/>
      </c>
      <c r="E154" s="4">
        <f>IF(D154&gt;0,C154*1000/D154,0)</f>
        <v/>
      </c>
    </row>
    <row r="155">
      <c r="A155" t="inlineStr">
        <is>
          <t>Agriculture &amp; Food</t>
        </is>
      </c>
      <c r="B155" t="n">
        <v>2019</v>
      </c>
      <c r="C155" s="5">
        <f>SUMIFS('StatCan GHG'!$D$2:$D$1692,'StatCan GHG'!$E$2:$E$1692,A155,'StatCan GHG'!$A$2:$A$1692,B155)</f>
        <v/>
      </c>
      <c r="D155" s="5">
        <f>SUMIFS('StatCan Output'!$D$2:$D$1504,'StatCan Output'!$E$2:$E$1504,A155,'StatCan Output'!$A$2:$A$1504,B155)</f>
        <v/>
      </c>
      <c r="E155" s="4">
        <f>IF(D155&gt;0,C155*1000/D155,0)</f>
        <v/>
      </c>
    </row>
    <row r="156">
      <c r="A156" t="inlineStr">
        <is>
          <t>Agriculture &amp; Food</t>
        </is>
      </c>
      <c r="B156" t="n">
        <v>2020</v>
      </c>
      <c r="C156" s="5">
        <f>SUMIFS('StatCan GHG'!$D$2:$D$1692,'StatCan GHG'!$E$2:$E$1692,A156,'StatCan GHG'!$A$2:$A$1692,B156)</f>
        <v/>
      </c>
      <c r="D156" s="5">
        <f>SUMIFS('StatCan Output'!$D$2:$D$1504,'StatCan Output'!$E$2:$E$1504,A156,'StatCan Output'!$A$2:$A$1504,B156)</f>
        <v/>
      </c>
      <c r="E156" s="4">
        <f>IF(D156&gt;0,C156*1000/D156,0)</f>
        <v/>
      </c>
    </row>
    <row r="157">
      <c r="A157" t="inlineStr">
        <is>
          <t>Agriculture &amp; Food</t>
        </is>
      </c>
      <c r="B157" t="n">
        <v>2021</v>
      </c>
      <c r="C157" s="5">
        <f>SUMIFS('StatCan GHG'!$D$2:$D$1692,'StatCan GHG'!$E$2:$E$1692,A157,'StatCan GHG'!$A$2:$A$1692,B157)</f>
        <v/>
      </c>
      <c r="D157" s="5">
        <f>SUMIFS('StatCan Output'!$D$2:$D$1504,'StatCan Output'!$E$2:$E$1504,A157,'StatCan Output'!$A$2:$A$1504,B157)</f>
        <v/>
      </c>
      <c r="E157" s="4">
        <f>IF(D157&gt;0,C157*1000/D157,0)</f>
        <v/>
      </c>
    </row>
    <row r="158">
      <c r="A158" t="inlineStr">
        <is>
          <t>Agriculture &amp; Food</t>
        </is>
      </c>
      <c r="B158" t="n">
        <v>2022</v>
      </c>
      <c r="C158" s="5">
        <f>SUMIFS('StatCan GHG'!$D$2:$D$1692,'StatCan GHG'!$E$2:$E$1692,A158,'StatCan GHG'!$A$2:$A$1692,B158)</f>
        <v/>
      </c>
      <c r="D158" s="5">
        <f>SUMIFS('StatCan Output'!$D$2:$D$1504,'StatCan Output'!$E$2:$E$1504,A158,'StatCan Output'!$A$2:$A$1504,B158)</f>
        <v/>
      </c>
      <c r="E158" s="4">
        <f>IF(D158&gt;0,C158*1000/D158,0)</f>
        <v/>
      </c>
    </row>
    <row r="159">
      <c r="A159" t="inlineStr">
        <is>
          <t>Airlines</t>
        </is>
      </c>
      <c r="B159" t="n">
        <v>2009</v>
      </c>
      <c r="C159" s="5">
        <f>SUMIFS('StatCan GHG'!$D$2:$D$1692,'StatCan GHG'!$E$2:$E$1692,A159,'StatCan GHG'!$A$2:$A$1692,B159)</f>
        <v/>
      </c>
      <c r="D159" s="5">
        <f>SUMIFS('StatCan Output'!$D$2:$D$1504,'StatCan Output'!$E$2:$E$1504,A159,'StatCan Output'!$A$2:$A$1504,B159)</f>
        <v/>
      </c>
      <c r="E159" s="4">
        <f>IF(D159&gt;0,C159*1000/D159,0)</f>
        <v/>
      </c>
    </row>
    <row r="160">
      <c r="A160" t="inlineStr">
        <is>
          <t>Airlines</t>
        </is>
      </c>
      <c r="B160" t="n">
        <v>2010</v>
      </c>
      <c r="C160" s="5">
        <f>SUMIFS('StatCan GHG'!$D$2:$D$1692,'StatCan GHG'!$E$2:$E$1692,A160,'StatCan GHG'!$A$2:$A$1692,B160)</f>
        <v/>
      </c>
      <c r="D160" s="5">
        <f>SUMIFS('StatCan Output'!$D$2:$D$1504,'StatCan Output'!$E$2:$E$1504,A160,'StatCan Output'!$A$2:$A$1504,B160)</f>
        <v/>
      </c>
      <c r="E160" s="4">
        <f>IF(D160&gt;0,C160*1000/D160,0)</f>
        <v/>
      </c>
    </row>
    <row r="161">
      <c r="A161" t="inlineStr">
        <is>
          <t>Airlines</t>
        </is>
      </c>
      <c r="B161" t="n">
        <v>2011</v>
      </c>
      <c r="C161" s="5">
        <f>SUMIFS('StatCan GHG'!$D$2:$D$1692,'StatCan GHG'!$E$2:$E$1692,A161,'StatCan GHG'!$A$2:$A$1692,B161)</f>
        <v/>
      </c>
      <c r="D161" s="5">
        <f>SUMIFS('StatCan Output'!$D$2:$D$1504,'StatCan Output'!$E$2:$E$1504,A161,'StatCan Output'!$A$2:$A$1504,B161)</f>
        <v/>
      </c>
      <c r="E161" s="4">
        <f>IF(D161&gt;0,C161*1000/D161,0)</f>
        <v/>
      </c>
    </row>
    <row r="162">
      <c r="A162" t="inlineStr">
        <is>
          <t>Airlines</t>
        </is>
      </c>
      <c r="B162" t="n">
        <v>2012</v>
      </c>
      <c r="C162" s="5">
        <f>SUMIFS('StatCan GHG'!$D$2:$D$1692,'StatCan GHG'!$E$2:$E$1692,A162,'StatCan GHG'!$A$2:$A$1692,B162)</f>
        <v/>
      </c>
      <c r="D162" s="5">
        <f>SUMIFS('StatCan Output'!$D$2:$D$1504,'StatCan Output'!$E$2:$E$1504,A162,'StatCan Output'!$A$2:$A$1504,B162)</f>
        <v/>
      </c>
      <c r="E162" s="4">
        <f>IF(D162&gt;0,C162*1000/D162,0)</f>
        <v/>
      </c>
    </row>
    <row r="163">
      <c r="A163" t="inlineStr">
        <is>
          <t>Airlines</t>
        </is>
      </c>
      <c r="B163" t="n">
        <v>2013</v>
      </c>
      <c r="C163" s="5">
        <f>SUMIFS('StatCan GHG'!$D$2:$D$1692,'StatCan GHG'!$E$2:$E$1692,A163,'StatCan GHG'!$A$2:$A$1692,B163)</f>
        <v/>
      </c>
      <c r="D163" s="5">
        <f>SUMIFS('StatCan Output'!$D$2:$D$1504,'StatCan Output'!$E$2:$E$1504,A163,'StatCan Output'!$A$2:$A$1504,B163)</f>
        <v/>
      </c>
      <c r="E163" s="4">
        <f>IF(D163&gt;0,C163*1000/D163,0)</f>
        <v/>
      </c>
    </row>
    <row r="164">
      <c r="A164" t="inlineStr">
        <is>
          <t>Airlines</t>
        </is>
      </c>
      <c r="B164" t="n">
        <v>2014</v>
      </c>
      <c r="C164" s="5">
        <f>SUMIFS('StatCan GHG'!$D$2:$D$1692,'StatCan GHG'!$E$2:$E$1692,A164,'StatCan GHG'!$A$2:$A$1692,B164)</f>
        <v/>
      </c>
      <c r="D164" s="5">
        <f>SUMIFS('StatCan Output'!$D$2:$D$1504,'StatCan Output'!$E$2:$E$1504,A164,'StatCan Output'!$A$2:$A$1504,B164)</f>
        <v/>
      </c>
      <c r="E164" s="4">
        <f>IF(D164&gt;0,C164*1000/D164,0)</f>
        <v/>
      </c>
    </row>
    <row r="165">
      <c r="A165" t="inlineStr">
        <is>
          <t>Airlines</t>
        </is>
      </c>
      <c r="B165" t="n">
        <v>2015</v>
      </c>
      <c r="C165" s="5">
        <f>SUMIFS('StatCan GHG'!$D$2:$D$1692,'StatCan GHG'!$E$2:$E$1692,A165,'StatCan GHG'!$A$2:$A$1692,B165)</f>
        <v/>
      </c>
      <c r="D165" s="5">
        <f>SUMIFS('StatCan Output'!$D$2:$D$1504,'StatCan Output'!$E$2:$E$1504,A165,'StatCan Output'!$A$2:$A$1504,B165)</f>
        <v/>
      </c>
      <c r="E165" s="4">
        <f>IF(D165&gt;0,C165*1000/D165,0)</f>
        <v/>
      </c>
    </row>
    <row r="166">
      <c r="A166" t="inlineStr">
        <is>
          <t>Airlines</t>
        </is>
      </c>
      <c r="B166" t="n">
        <v>2016</v>
      </c>
      <c r="C166" s="5">
        <f>SUMIFS('StatCan GHG'!$D$2:$D$1692,'StatCan GHG'!$E$2:$E$1692,A166,'StatCan GHG'!$A$2:$A$1692,B166)</f>
        <v/>
      </c>
      <c r="D166" s="5">
        <f>SUMIFS('StatCan Output'!$D$2:$D$1504,'StatCan Output'!$E$2:$E$1504,A166,'StatCan Output'!$A$2:$A$1504,B166)</f>
        <v/>
      </c>
      <c r="E166" s="4">
        <f>IF(D166&gt;0,C166*1000/D166,0)</f>
        <v/>
      </c>
    </row>
    <row r="167">
      <c r="A167" t="inlineStr">
        <is>
          <t>Airlines</t>
        </is>
      </c>
      <c r="B167" t="n">
        <v>2017</v>
      </c>
      <c r="C167" s="5">
        <f>SUMIFS('StatCan GHG'!$D$2:$D$1692,'StatCan GHG'!$E$2:$E$1692,A167,'StatCan GHG'!$A$2:$A$1692,B167)</f>
        <v/>
      </c>
      <c r="D167" s="5">
        <f>SUMIFS('StatCan Output'!$D$2:$D$1504,'StatCan Output'!$E$2:$E$1504,A167,'StatCan Output'!$A$2:$A$1504,B167)</f>
        <v/>
      </c>
      <c r="E167" s="4">
        <f>IF(D167&gt;0,C167*1000/D167,0)</f>
        <v/>
      </c>
    </row>
    <row r="168">
      <c r="A168" t="inlineStr">
        <is>
          <t>Airlines</t>
        </is>
      </c>
      <c r="B168" t="n">
        <v>2018</v>
      </c>
      <c r="C168" s="5">
        <f>SUMIFS('StatCan GHG'!$D$2:$D$1692,'StatCan GHG'!$E$2:$E$1692,A168,'StatCan GHG'!$A$2:$A$1692,B168)</f>
        <v/>
      </c>
      <c r="D168" s="5">
        <f>SUMIFS('StatCan Output'!$D$2:$D$1504,'StatCan Output'!$E$2:$E$1504,A168,'StatCan Output'!$A$2:$A$1504,B168)</f>
        <v/>
      </c>
      <c r="E168" s="4">
        <f>IF(D168&gt;0,C168*1000/D168,0)</f>
        <v/>
      </c>
    </row>
    <row r="169">
      <c r="A169" t="inlineStr">
        <is>
          <t>Airlines</t>
        </is>
      </c>
      <c r="B169" t="n">
        <v>2019</v>
      </c>
      <c r="C169" s="5">
        <f>SUMIFS('StatCan GHG'!$D$2:$D$1692,'StatCan GHG'!$E$2:$E$1692,A169,'StatCan GHG'!$A$2:$A$1692,B169)</f>
        <v/>
      </c>
      <c r="D169" s="5">
        <f>SUMIFS('StatCan Output'!$D$2:$D$1504,'StatCan Output'!$E$2:$E$1504,A169,'StatCan Output'!$A$2:$A$1504,B169)</f>
        <v/>
      </c>
      <c r="E169" s="4">
        <f>IF(D169&gt;0,C169*1000/D169,0)</f>
        <v/>
      </c>
    </row>
    <row r="170">
      <c r="A170" t="inlineStr">
        <is>
          <t>Airlines</t>
        </is>
      </c>
      <c r="B170" t="n">
        <v>2020</v>
      </c>
      <c r="C170" s="5">
        <f>SUMIFS('StatCan GHG'!$D$2:$D$1692,'StatCan GHG'!$E$2:$E$1692,A170,'StatCan GHG'!$A$2:$A$1692,B170)</f>
        <v/>
      </c>
      <c r="D170" s="5">
        <f>SUMIFS('StatCan Output'!$D$2:$D$1504,'StatCan Output'!$E$2:$E$1504,A170,'StatCan Output'!$A$2:$A$1504,B170)</f>
        <v/>
      </c>
      <c r="E170" s="4">
        <f>IF(D170&gt;0,C170*1000/D170,0)</f>
        <v/>
      </c>
    </row>
    <row r="171">
      <c r="A171" t="inlineStr">
        <is>
          <t>Airlines</t>
        </is>
      </c>
      <c r="B171" t="n">
        <v>2021</v>
      </c>
      <c r="C171" s="5">
        <f>SUMIFS('StatCan GHG'!$D$2:$D$1692,'StatCan GHG'!$E$2:$E$1692,A171,'StatCan GHG'!$A$2:$A$1692,B171)</f>
        <v/>
      </c>
      <c r="D171" s="5">
        <f>SUMIFS('StatCan Output'!$D$2:$D$1504,'StatCan Output'!$E$2:$E$1504,A171,'StatCan Output'!$A$2:$A$1504,B171)</f>
        <v/>
      </c>
      <c r="E171" s="4">
        <f>IF(D171&gt;0,C171*1000/D171,0)</f>
        <v/>
      </c>
    </row>
    <row r="172">
      <c r="A172" t="inlineStr">
        <is>
          <t>Airlines</t>
        </is>
      </c>
      <c r="B172" t="n">
        <v>2022</v>
      </c>
      <c r="C172" s="5">
        <f>SUMIFS('StatCan GHG'!$D$2:$D$1692,'StatCan GHG'!$E$2:$E$1692,A172,'StatCan GHG'!$A$2:$A$1692,B172)</f>
        <v/>
      </c>
      <c r="D172" s="5">
        <f>SUMIFS('StatCan Output'!$D$2:$D$1504,'StatCan Output'!$E$2:$E$1504,A172,'StatCan Output'!$A$2:$A$1504,B172)</f>
        <v/>
      </c>
      <c r="E172" s="4">
        <f>IF(D172&gt;0,C172*1000/D172,0)</f>
        <v/>
      </c>
    </row>
    <row r="173">
      <c r="A173" t="inlineStr">
        <is>
          <t>Rail</t>
        </is>
      </c>
      <c r="B173" t="n">
        <v>2009</v>
      </c>
      <c r="C173" s="5">
        <f>SUMIFS('StatCan GHG'!$D$2:$D$1692,'StatCan GHG'!$E$2:$E$1692,A173,'StatCan GHG'!$A$2:$A$1692,B173)</f>
        <v/>
      </c>
      <c r="D173" s="5">
        <f>SUMIFS('StatCan Output'!$D$2:$D$1504,'StatCan Output'!$E$2:$E$1504,A173,'StatCan Output'!$A$2:$A$1504,B173)</f>
        <v/>
      </c>
      <c r="E173" s="4">
        <f>IF(D173&gt;0,C173*1000/D173,0)</f>
        <v/>
      </c>
    </row>
    <row r="174">
      <c r="A174" t="inlineStr">
        <is>
          <t>Rail</t>
        </is>
      </c>
      <c r="B174" t="n">
        <v>2010</v>
      </c>
      <c r="C174" s="5">
        <f>SUMIFS('StatCan GHG'!$D$2:$D$1692,'StatCan GHG'!$E$2:$E$1692,A174,'StatCan GHG'!$A$2:$A$1692,B174)</f>
        <v/>
      </c>
      <c r="D174" s="5">
        <f>SUMIFS('StatCan Output'!$D$2:$D$1504,'StatCan Output'!$E$2:$E$1504,A174,'StatCan Output'!$A$2:$A$1504,B174)</f>
        <v/>
      </c>
      <c r="E174" s="4">
        <f>IF(D174&gt;0,C174*1000/D174,0)</f>
        <v/>
      </c>
    </row>
    <row r="175">
      <c r="A175" t="inlineStr">
        <is>
          <t>Rail</t>
        </is>
      </c>
      <c r="B175" t="n">
        <v>2011</v>
      </c>
      <c r="C175" s="5">
        <f>SUMIFS('StatCan GHG'!$D$2:$D$1692,'StatCan GHG'!$E$2:$E$1692,A175,'StatCan GHG'!$A$2:$A$1692,B175)</f>
        <v/>
      </c>
      <c r="D175" s="5">
        <f>SUMIFS('StatCan Output'!$D$2:$D$1504,'StatCan Output'!$E$2:$E$1504,A175,'StatCan Output'!$A$2:$A$1504,B175)</f>
        <v/>
      </c>
      <c r="E175" s="4">
        <f>IF(D175&gt;0,C175*1000/D175,0)</f>
        <v/>
      </c>
    </row>
    <row r="176">
      <c r="A176" t="inlineStr">
        <is>
          <t>Rail</t>
        </is>
      </c>
      <c r="B176" t="n">
        <v>2012</v>
      </c>
      <c r="C176" s="5">
        <f>SUMIFS('StatCan GHG'!$D$2:$D$1692,'StatCan GHG'!$E$2:$E$1692,A176,'StatCan GHG'!$A$2:$A$1692,B176)</f>
        <v/>
      </c>
      <c r="D176" s="5">
        <f>SUMIFS('StatCan Output'!$D$2:$D$1504,'StatCan Output'!$E$2:$E$1504,A176,'StatCan Output'!$A$2:$A$1504,B176)</f>
        <v/>
      </c>
      <c r="E176" s="4">
        <f>IF(D176&gt;0,C176*1000/D176,0)</f>
        <v/>
      </c>
    </row>
    <row r="177">
      <c r="A177" t="inlineStr">
        <is>
          <t>Rail</t>
        </is>
      </c>
      <c r="B177" t="n">
        <v>2013</v>
      </c>
      <c r="C177" s="5">
        <f>SUMIFS('StatCan GHG'!$D$2:$D$1692,'StatCan GHG'!$E$2:$E$1692,A177,'StatCan GHG'!$A$2:$A$1692,B177)</f>
        <v/>
      </c>
      <c r="D177" s="5">
        <f>SUMIFS('StatCan Output'!$D$2:$D$1504,'StatCan Output'!$E$2:$E$1504,A177,'StatCan Output'!$A$2:$A$1504,B177)</f>
        <v/>
      </c>
      <c r="E177" s="4">
        <f>IF(D177&gt;0,C177*1000/D177,0)</f>
        <v/>
      </c>
    </row>
    <row r="178">
      <c r="A178" t="inlineStr">
        <is>
          <t>Rail</t>
        </is>
      </c>
      <c r="B178" t="n">
        <v>2014</v>
      </c>
      <c r="C178" s="5">
        <f>SUMIFS('StatCan GHG'!$D$2:$D$1692,'StatCan GHG'!$E$2:$E$1692,A178,'StatCan GHG'!$A$2:$A$1692,B178)</f>
        <v/>
      </c>
      <c r="D178" s="5">
        <f>SUMIFS('StatCan Output'!$D$2:$D$1504,'StatCan Output'!$E$2:$E$1504,A178,'StatCan Output'!$A$2:$A$1504,B178)</f>
        <v/>
      </c>
      <c r="E178" s="4">
        <f>IF(D178&gt;0,C178*1000/D178,0)</f>
        <v/>
      </c>
    </row>
    <row r="179">
      <c r="A179" t="inlineStr">
        <is>
          <t>Rail</t>
        </is>
      </c>
      <c r="B179" t="n">
        <v>2015</v>
      </c>
      <c r="C179" s="5">
        <f>SUMIFS('StatCan GHG'!$D$2:$D$1692,'StatCan GHG'!$E$2:$E$1692,A179,'StatCan GHG'!$A$2:$A$1692,B179)</f>
        <v/>
      </c>
      <c r="D179" s="5">
        <f>SUMIFS('StatCan Output'!$D$2:$D$1504,'StatCan Output'!$E$2:$E$1504,A179,'StatCan Output'!$A$2:$A$1504,B179)</f>
        <v/>
      </c>
      <c r="E179" s="4">
        <f>IF(D179&gt;0,C179*1000/D179,0)</f>
        <v/>
      </c>
    </row>
    <row r="180">
      <c r="A180" t="inlineStr">
        <is>
          <t>Rail</t>
        </is>
      </c>
      <c r="B180" t="n">
        <v>2016</v>
      </c>
      <c r="C180" s="5">
        <f>SUMIFS('StatCan GHG'!$D$2:$D$1692,'StatCan GHG'!$E$2:$E$1692,A180,'StatCan GHG'!$A$2:$A$1692,B180)</f>
        <v/>
      </c>
      <c r="D180" s="5">
        <f>SUMIFS('StatCan Output'!$D$2:$D$1504,'StatCan Output'!$E$2:$E$1504,A180,'StatCan Output'!$A$2:$A$1504,B180)</f>
        <v/>
      </c>
      <c r="E180" s="4">
        <f>IF(D180&gt;0,C180*1000/D180,0)</f>
        <v/>
      </c>
    </row>
    <row r="181">
      <c r="A181" t="inlineStr">
        <is>
          <t>Rail</t>
        </is>
      </c>
      <c r="B181" t="n">
        <v>2017</v>
      </c>
      <c r="C181" s="5">
        <f>SUMIFS('StatCan GHG'!$D$2:$D$1692,'StatCan GHG'!$E$2:$E$1692,A181,'StatCan GHG'!$A$2:$A$1692,B181)</f>
        <v/>
      </c>
      <c r="D181" s="5">
        <f>SUMIFS('StatCan Output'!$D$2:$D$1504,'StatCan Output'!$E$2:$E$1504,A181,'StatCan Output'!$A$2:$A$1504,B181)</f>
        <v/>
      </c>
      <c r="E181" s="4">
        <f>IF(D181&gt;0,C181*1000/D181,0)</f>
        <v/>
      </c>
    </row>
    <row r="182">
      <c r="A182" t="inlineStr">
        <is>
          <t>Rail</t>
        </is>
      </c>
      <c r="B182" t="n">
        <v>2018</v>
      </c>
      <c r="C182" s="5">
        <f>SUMIFS('StatCan GHG'!$D$2:$D$1692,'StatCan GHG'!$E$2:$E$1692,A182,'StatCan GHG'!$A$2:$A$1692,B182)</f>
        <v/>
      </c>
      <c r="D182" s="5">
        <f>SUMIFS('StatCan Output'!$D$2:$D$1504,'StatCan Output'!$E$2:$E$1504,A182,'StatCan Output'!$A$2:$A$1504,B182)</f>
        <v/>
      </c>
      <c r="E182" s="4">
        <f>IF(D182&gt;0,C182*1000/D182,0)</f>
        <v/>
      </c>
    </row>
    <row r="183">
      <c r="A183" t="inlineStr">
        <is>
          <t>Rail</t>
        </is>
      </c>
      <c r="B183" t="n">
        <v>2019</v>
      </c>
      <c r="C183" s="5">
        <f>SUMIFS('StatCan GHG'!$D$2:$D$1692,'StatCan GHG'!$E$2:$E$1692,A183,'StatCan GHG'!$A$2:$A$1692,B183)</f>
        <v/>
      </c>
      <c r="D183" s="5">
        <f>SUMIFS('StatCan Output'!$D$2:$D$1504,'StatCan Output'!$E$2:$E$1504,A183,'StatCan Output'!$A$2:$A$1504,B183)</f>
        <v/>
      </c>
      <c r="E183" s="4">
        <f>IF(D183&gt;0,C183*1000/D183,0)</f>
        <v/>
      </c>
    </row>
    <row r="184">
      <c r="A184" t="inlineStr">
        <is>
          <t>Rail</t>
        </is>
      </c>
      <c r="B184" t="n">
        <v>2020</v>
      </c>
      <c r="C184" s="5">
        <f>SUMIFS('StatCan GHG'!$D$2:$D$1692,'StatCan GHG'!$E$2:$E$1692,A184,'StatCan GHG'!$A$2:$A$1692,B184)</f>
        <v/>
      </c>
      <c r="D184" s="5">
        <f>SUMIFS('StatCan Output'!$D$2:$D$1504,'StatCan Output'!$E$2:$E$1504,A184,'StatCan Output'!$A$2:$A$1504,B184)</f>
        <v/>
      </c>
      <c r="E184" s="4">
        <f>IF(D184&gt;0,C184*1000/D184,0)</f>
        <v/>
      </c>
    </row>
    <row r="185">
      <c r="A185" t="inlineStr">
        <is>
          <t>Rail</t>
        </is>
      </c>
      <c r="B185" t="n">
        <v>2021</v>
      </c>
      <c r="C185" s="5">
        <f>SUMIFS('StatCan GHG'!$D$2:$D$1692,'StatCan GHG'!$E$2:$E$1692,A185,'StatCan GHG'!$A$2:$A$1692,B185)</f>
        <v/>
      </c>
      <c r="D185" s="5">
        <f>SUMIFS('StatCan Output'!$D$2:$D$1504,'StatCan Output'!$E$2:$E$1504,A185,'StatCan Output'!$A$2:$A$1504,B185)</f>
        <v/>
      </c>
      <c r="E185" s="4">
        <f>IF(D185&gt;0,C185*1000/D185,0)</f>
        <v/>
      </c>
    </row>
    <row r="186">
      <c r="A186" t="inlineStr">
        <is>
          <t>Rail</t>
        </is>
      </c>
      <c r="B186" t="n">
        <v>2022</v>
      </c>
      <c r="C186" s="5">
        <f>SUMIFS('StatCan GHG'!$D$2:$D$1692,'StatCan GHG'!$E$2:$E$1692,A186,'StatCan GHG'!$A$2:$A$1692,B186)</f>
        <v/>
      </c>
      <c r="D186" s="5">
        <f>SUMIFS('StatCan Output'!$D$2:$D$1504,'StatCan Output'!$E$2:$E$1504,A186,'StatCan Output'!$A$2:$A$1504,B186)</f>
        <v/>
      </c>
      <c r="E186" s="4">
        <f>IF(D186&gt;0,C186*1000/D186,0)</f>
        <v/>
      </c>
    </row>
    <row r="187">
      <c r="A187" t="inlineStr">
        <is>
          <t>Trucking, Marine &amp; Logistics</t>
        </is>
      </c>
      <c r="B187" t="n">
        <v>2009</v>
      </c>
      <c r="C187" s="5">
        <f>SUMIFS('StatCan GHG'!$D$2:$D$1692,'StatCan GHG'!$E$2:$E$1692,A187,'StatCan GHG'!$A$2:$A$1692,B187)</f>
        <v/>
      </c>
      <c r="D187" s="5">
        <f>SUMIFS('StatCan Output'!$D$2:$D$1504,'StatCan Output'!$E$2:$E$1504,A187,'StatCan Output'!$A$2:$A$1504,B187)</f>
        <v/>
      </c>
      <c r="E187" s="4">
        <f>IF(D187&gt;0,C187*1000/D187,0)</f>
        <v/>
      </c>
    </row>
    <row r="188">
      <c r="A188" t="inlineStr">
        <is>
          <t>Trucking, Marine &amp; Logistics</t>
        </is>
      </c>
      <c r="B188" t="n">
        <v>2010</v>
      </c>
      <c r="C188" s="5">
        <f>SUMIFS('StatCan GHG'!$D$2:$D$1692,'StatCan GHG'!$E$2:$E$1692,A188,'StatCan GHG'!$A$2:$A$1692,B188)</f>
        <v/>
      </c>
      <c r="D188" s="5">
        <f>SUMIFS('StatCan Output'!$D$2:$D$1504,'StatCan Output'!$E$2:$E$1504,A188,'StatCan Output'!$A$2:$A$1504,B188)</f>
        <v/>
      </c>
      <c r="E188" s="4">
        <f>IF(D188&gt;0,C188*1000/D188,0)</f>
        <v/>
      </c>
    </row>
    <row r="189">
      <c r="A189" t="inlineStr">
        <is>
          <t>Trucking, Marine &amp; Logistics</t>
        </is>
      </c>
      <c r="B189" t="n">
        <v>2011</v>
      </c>
      <c r="C189" s="5">
        <f>SUMIFS('StatCan GHG'!$D$2:$D$1692,'StatCan GHG'!$E$2:$E$1692,A189,'StatCan GHG'!$A$2:$A$1692,B189)</f>
        <v/>
      </c>
      <c r="D189" s="5">
        <f>SUMIFS('StatCan Output'!$D$2:$D$1504,'StatCan Output'!$E$2:$E$1504,A189,'StatCan Output'!$A$2:$A$1504,B189)</f>
        <v/>
      </c>
      <c r="E189" s="4">
        <f>IF(D189&gt;0,C189*1000/D189,0)</f>
        <v/>
      </c>
    </row>
    <row r="190">
      <c r="A190" t="inlineStr">
        <is>
          <t>Trucking, Marine &amp; Logistics</t>
        </is>
      </c>
      <c r="B190" t="n">
        <v>2012</v>
      </c>
      <c r="C190" s="5">
        <f>SUMIFS('StatCan GHG'!$D$2:$D$1692,'StatCan GHG'!$E$2:$E$1692,A190,'StatCan GHG'!$A$2:$A$1692,B190)</f>
        <v/>
      </c>
      <c r="D190" s="5">
        <f>SUMIFS('StatCan Output'!$D$2:$D$1504,'StatCan Output'!$E$2:$E$1504,A190,'StatCan Output'!$A$2:$A$1504,B190)</f>
        <v/>
      </c>
      <c r="E190" s="4">
        <f>IF(D190&gt;0,C190*1000/D190,0)</f>
        <v/>
      </c>
    </row>
    <row r="191">
      <c r="A191" t="inlineStr">
        <is>
          <t>Trucking, Marine &amp; Logistics</t>
        </is>
      </c>
      <c r="B191" t="n">
        <v>2013</v>
      </c>
      <c r="C191" s="5">
        <f>SUMIFS('StatCan GHG'!$D$2:$D$1692,'StatCan GHG'!$E$2:$E$1692,A191,'StatCan GHG'!$A$2:$A$1692,B191)</f>
        <v/>
      </c>
      <c r="D191" s="5">
        <f>SUMIFS('StatCan Output'!$D$2:$D$1504,'StatCan Output'!$E$2:$E$1504,A191,'StatCan Output'!$A$2:$A$1504,B191)</f>
        <v/>
      </c>
      <c r="E191" s="4">
        <f>IF(D191&gt;0,C191*1000/D191,0)</f>
        <v/>
      </c>
    </row>
    <row r="192">
      <c r="A192" t="inlineStr">
        <is>
          <t>Trucking, Marine &amp; Logistics</t>
        </is>
      </c>
      <c r="B192" t="n">
        <v>2014</v>
      </c>
      <c r="C192" s="5">
        <f>SUMIFS('StatCan GHG'!$D$2:$D$1692,'StatCan GHG'!$E$2:$E$1692,A192,'StatCan GHG'!$A$2:$A$1692,B192)</f>
        <v/>
      </c>
      <c r="D192" s="5">
        <f>SUMIFS('StatCan Output'!$D$2:$D$1504,'StatCan Output'!$E$2:$E$1504,A192,'StatCan Output'!$A$2:$A$1504,B192)</f>
        <v/>
      </c>
      <c r="E192" s="4">
        <f>IF(D192&gt;0,C192*1000/D192,0)</f>
        <v/>
      </c>
    </row>
    <row r="193">
      <c r="A193" t="inlineStr">
        <is>
          <t>Trucking, Marine &amp; Logistics</t>
        </is>
      </c>
      <c r="B193" t="n">
        <v>2015</v>
      </c>
      <c r="C193" s="5">
        <f>SUMIFS('StatCan GHG'!$D$2:$D$1692,'StatCan GHG'!$E$2:$E$1692,A193,'StatCan GHG'!$A$2:$A$1692,B193)</f>
        <v/>
      </c>
      <c r="D193" s="5">
        <f>SUMIFS('StatCan Output'!$D$2:$D$1504,'StatCan Output'!$E$2:$E$1504,A193,'StatCan Output'!$A$2:$A$1504,B193)</f>
        <v/>
      </c>
      <c r="E193" s="4">
        <f>IF(D193&gt;0,C193*1000/D193,0)</f>
        <v/>
      </c>
    </row>
    <row r="194">
      <c r="A194" t="inlineStr">
        <is>
          <t>Trucking, Marine &amp; Logistics</t>
        </is>
      </c>
      <c r="B194" t="n">
        <v>2016</v>
      </c>
      <c r="C194" s="5">
        <f>SUMIFS('StatCan GHG'!$D$2:$D$1692,'StatCan GHG'!$E$2:$E$1692,A194,'StatCan GHG'!$A$2:$A$1692,B194)</f>
        <v/>
      </c>
      <c r="D194" s="5">
        <f>SUMIFS('StatCan Output'!$D$2:$D$1504,'StatCan Output'!$E$2:$E$1504,A194,'StatCan Output'!$A$2:$A$1504,B194)</f>
        <v/>
      </c>
      <c r="E194" s="4">
        <f>IF(D194&gt;0,C194*1000/D194,0)</f>
        <v/>
      </c>
    </row>
    <row r="195">
      <c r="A195" t="inlineStr">
        <is>
          <t>Trucking, Marine &amp; Logistics</t>
        </is>
      </c>
      <c r="B195" t="n">
        <v>2017</v>
      </c>
      <c r="C195" s="5">
        <f>SUMIFS('StatCan GHG'!$D$2:$D$1692,'StatCan GHG'!$E$2:$E$1692,A195,'StatCan GHG'!$A$2:$A$1692,B195)</f>
        <v/>
      </c>
      <c r="D195" s="5">
        <f>SUMIFS('StatCan Output'!$D$2:$D$1504,'StatCan Output'!$E$2:$E$1504,A195,'StatCan Output'!$A$2:$A$1504,B195)</f>
        <v/>
      </c>
      <c r="E195" s="4">
        <f>IF(D195&gt;0,C195*1000/D195,0)</f>
        <v/>
      </c>
    </row>
    <row r="196">
      <c r="A196" t="inlineStr">
        <is>
          <t>Trucking, Marine &amp; Logistics</t>
        </is>
      </c>
      <c r="B196" t="n">
        <v>2018</v>
      </c>
      <c r="C196" s="5">
        <f>SUMIFS('StatCan GHG'!$D$2:$D$1692,'StatCan GHG'!$E$2:$E$1692,A196,'StatCan GHG'!$A$2:$A$1692,B196)</f>
        <v/>
      </c>
      <c r="D196" s="5">
        <f>SUMIFS('StatCan Output'!$D$2:$D$1504,'StatCan Output'!$E$2:$E$1504,A196,'StatCan Output'!$A$2:$A$1504,B196)</f>
        <v/>
      </c>
      <c r="E196" s="4">
        <f>IF(D196&gt;0,C196*1000/D196,0)</f>
        <v/>
      </c>
    </row>
    <row r="197">
      <c r="A197" t="inlineStr">
        <is>
          <t>Trucking, Marine &amp; Logistics</t>
        </is>
      </c>
      <c r="B197" t="n">
        <v>2019</v>
      </c>
      <c r="C197" s="5">
        <f>SUMIFS('StatCan GHG'!$D$2:$D$1692,'StatCan GHG'!$E$2:$E$1692,A197,'StatCan GHG'!$A$2:$A$1692,B197)</f>
        <v/>
      </c>
      <c r="D197" s="5">
        <f>SUMIFS('StatCan Output'!$D$2:$D$1504,'StatCan Output'!$E$2:$E$1504,A197,'StatCan Output'!$A$2:$A$1504,B197)</f>
        <v/>
      </c>
      <c r="E197" s="4">
        <f>IF(D197&gt;0,C197*1000/D197,0)</f>
        <v/>
      </c>
    </row>
    <row r="198">
      <c r="A198" t="inlineStr">
        <is>
          <t>Trucking, Marine &amp; Logistics</t>
        </is>
      </c>
      <c r="B198" t="n">
        <v>2020</v>
      </c>
      <c r="C198" s="5">
        <f>SUMIFS('StatCan GHG'!$D$2:$D$1692,'StatCan GHG'!$E$2:$E$1692,A198,'StatCan GHG'!$A$2:$A$1692,B198)</f>
        <v/>
      </c>
      <c r="D198" s="5">
        <f>SUMIFS('StatCan Output'!$D$2:$D$1504,'StatCan Output'!$E$2:$E$1504,A198,'StatCan Output'!$A$2:$A$1504,B198)</f>
        <v/>
      </c>
      <c r="E198" s="4">
        <f>IF(D198&gt;0,C198*1000/D198,0)</f>
        <v/>
      </c>
    </row>
    <row r="199">
      <c r="A199" t="inlineStr">
        <is>
          <t>Trucking, Marine &amp; Logistics</t>
        </is>
      </c>
      <c r="B199" t="n">
        <v>2021</v>
      </c>
      <c r="C199" s="5">
        <f>SUMIFS('StatCan GHG'!$D$2:$D$1692,'StatCan GHG'!$E$2:$E$1692,A199,'StatCan GHG'!$A$2:$A$1692,B199)</f>
        <v/>
      </c>
      <c r="D199" s="5">
        <f>SUMIFS('StatCan Output'!$D$2:$D$1504,'StatCan Output'!$E$2:$E$1504,A199,'StatCan Output'!$A$2:$A$1504,B199)</f>
        <v/>
      </c>
      <c r="E199" s="4">
        <f>IF(D199&gt;0,C199*1000/D199,0)</f>
        <v/>
      </c>
    </row>
    <row r="200">
      <c r="A200" t="inlineStr">
        <is>
          <t>Trucking, Marine &amp; Logistics</t>
        </is>
      </c>
      <c r="B200" t="n">
        <v>2022</v>
      </c>
      <c r="C200" s="5">
        <f>SUMIFS('StatCan GHG'!$D$2:$D$1692,'StatCan GHG'!$E$2:$E$1692,A200,'StatCan GHG'!$A$2:$A$1692,B200)</f>
        <v/>
      </c>
      <c r="D200" s="5">
        <f>SUMIFS('StatCan Output'!$D$2:$D$1504,'StatCan Output'!$E$2:$E$1504,A200,'StatCan Output'!$A$2:$A$1504,B200)</f>
        <v/>
      </c>
      <c r="E200" s="4">
        <f>IF(D200&gt;0,C200*1000/D200,0)</f>
        <v/>
      </c>
    </row>
    <row r="201">
      <c r="A201" t="inlineStr">
        <is>
          <t>Construction</t>
        </is>
      </c>
      <c r="B201" t="n">
        <v>2009</v>
      </c>
      <c r="C201" s="5">
        <f>SUMIFS('StatCan GHG'!$D$2:$D$1692,'StatCan GHG'!$E$2:$E$1692,A201,'StatCan GHG'!$A$2:$A$1692,B201)</f>
        <v/>
      </c>
      <c r="D201" s="5">
        <f>SUMIFS('StatCan Output'!$D$2:$D$1504,'StatCan Output'!$E$2:$E$1504,A201,'StatCan Output'!$A$2:$A$1504,B201)</f>
        <v/>
      </c>
      <c r="E201" s="4">
        <f>IF(D201&gt;0,C201*1000/D201,0)</f>
        <v/>
      </c>
    </row>
    <row r="202">
      <c r="A202" t="inlineStr">
        <is>
          <t>Construction</t>
        </is>
      </c>
      <c r="B202" t="n">
        <v>2010</v>
      </c>
      <c r="C202" s="5">
        <f>SUMIFS('StatCan GHG'!$D$2:$D$1692,'StatCan GHG'!$E$2:$E$1692,A202,'StatCan GHG'!$A$2:$A$1692,B202)</f>
        <v/>
      </c>
      <c r="D202" s="5">
        <f>SUMIFS('StatCan Output'!$D$2:$D$1504,'StatCan Output'!$E$2:$E$1504,A202,'StatCan Output'!$A$2:$A$1504,B202)</f>
        <v/>
      </c>
      <c r="E202" s="4">
        <f>IF(D202&gt;0,C202*1000/D202,0)</f>
        <v/>
      </c>
    </row>
    <row r="203">
      <c r="A203" t="inlineStr">
        <is>
          <t>Construction</t>
        </is>
      </c>
      <c r="B203" t="n">
        <v>2011</v>
      </c>
      <c r="C203" s="5">
        <f>SUMIFS('StatCan GHG'!$D$2:$D$1692,'StatCan GHG'!$E$2:$E$1692,A203,'StatCan GHG'!$A$2:$A$1692,B203)</f>
        <v/>
      </c>
      <c r="D203" s="5">
        <f>SUMIFS('StatCan Output'!$D$2:$D$1504,'StatCan Output'!$E$2:$E$1504,A203,'StatCan Output'!$A$2:$A$1504,B203)</f>
        <v/>
      </c>
      <c r="E203" s="4">
        <f>IF(D203&gt;0,C203*1000/D203,0)</f>
        <v/>
      </c>
    </row>
    <row r="204">
      <c r="A204" t="inlineStr">
        <is>
          <t>Construction</t>
        </is>
      </c>
      <c r="B204" t="n">
        <v>2012</v>
      </c>
      <c r="C204" s="5">
        <f>SUMIFS('StatCan GHG'!$D$2:$D$1692,'StatCan GHG'!$E$2:$E$1692,A204,'StatCan GHG'!$A$2:$A$1692,B204)</f>
        <v/>
      </c>
      <c r="D204" s="5">
        <f>SUMIFS('StatCan Output'!$D$2:$D$1504,'StatCan Output'!$E$2:$E$1504,A204,'StatCan Output'!$A$2:$A$1504,B204)</f>
        <v/>
      </c>
      <c r="E204" s="4">
        <f>IF(D204&gt;0,C204*1000/D204,0)</f>
        <v/>
      </c>
    </row>
    <row r="205">
      <c r="A205" t="inlineStr">
        <is>
          <t>Construction</t>
        </is>
      </c>
      <c r="B205" t="n">
        <v>2013</v>
      </c>
      <c r="C205" s="5">
        <f>SUMIFS('StatCan GHG'!$D$2:$D$1692,'StatCan GHG'!$E$2:$E$1692,A205,'StatCan GHG'!$A$2:$A$1692,B205)</f>
        <v/>
      </c>
      <c r="D205" s="5">
        <f>SUMIFS('StatCan Output'!$D$2:$D$1504,'StatCan Output'!$E$2:$E$1504,A205,'StatCan Output'!$A$2:$A$1504,B205)</f>
        <v/>
      </c>
      <c r="E205" s="4">
        <f>IF(D205&gt;0,C205*1000/D205,0)</f>
        <v/>
      </c>
    </row>
    <row r="206">
      <c r="A206" t="inlineStr">
        <is>
          <t>Construction</t>
        </is>
      </c>
      <c r="B206" t="n">
        <v>2014</v>
      </c>
      <c r="C206" s="5">
        <f>SUMIFS('StatCan GHG'!$D$2:$D$1692,'StatCan GHG'!$E$2:$E$1692,A206,'StatCan GHG'!$A$2:$A$1692,B206)</f>
        <v/>
      </c>
      <c r="D206" s="5">
        <f>SUMIFS('StatCan Output'!$D$2:$D$1504,'StatCan Output'!$E$2:$E$1504,A206,'StatCan Output'!$A$2:$A$1504,B206)</f>
        <v/>
      </c>
      <c r="E206" s="4">
        <f>IF(D206&gt;0,C206*1000/D206,0)</f>
        <v/>
      </c>
    </row>
    <row r="207">
      <c r="A207" t="inlineStr">
        <is>
          <t>Construction</t>
        </is>
      </c>
      <c r="B207" t="n">
        <v>2015</v>
      </c>
      <c r="C207" s="5">
        <f>SUMIFS('StatCan GHG'!$D$2:$D$1692,'StatCan GHG'!$E$2:$E$1692,A207,'StatCan GHG'!$A$2:$A$1692,B207)</f>
        <v/>
      </c>
      <c r="D207" s="5">
        <f>SUMIFS('StatCan Output'!$D$2:$D$1504,'StatCan Output'!$E$2:$E$1504,A207,'StatCan Output'!$A$2:$A$1504,B207)</f>
        <v/>
      </c>
      <c r="E207" s="4">
        <f>IF(D207&gt;0,C207*1000/D207,0)</f>
        <v/>
      </c>
    </row>
    <row r="208">
      <c r="A208" t="inlineStr">
        <is>
          <t>Construction</t>
        </is>
      </c>
      <c r="B208" t="n">
        <v>2016</v>
      </c>
      <c r="C208" s="5">
        <f>SUMIFS('StatCan GHG'!$D$2:$D$1692,'StatCan GHG'!$E$2:$E$1692,A208,'StatCan GHG'!$A$2:$A$1692,B208)</f>
        <v/>
      </c>
      <c r="D208" s="5">
        <f>SUMIFS('StatCan Output'!$D$2:$D$1504,'StatCan Output'!$E$2:$E$1504,A208,'StatCan Output'!$A$2:$A$1504,B208)</f>
        <v/>
      </c>
      <c r="E208" s="4">
        <f>IF(D208&gt;0,C208*1000/D208,0)</f>
        <v/>
      </c>
    </row>
    <row r="209">
      <c r="A209" t="inlineStr">
        <is>
          <t>Construction</t>
        </is>
      </c>
      <c r="B209" t="n">
        <v>2017</v>
      </c>
      <c r="C209" s="5">
        <f>SUMIFS('StatCan GHG'!$D$2:$D$1692,'StatCan GHG'!$E$2:$E$1692,A209,'StatCan GHG'!$A$2:$A$1692,B209)</f>
        <v/>
      </c>
      <c r="D209" s="5">
        <f>SUMIFS('StatCan Output'!$D$2:$D$1504,'StatCan Output'!$E$2:$E$1504,A209,'StatCan Output'!$A$2:$A$1504,B209)</f>
        <v/>
      </c>
      <c r="E209" s="4">
        <f>IF(D209&gt;0,C209*1000/D209,0)</f>
        <v/>
      </c>
    </row>
    <row r="210">
      <c r="A210" t="inlineStr">
        <is>
          <t>Construction</t>
        </is>
      </c>
      <c r="B210" t="n">
        <v>2018</v>
      </c>
      <c r="C210" s="5">
        <f>SUMIFS('StatCan GHG'!$D$2:$D$1692,'StatCan GHG'!$E$2:$E$1692,A210,'StatCan GHG'!$A$2:$A$1692,B210)</f>
        <v/>
      </c>
      <c r="D210" s="5">
        <f>SUMIFS('StatCan Output'!$D$2:$D$1504,'StatCan Output'!$E$2:$E$1504,A210,'StatCan Output'!$A$2:$A$1504,B210)</f>
        <v/>
      </c>
      <c r="E210" s="4">
        <f>IF(D210&gt;0,C210*1000/D210,0)</f>
        <v/>
      </c>
    </row>
    <row r="211">
      <c r="A211" t="inlineStr">
        <is>
          <t>Construction</t>
        </is>
      </c>
      <c r="B211" t="n">
        <v>2019</v>
      </c>
      <c r="C211" s="5">
        <f>SUMIFS('StatCan GHG'!$D$2:$D$1692,'StatCan GHG'!$E$2:$E$1692,A211,'StatCan GHG'!$A$2:$A$1692,B211)</f>
        <v/>
      </c>
      <c r="D211" s="5">
        <f>SUMIFS('StatCan Output'!$D$2:$D$1504,'StatCan Output'!$E$2:$E$1504,A211,'StatCan Output'!$A$2:$A$1504,B211)</f>
        <v/>
      </c>
      <c r="E211" s="4">
        <f>IF(D211&gt;0,C211*1000/D211,0)</f>
        <v/>
      </c>
    </row>
    <row r="212">
      <c r="A212" t="inlineStr">
        <is>
          <t>Construction</t>
        </is>
      </c>
      <c r="B212" t="n">
        <v>2020</v>
      </c>
      <c r="C212" s="5">
        <f>SUMIFS('StatCan GHG'!$D$2:$D$1692,'StatCan GHG'!$E$2:$E$1692,A212,'StatCan GHG'!$A$2:$A$1692,B212)</f>
        <v/>
      </c>
      <c r="D212" s="5">
        <f>SUMIFS('StatCan Output'!$D$2:$D$1504,'StatCan Output'!$E$2:$E$1504,A212,'StatCan Output'!$A$2:$A$1504,B212)</f>
        <v/>
      </c>
      <c r="E212" s="4">
        <f>IF(D212&gt;0,C212*1000/D212,0)</f>
        <v/>
      </c>
    </row>
    <row r="213">
      <c r="A213" t="inlineStr">
        <is>
          <t>Construction</t>
        </is>
      </c>
      <c r="B213" t="n">
        <v>2021</v>
      </c>
      <c r="C213" s="5">
        <f>SUMIFS('StatCan GHG'!$D$2:$D$1692,'StatCan GHG'!$E$2:$E$1692,A213,'StatCan GHG'!$A$2:$A$1692,B213)</f>
        <v/>
      </c>
      <c r="D213" s="5">
        <f>SUMIFS('StatCan Output'!$D$2:$D$1504,'StatCan Output'!$E$2:$E$1504,A213,'StatCan Output'!$A$2:$A$1504,B213)</f>
        <v/>
      </c>
      <c r="E213" s="4">
        <f>IF(D213&gt;0,C213*1000/D213,0)</f>
        <v/>
      </c>
    </row>
    <row r="214">
      <c r="A214" t="inlineStr">
        <is>
          <t>Construction</t>
        </is>
      </c>
      <c r="B214" t="n">
        <v>2022</v>
      </c>
      <c r="C214" s="5">
        <f>SUMIFS('StatCan GHG'!$D$2:$D$1692,'StatCan GHG'!$E$2:$E$1692,A214,'StatCan GHG'!$A$2:$A$1692,B214)</f>
        <v/>
      </c>
      <c r="D214" s="5">
        <f>SUMIFS('StatCan Output'!$D$2:$D$1504,'StatCan Output'!$E$2:$E$1504,A214,'StatCan Output'!$A$2:$A$1504,B214)</f>
        <v/>
      </c>
      <c r="E214" s="4">
        <f>IF(D214&gt;0,C214*1000/D214,0)</f>
        <v/>
      </c>
    </row>
    <row r="215">
      <c r="A215" t="inlineStr">
        <is>
          <t>Autos &amp; Transport Equipment</t>
        </is>
      </c>
      <c r="B215" t="n">
        <v>2009</v>
      </c>
      <c r="C215" s="5">
        <f>SUMIFS('StatCan GHG'!$D$2:$D$1692,'StatCan GHG'!$E$2:$E$1692,A215,'StatCan GHG'!$A$2:$A$1692,B215)</f>
        <v/>
      </c>
      <c r="D215" s="5">
        <f>SUMIFS('StatCan Output'!$D$2:$D$1504,'StatCan Output'!$E$2:$E$1504,A215,'StatCan Output'!$A$2:$A$1504,B215)</f>
        <v/>
      </c>
      <c r="E215" s="4">
        <f>IF(D215&gt;0,C215*1000/D215,0)</f>
        <v/>
      </c>
    </row>
    <row r="216">
      <c r="A216" t="inlineStr">
        <is>
          <t>Autos &amp; Transport Equipment</t>
        </is>
      </c>
      <c r="B216" t="n">
        <v>2010</v>
      </c>
      <c r="C216" s="5">
        <f>SUMIFS('StatCan GHG'!$D$2:$D$1692,'StatCan GHG'!$E$2:$E$1692,A216,'StatCan GHG'!$A$2:$A$1692,B216)</f>
        <v/>
      </c>
      <c r="D216" s="5">
        <f>SUMIFS('StatCan Output'!$D$2:$D$1504,'StatCan Output'!$E$2:$E$1504,A216,'StatCan Output'!$A$2:$A$1504,B216)</f>
        <v/>
      </c>
      <c r="E216" s="4">
        <f>IF(D216&gt;0,C216*1000/D216,0)</f>
        <v/>
      </c>
    </row>
    <row r="217">
      <c r="A217" t="inlineStr">
        <is>
          <t>Autos &amp; Transport Equipment</t>
        </is>
      </c>
      <c r="B217" t="n">
        <v>2011</v>
      </c>
      <c r="C217" s="5">
        <f>SUMIFS('StatCan GHG'!$D$2:$D$1692,'StatCan GHG'!$E$2:$E$1692,A217,'StatCan GHG'!$A$2:$A$1692,B217)</f>
        <v/>
      </c>
      <c r="D217" s="5">
        <f>SUMIFS('StatCan Output'!$D$2:$D$1504,'StatCan Output'!$E$2:$E$1504,A217,'StatCan Output'!$A$2:$A$1504,B217)</f>
        <v/>
      </c>
      <c r="E217" s="4">
        <f>IF(D217&gt;0,C217*1000/D217,0)</f>
        <v/>
      </c>
    </row>
    <row r="218">
      <c r="A218" t="inlineStr">
        <is>
          <t>Autos &amp; Transport Equipment</t>
        </is>
      </c>
      <c r="B218" t="n">
        <v>2012</v>
      </c>
      <c r="C218" s="5">
        <f>SUMIFS('StatCan GHG'!$D$2:$D$1692,'StatCan GHG'!$E$2:$E$1692,A218,'StatCan GHG'!$A$2:$A$1692,B218)</f>
        <v/>
      </c>
      <c r="D218" s="5">
        <f>SUMIFS('StatCan Output'!$D$2:$D$1504,'StatCan Output'!$E$2:$E$1504,A218,'StatCan Output'!$A$2:$A$1504,B218)</f>
        <v/>
      </c>
      <c r="E218" s="4">
        <f>IF(D218&gt;0,C218*1000/D218,0)</f>
        <v/>
      </c>
    </row>
    <row r="219">
      <c r="A219" t="inlineStr">
        <is>
          <t>Autos &amp; Transport Equipment</t>
        </is>
      </c>
      <c r="B219" t="n">
        <v>2013</v>
      </c>
      <c r="C219" s="5">
        <f>SUMIFS('StatCan GHG'!$D$2:$D$1692,'StatCan GHG'!$E$2:$E$1692,A219,'StatCan GHG'!$A$2:$A$1692,B219)</f>
        <v/>
      </c>
      <c r="D219" s="5">
        <f>SUMIFS('StatCan Output'!$D$2:$D$1504,'StatCan Output'!$E$2:$E$1504,A219,'StatCan Output'!$A$2:$A$1504,B219)</f>
        <v/>
      </c>
      <c r="E219" s="4">
        <f>IF(D219&gt;0,C219*1000/D219,0)</f>
        <v/>
      </c>
    </row>
    <row r="220">
      <c r="A220" t="inlineStr">
        <is>
          <t>Autos &amp; Transport Equipment</t>
        </is>
      </c>
      <c r="B220" t="n">
        <v>2014</v>
      </c>
      <c r="C220" s="5">
        <f>SUMIFS('StatCan GHG'!$D$2:$D$1692,'StatCan GHG'!$E$2:$E$1692,A220,'StatCan GHG'!$A$2:$A$1692,B220)</f>
        <v/>
      </c>
      <c r="D220" s="5">
        <f>SUMIFS('StatCan Output'!$D$2:$D$1504,'StatCan Output'!$E$2:$E$1504,A220,'StatCan Output'!$A$2:$A$1504,B220)</f>
        <v/>
      </c>
      <c r="E220" s="4">
        <f>IF(D220&gt;0,C220*1000/D220,0)</f>
        <v/>
      </c>
    </row>
    <row r="221">
      <c r="A221" t="inlineStr">
        <is>
          <t>Autos &amp; Transport Equipment</t>
        </is>
      </c>
      <c r="B221" t="n">
        <v>2015</v>
      </c>
      <c r="C221" s="5">
        <f>SUMIFS('StatCan GHG'!$D$2:$D$1692,'StatCan GHG'!$E$2:$E$1692,A221,'StatCan GHG'!$A$2:$A$1692,B221)</f>
        <v/>
      </c>
      <c r="D221" s="5">
        <f>SUMIFS('StatCan Output'!$D$2:$D$1504,'StatCan Output'!$E$2:$E$1504,A221,'StatCan Output'!$A$2:$A$1504,B221)</f>
        <v/>
      </c>
      <c r="E221" s="4">
        <f>IF(D221&gt;0,C221*1000/D221,0)</f>
        <v/>
      </c>
    </row>
    <row r="222">
      <c r="A222" t="inlineStr">
        <is>
          <t>Autos &amp; Transport Equipment</t>
        </is>
      </c>
      <c r="B222" t="n">
        <v>2016</v>
      </c>
      <c r="C222" s="5">
        <f>SUMIFS('StatCan GHG'!$D$2:$D$1692,'StatCan GHG'!$E$2:$E$1692,A222,'StatCan GHG'!$A$2:$A$1692,B222)</f>
        <v/>
      </c>
      <c r="D222" s="5">
        <f>SUMIFS('StatCan Output'!$D$2:$D$1504,'StatCan Output'!$E$2:$E$1504,A222,'StatCan Output'!$A$2:$A$1504,B222)</f>
        <v/>
      </c>
      <c r="E222" s="4">
        <f>IF(D222&gt;0,C222*1000/D222,0)</f>
        <v/>
      </c>
    </row>
    <row r="223">
      <c r="A223" t="inlineStr">
        <is>
          <t>Autos &amp; Transport Equipment</t>
        </is>
      </c>
      <c r="B223" t="n">
        <v>2017</v>
      </c>
      <c r="C223" s="5">
        <f>SUMIFS('StatCan GHG'!$D$2:$D$1692,'StatCan GHG'!$E$2:$E$1692,A223,'StatCan GHG'!$A$2:$A$1692,B223)</f>
        <v/>
      </c>
      <c r="D223" s="5">
        <f>SUMIFS('StatCan Output'!$D$2:$D$1504,'StatCan Output'!$E$2:$E$1504,A223,'StatCan Output'!$A$2:$A$1504,B223)</f>
        <v/>
      </c>
      <c r="E223" s="4">
        <f>IF(D223&gt;0,C223*1000/D223,0)</f>
        <v/>
      </c>
    </row>
    <row r="224">
      <c r="A224" t="inlineStr">
        <is>
          <t>Autos &amp; Transport Equipment</t>
        </is>
      </c>
      <c r="B224" t="n">
        <v>2018</v>
      </c>
      <c r="C224" s="5">
        <f>SUMIFS('StatCan GHG'!$D$2:$D$1692,'StatCan GHG'!$E$2:$E$1692,A224,'StatCan GHG'!$A$2:$A$1692,B224)</f>
        <v/>
      </c>
      <c r="D224" s="5">
        <f>SUMIFS('StatCan Output'!$D$2:$D$1504,'StatCan Output'!$E$2:$E$1504,A224,'StatCan Output'!$A$2:$A$1504,B224)</f>
        <v/>
      </c>
      <c r="E224" s="4">
        <f>IF(D224&gt;0,C224*1000/D224,0)</f>
        <v/>
      </c>
    </row>
    <row r="225">
      <c r="A225" t="inlineStr">
        <is>
          <t>Autos &amp; Transport Equipment</t>
        </is>
      </c>
      <c r="B225" t="n">
        <v>2019</v>
      </c>
      <c r="C225" s="5">
        <f>SUMIFS('StatCan GHG'!$D$2:$D$1692,'StatCan GHG'!$E$2:$E$1692,A225,'StatCan GHG'!$A$2:$A$1692,B225)</f>
        <v/>
      </c>
      <c r="D225" s="5">
        <f>SUMIFS('StatCan Output'!$D$2:$D$1504,'StatCan Output'!$E$2:$E$1504,A225,'StatCan Output'!$A$2:$A$1504,B225)</f>
        <v/>
      </c>
      <c r="E225" s="4">
        <f>IF(D225&gt;0,C225*1000/D225,0)</f>
        <v/>
      </c>
    </row>
    <row r="226">
      <c r="A226" t="inlineStr">
        <is>
          <t>Autos &amp; Transport Equipment</t>
        </is>
      </c>
      <c r="B226" t="n">
        <v>2020</v>
      </c>
      <c r="C226" s="5">
        <f>SUMIFS('StatCan GHG'!$D$2:$D$1692,'StatCan GHG'!$E$2:$E$1692,A226,'StatCan GHG'!$A$2:$A$1692,B226)</f>
        <v/>
      </c>
      <c r="D226" s="5">
        <f>SUMIFS('StatCan Output'!$D$2:$D$1504,'StatCan Output'!$E$2:$E$1504,A226,'StatCan Output'!$A$2:$A$1504,B226)</f>
        <v/>
      </c>
      <c r="E226" s="4">
        <f>IF(D226&gt;0,C226*1000/D226,0)</f>
        <v/>
      </c>
    </row>
    <row r="227">
      <c r="A227" t="inlineStr">
        <is>
          <t>Autos &amp; Transport Equipment</t>
        </is>
      </c>
      <c r="B227" t="n">
        <v>2021</v>
      </c>
      <c r="C227" s="5">
        <f>SUMIFS('StatCan GHG'!$D$2:$D$1692,'StatCan GHG'!$E$2:$E$1692,A227,'StatCan GHG'!$A$2:$A$1692,B227)</f>
        <v/>
      </c>
      <c r="D227" s="5">
        <f>SUMIFS('StatCan Output'!$D$2:$D$1504,'StatCan Output'!$E$2:$E$1504,A227,'StatCan Output'!$A$2:$A$1504,B227)</f>
        <v/>
      </c>
      <c r="E227" s="4">
        <f>IF(D227&gt;0,C227*1000/D227,0)</f>
        <v/>
      </c>
    </row>
    <row r="228">
      <c r="A228" t="inlineStr">
        <is>
          <t>Autos &amp; Transport Equipment</t>
        </is>
      </c>
      <c r="B228" t="n">
        <v>2022</v>
      </c>
      <c r="C228" s="5">
        <f>SUMIFS('StatCan GHG'!$D$2:$D$1692,'StatCan GHG'!$E$2:$E$1692,A228,'StatCan GHG'!$A$2:$A$1692,B228)</f>
        <v/>
      </c>
      <c r="D228" s="5">
        <f>SUMIFS('StatCan Output'!$D$2:$D$1504,'StatCan Output'!$E$2:$E$1504,A228,'StatCan Output'!$A$2:$A$1504,B228)</f>
        <v/>
      </c>
      <c r="E228" s="4">
        <f>IF(D228&gt;0,C228*1000/D228,0)</f>
        <v/>
      </c>
    </row>
    <row r="229">
      <c r="A229" t="inlineStr">
        <is>
          <t>Industrial &amp; Tech Manufacturing</t>
        </is>
      </c>
      <c r="B229" t="n">
        <v>2009</v>
      </c>
      <c r="C229" s="5">
        <f>SUMIFS('StatCan GHG'!$D$2:$D$1692,'StatCan GHG'!$E$2:$E$1692,A229,'StatCan GHG'!$A$2:$A$1692,B229)</f>
        <v/>
      </c>
      <c r="D229" s="5">
        <f>SUMIFS('StatCan Output'!$D$2:$D$1504,'StatCan Output'!$E$2:$E$1504,A229,'StatCan Output'!$A$2:$A$1504,B229)</f>
        <v/>
      </c>
      <c r="E229" s="4">
        <f>IF(D229&gt;0,C229*1000/D229,0)</f>
        <v/>
      </c>
    </row>
    <row r="230">
      <c r="A230" t="inlineStr">
        <is>
          <t>Industrial &amp; Tech Manufacturing</t>
        </is>
      </c>
      <c r="B230" t="n">
        <v>2010</v>
      </c>
      <c r="C230" s="5">
        <f>SUMIFS('StatCan GHG'!$D$2:$D$1692,'StatCan GHG'!$E$2:$E$1692,A230,'StatCan GHG'!$A$2:$A$1692,B230)</f>
        <v/>
      </c>
      <c r="D230" s="5">
        <f>SUMIFS('StatCan Output'!$D$2:$D$1504,'StatCan Output'!$E$2:$E$1504,A230,'StatCan Output'!$A$2:$A$1504,B230)</f>
        <v/>
      </c>
      <c r="E230" s="4">
        <f>IF(D230&gt;0,C230*1000/D230,0)</f>
        <v/>
      </c>
    </row>
    <row r="231">
      <c r="A231" t="inlineStr">
        <is>
          <t>Industrial &amp; Tech Manufacturing</t>
        </is>
      </c>
      <c r="B231" t="n">
        <v>2011</v>
      </c>
      <c r="C231" s="5">
        <f>SUMIFS('StatCan GHG'!$D$2:$D$1692,'StatCan GHG'!$E$2:$E$1692,A231,'StatCan GHG'!$A$2:$A$1692,B231)</f>
        <v/>
      </c>
      <c r="D231" s="5">
        <f>SUMIFS('StatCan Output'!$D$2:$D$1504,'StatCan Output'!$E$2:$E$1504,A231,'StatCan Output'!$A$2:$A$1504,B231)</f>
        <v/>
      </c>
      <c r="E231" s="4">
        <f>IF(D231&gt;0,C231*1000/D231,0)</f>
        <v/>
      </c>
    </row>
    <row r="232">
      <c r="A232" t="inlineStr">
        <is>
          <t>Industrial &amp; Tech Manufacturing</t>
        </is>
      </c>
      <c r="B232" t="n">
        <v>2012</v>
      </c>
      <c r="C232" s="5">
        <f>SUMIFS('StatCan GHG'!$D$2:$D$1692,'StatCan GHG'!$E$2:$E$1692,A232,'StatCan GHG'!$A$2:$A$1692,B232)</f>
        <v/>
      </c>
      <c r="D232" s="5">
        <f>SUMIFS('StatCan Output'!$D$2:$D$1504,'StatCan Output'!$E$2:$E$1504,A232,'StatCan Output'!$A$2:$A$1504,B232)</f>
        <v/>
      </c>
      <c r="E232" s="4">
        <f>IF(D232&gt;0,C232*1000/D232,0)</f>
        <v/>
      </c>
    </row>
    <row r="233">
      <c r="A233" t="inlineStr">
        <is>
          <t>Industrial &amp; Tech Manufacturing</t>
        </is>
      </c>
      <c r="B233" t="n">
        <v>2013</v>
      </c>
      <c r="C233" s="5">
        <f>SUMIFS('StatCan GHG'!$D$2:$D$1692,'StatCan GHG'!$E$2:$E$1692,A233,'StatCan GHG'!$A$2:$A$1692,B233)</f>
        <v/>
      </c>
      <c r="D233" s="5">
        <f>SUMIFS('StatCan Output'!$D$2:$D$1504,'StatCan Output'!$E$2:$E$1504,A233,'StatCan Output'!$A$2:$A$1504,B233)</f>
        <v/>
      </c>
      <c r="E233" s="4">
        <f>IF(D233&gt;0,C233*1000/D233,0)</f>
        <v/>
      </c>
    </row>
    <row r="234">
      <c r="A234" t="inlineStr">
        <is>
          <t>Industrial &amp; Tech Manufacturing</t>
        </is>
      </c>
      <c r="B234" t="n">
        <v>2014</v>
      </c>
      <c r="C234" s="5">
        <f>SUMIFS('StatCan GHG'!$D$2:$D$1692,'StatCan GHG'!$E$2:$E$1692,A234,'StatCan GHG'!$A$2:$A$1692,B234)</f>
        <v/>
      </c>
      <c r="D234" s="5">
        <f>SUMIFS('StatCan Output'!$D$2:$D$1504,'StatCan Output'!$E$2:$E$1504,A234,'StatCan Output'!$A$2:$A$1504,B234)</f>
        <v/>
      </c>
      <c r="E234" s="4">
        <f>IF(D234&gt;0,C234*1000/D234,0)</f>
        <v/>
      </c>
    </row>
    <row r="235">
      <c r="A235" t="inlineStr">
        <is>
          <t>Industrial &amp; Tech Manufacturing</t>
        </is>
      </c>
      <c r="B235" t="n">
        <v>2015</v>
      </c>
      <c r="C235" s="5">
        <f>SUMIFS('StatCan GHG'!$D$2:$D$1692,'StatCan GHG'!$E$2:$E$1692,A235,'StatCan GHG'!$A$2:$A$1692,B235)</f>
        <v/>
      </c>
      <c r="D235" s="5">
        <f>SUMIFS('StatCan Output'!$D$2:$D$1504,'StatCan Output'!$E$2:$E$1504,A235,'StatCan Output'!$A$2:$A$1504,B235)</f>
        <v/>
      </c>
      <c r="E235" s="4">
        <f>IF(D235&gt;0,C235*1000/D235,0)</f>
        <v/>
      </c>
    </row>
    <row r="236">
      <c r="A236" t="inlineStr">
        <is>
          <t>Industrial &amp; Tech Manufacturing</t>
        </is>
      </c>
      <c r="B236" t="n">
        <v>2016</v>
      </c>
      <c r="C236" s="5">
        <f>SUMIFS('StatCan GHG'!$D$2:$D$1692,'StatCan GHG'!$E$2:$E$1692,A236,'StatCan GHG'!$A$2:$A$1692,B236)</f>
        <v/>
      </c>
      <c r="D236" s="5">
        <f>SUMIFS('StatCan Output'!$D$2:$D$1504,'StatCan Output'!$E$2:$E$1504,A236,'StatCan Output'!$A$2:$A$1504,B236)</f>
        <v/>
      </c>
      <c r="E236" s="4">
        <f>IF(D236&gt;0,C236*1000/D236,0)</f>
        <v/>
      </c>
    </row>
    <row r="237">
      <c r="A237" t="inlineStr">
        <is>
          <t>Industrial &amp; Tech Manufacturing</t>
        </is>
      </c>
      <c r="B237" t="n">
        <v>2017</v>
      </c>
      <c r="C237" s="5">
        <f>SUMIFS('StatCan GHG'!$D$2:$D$1692,'StatCan GHG'!$E$2:$E$1692,A237,'StatCan GHG'!$A$2:$A$1692,B237)</f>
        <v/>
      </c>
      <c r="D237" s="5">
        <f>SUMIFS('StatCan Output'!$D$2:$D$1504,'StatCan Output'!$E$2:$E$1504,A237,'StatCan Output'!$A$2:$A$1504,B237)</f>
        <v/>
      </c>
      <c r="E237" s="4">
        <f>IF(D237&gt;0,C237*1000/D237,0)</f>
        <v/>
      </c>
    </row>
    <row r="238">
      <c r="A238" t="inlineStr">
        <is>
          <t>Industrial &amp; Tech Manufacturing</t>
        </is>
      </c>
      <c r="B238" t="n">
        <v>2018</v>
      </c>
      <c r="C238" s="5">
        <f>SUMIFS('StatCan GHG'!$D$2:$D$1692,'StatCan GHG'!$E$2:$E$1692,A238,'StatCan GHG'!$A$2:$A$1692,B238)</f>
        <v/>
      </c>
      <c r="D238" s="5">
        <f>SUMIFS('StatCan Output'!$D$2:$D$1504,'StatCan Output'!$E$2:$E$1504,A238,'StatCan Output'!$A$2:$A$1504,B238)</f>
        <v/>
      </c>
      <c r="E238" s="4">
        <f>IF(D238&gt;0,C238*1000/D238,0)</f>
        <v/>
      </c>
    </row>
    <row r="239">
      <c r="A239" t="inlineStr">
        <is>
          <t>Industrial &amp; Tech Manufacturing</t>
        </is>
      </c>
      <c r="B239" t="n">
        <v>2019</v>
      </c>
      <c r="C239" s="5">
        <f>SUMIFS('StatCan GHG'!$D$2:$D$1692,'StatCan GHG'!$E$2:$E$1692,A239,'StatCan GHG'!$A$2:$A$1692,B239)</f>
        <v/>
      </c>
      <c r="D239" s="5">
        <f>SUMIFS('StatCan Output'!$D$2:$D$1504,'StatCan Output'!$E$2:$E$1504,A239,'StatCan Output'!$A$2:$A$1504,B239)</f>
        <v/>
      </c>
      <c r="E239" s="4">
        <f>IF(D239&gt;0,C239*1000/D239,0)</f>
        <v/>
      </c>
    </row>
    <row r="240">
      <c r="A240" t="inlineStr">
        <is>
          <t>Industrial &amp; Tech Manufacturing</t>
        </is>
      </c>
      <c r="B240" t="n">
        <v>2020</v>
      </c>
      <c r="C240" s="5">
        <f>SUMIFS('StatCan GHG'!$D$2:$D$1692,'StatCan GHG'!$E$2:$E$1692,A240,'StatCan GHG'!$A$2:$A$1692,B240)</f>
        <v/>
      </c>
      <c r="D240" s="5">
        <f>SUMIFS('StatCan Output'!$D$2:$D$1504,'StatCan Output'!$E$2:$E$1504,A240,'StatCan Output'!$A$2:$A$1504,B240)</f>
        <v/>
      </c>
      <c r="E240" s="4">
        <f>IF(D240&gt;0,C240*1000/D240,0)</f>
        <v/>
      </c>
    </row>
    <row r="241">
      <c r="A241" t="inlineStr">
        <is>
          <t>Industrial &amp; Tech Manufacturing</t>
        </is>
      </c>
      <c r="B241" t="n">
        <v>2021</v>
      </c>
      <c r="C241" s="5">
        <f>SUMIFS('StatCan GHG'!$D$2:$D$1692,'StatCan GHG'!$E$2:$E$1692,A241,'StatCan GHG'!$A$2:$A$1692,B241)</f>
        <v/>
      </c>
      <c r="D241" s="5">
        <f>SUMIFS('StatCan Output'!$D$2:$D$1504,'StatCan Output'!$E$2:$E$1504,A241,'StatCan Output'!$A$2:$A$1504,B241)</f>
        <v/>
      </c>
      <c r="E241" s="4">
        <f>IF(D241&gt;0,C241*1000/D241,0)</f>
        <v/>
      </c>
    </row>
    <row r="242">
      <c r="A242" t="inlineStr">
        <is>
          <t>Industrial &amp; Tech Manufacturing</t>
        </is>
      </c>
      <c r="B242" t="n">
        <v>2022</v>
      </c>
      <c r="C242" s="5">
        <f>SUMIFS('StatCan GHG'!$D$2:$D$1692,'StatCan GHG'!$E$2:$E$1692,A242,'StatCan GHG'!$A$2:$A$1692,B242)</f>
        <v/>
      </c>
      <c r="D242" s="5">
        <f>SUMIFS('StatCan Output'!$D$2:$D$1504,'StatCan Output'!$E$2:$E$1504,A242,'StatCan Output'!$A$2:$A$1504,B242)</f>
        <v/>
      </c>
      <c r="E242" s="4">
        <f>IF(D242&gt;0,C242*1000/D242,0)</f>
        <v/>
      </c>
    </row>
    <row r="243">
      <c r="A243" t="inlineStr">
        <is>
          <t>Retail &amp; Wholesale</t>
        </is>
      </c>
      <c r="B243" t="n">
        <v>2009</v>
      </c>
      <c r="C243" s="5">
        <f>SUMIFS('StatCan GHG'!$D$2:$D$1692,'StatCan GHG'!$E$2:$E$1692,A243,'StatCan GHG'!$A$2:$A$1692,B243)</f>
        <v/>
      </c>
      <c r="D243" s="5">
        <f>SUMIFS('StatCan Output'!$D$2:$D$1504,'StatCan Output'!$E$2:$E$1504,A243,'StatCan Output'!$A$2:$A$1504,B243)</f>
        <v/>
      </c>
      <c r="E243" s="4">
        <f>IF(D243&gt;0,C243*1000/D243,0)</f>
        <v/>
      </c>
    </row>
    <row r="244">
      <c r="A244" t="inlineStr">
        <is>
          <t>Retail &amp; Wholesale</t>
        </is>
      </c>
      <c r="B244" t="n">
        <v>2010</v>
      </c>
      <c r="C244" s="5">
        <f>SUMIFS('StatCan GHG'!$D$2:$D$1692,'StatCan GHG'!$E$2:$E$1692,A244,'StatCan GHG'!$A$2:$A$1692,B244)</f>
        <v/>
      </c>
      <c r="D244" s="5">
        <f>SUMIFS('StatCan Output'!$D$2:$D$1504,'StatCan Output'!$E$2:$E$1504,A244,'StatCan Output'!$A$2:$A$1504,B244)</f>
        <v/>
      </c>
      <c r="E244" s="4">
        <f>IF(D244&gt;0,C244*1000/D244,0)</f>
        <v/>
      </c>
    </row>
    <row r="245">
      <c r="A245" t="inlineStr">
        <is>
          <t>Retail &amp; Wholesale</t>
        </is>
      </c>
      <c r="B245" t="n">
        <v>2011</v>
      </c>
      <c r="C245" s="5">
        <f>SUMIFS('StatCan GHG'!$D$2:$D$1692,'StatCan GHG'!$E$2:$E$1692,A245,'StatCan GHG'!$A$2:$A$1692,B245)</f>
        <v/>
      </c>
      <c r="D245" s="5">
        <f>SUMIFS('StatCan Output'!$D$2:$D$1504,'StatCan Output'!$E$2:$E$1504,A245,'StatCan Output'!$A$2:$A$1504,B245)</f>
        <v/>
      </c>
      <c r="E245" s="4">
        <f>IF(D245&gt;0,C245*1000/D245,0)</f>
        <v/>
      </c>
    </row>
    <row r="246">
      <c r="A246" t="inlineStr">
        <is>
          <t>Retail &amp; Wholesale</t>
        </is>
      </c>
      <c r="B246" t="n">
        <v>2012</v>
      </c>
      <c r="C246" s="5">
        <f>SUMIFS('StatCan GHG'!$D$2:$D$1692,'StatCan GHG'!$E$2:$E$1692,A246,'StatCan GHG'!$A$2:$A$1692,B246)</f>
        <v/>
      </c>
      <c r="D246" s="5">
        <f>SUMIFS('StatCan Output'!$D$2:$D$1504,'StatCan Output'!$E$2:$E$1504,A246,'StatCan Output'!$A$2:$A$1504,B246)</f>
        <v/>
      </c>
      <c r="E246" s="4">
        <f>IF(D246&gt;0,C246*1000/D246,0)</f>
        <v/>
      </c>
    </row>
    <row r="247">
      <c r="A247" t="inlineStr">
        <is>
          <t>Retail &amp; Wholesale</t>
        </is>
      </c>
      <c r="B247" t="n">
        <v>2013</v>
      </c>
      <c r="C247" s="5">
        <f>SUMIFS('StatCan GHG'!$D$2:$D$1692,'StatCan GHG'!$E$2:$E$1692,A247,'StatCan GHG'!$A$2:$A$1692,B247)</f>
        <v/>
      </c>
      <c r="D247" s="5">
        <f>SUMIFS('StatCan Output'!$D$2:$D$1504,'StatCan Output'!$E$2:$E$1504,A247,'StatCan Output'!$A$2:$A$1504,B247)</f>
        <v/>
      </c>
      <c r="E247" s="4">
        <f>IF(D247&gt;0,C247*1000/D247,0)</f>
        <v/>
      </c>
    </row>
    <row r="248">
      <c r="A248" t="inlineStr">
        <is>
          <t>Retail &amp; Wholesale</t>
        </is>
      </c>
      <c r="B248" t="n">
        <v>2014</v>
      </c>
      <c r="C248" s="5">
        <f>SUMIFS('StatCan GHG'!$D$2:$D$1692,'StatCan GHG'!$E$2:$E$1692,A248,'StatCan GHG'!$A$2:$A$1692,B248)</f>
        <v/>
      </c>
      <c r="D248" s="5">
        <f>SUMIFS('StatCan Output'!$D$2:$D$1504,'StatCan Output'!$E$2:$E$1504,A248,'StatCan Output'!$A$2:$A$1504,B248)</f>
        <v/>
      </c>
      <c r="E248" s="4">
        <f>IF(D248&gt;0,C248*1000/D248,0)</f>
        <v/>
      </c>
    </row>
    <row r="249">
      <c r="A249" t="inlineStr">
        <is>
          <t>Retail &amp; Wholesale</t>
        </is>
      </c>
      <c r="B249" t="n">
        <v>2015</v>
      </c>
      <c r="C249" s="5">
        <f>SUMIFS('StatCan GHG'!$D$2:$D$1692,'StatCan GHG'!$E$2:$E$1692,A249,'StatCan GHG'!$A$2:$A$1692,B249)</f>
        <v/>
      </c>
      <c r="D249" s="5">
        <f>SUMIFS('StatCan Output'!$D$2:$D$1504,'StatCan Output'!$E$2:$E$1504,A249,'StatCan Output'!$A$2:$A$1504,B249)</f>
        <v/>
      </c>
      <c r="E249" s="4">
        <f>IF(D249&gt;0,C249*1000/D249,0)</f>
        <v/>
      </c>
    </row>
    <row r="250">
      <c r="A250" t="inlineStr">
        <is>
          <t>Retail &amp; Wholesale</t>
        </is>
      </c>
      <c r="B250" t="n">
        <v>2016</v>
      </c>
      <c r="C250" s="5">
        <f>SUMIFS('StatCan GHG'!$D$2:$D$1692,'StatCan GHG'!$E$2:$E$1692,A250,'StatCan GHG'!$A$2:$A$1692,B250)</f>
        <v/>
      </c>
      <c r="D250" s="5">
        <f>SUMIFS('StatCan Output'!$D$2:$D$1504,'StatCan Output'!$E$2:$E$1504,A250,'StatCan Output'!$A$2:$A$1504,B250)</f>
        <v/>
      </c>
      <c r="E250" s="4">
        <f>IF(D250&gt;0,C250*1000/D250,0)</f>
        <v/>
      </c>
    </row>
    <row r="251">
      <c r="A251" t="inlineStr">
        <is>
          <t>Retail &amp; Wholesale</t>
        </is>
      </c>
      <c r="B251" t="n">
        <v>2017</v>
      </c>
      <c r="C251" s="5">
        <f>SUMIFS('StatCan GHG'!$D$2:$D$1692,'StatCan GHG'!$E$2:$E$1692,A251,'StatCan GHG'!$A$2:$A$1692,B251)</f>
        <v/>
      </c>
      <c r="D251" s="5">
        <f>SUMIFS('StatCan Output'!$D$2:$D$1504,'StatCan Output'!$E$2:$E$1504,A251,'StatCan Output'!$A$2:$A$1504,B251)</f>
        <v/>
      </c>
      <c r="E251" s="4">
        <f>IF(D251&gt;0,C251*1000/D251,0)</f>
        <v/>
      </c>
    </row>
    <row r="252">
      <c r="A252" t="inlineStr">
        <is>
          <t>Retail &amp; Wholesale</t>
        </is>
      </c>
      <c r="B252" t="n">
        <v>2018</v>
      </c>
      <c r="C252" s="5">
        <f>SUMIFS('StatCan GHG'!$D$2:$D$1692,'StatCan GHG'!$E$2:$E$1692,A252,'StatCan GHG'!$A$2:$A$1692,B252)</f>
        <v/>
      </c>
      <c r="D252" s="5">
        <f>SUMIFS('StatCan Output'!$D$2:$D$1504,'StatCan Output'!$E$2:$E$1504,A252,'StatCan Output'!$A$2:$A$1504,B252)</f>
        <v/>
      </c>
      <c r="E252" s="4">
        <f>IF(D252&gt;0,C252*1000/D252,0)</f>
        <v/>
      </c>
    </row>
    <row r="253">
      <c r="A253" t="inlineStr">
        <is>
          <t>Retail &amp; Wholesale</t>
        </is>
      </c>
      <c r="B253" t="n">
        <v>2019</v>
      </c>
      <c r="C253" s="5">
        <f>SUMIFS('StatCan GHG'!$D$2:$D$1692,'StatCan GHG'!$E$2:$E$1692,A253,'StatCan GHG'!$A$2:$A$1692,B253)</f>
        <v/>
      </c>
      <c r="D253" s="5">
        <f>SUMIFS('StatCan Output'!$D$2:$D$1504,'StatCan Output'!$E$2:$E$1504,A253,'StatCan Output'!$A$2:$A$1504,B253)</f>
        <v/>
      </c>
      <c r="E253" s="4">
        <f>IF(D253&gt;0,C253*1000/D253,0)</f>
        <v/>
      </c>
    </row>
    <row r="254">
      <c r="A254" t="inlineStr">
        <is>
          <t>Retail &amp; Wholesale</t>
        </is>
      </c>
      <c r="B254" t="n">
        <v>2020</v>
      </c>
      <c r="C254" s="5">
        <f>SUMIFS('StatCan GHG'!$D$2:$D$1692,'StatCan GHG'!$E$2:$E$1692,A254,'StatCan GHG'!$A$2:$A$1692,B254)</f>
        <v/>
      </c>
      <c r="D254" s="5">
        <f>SUMIFS('StatCan Output'!$D$2:$D$1504,'StatCan Output'!$E$2:$E$1504,A254,'StatCan Output'!$A$2:$A$1504,B254)</f>
        <v/>
      </c>
      <c r="E254" s="4">
        <f>IF(D254&gt;0,C254*1000/D254,0)</f>
        <v/>
      </c>
    </row>
    <row r="255">
      <c r="A255" t="inlineStr">
        <is>
          <t>Retail &amp; Wholesale</t>
        </is>
      </c>
      <c r="B255" t="n">
        <v>2021</v>
      </c>
      <c r="C255" s="5">
        <f>SUMIFS('StatCan GHG'!$D$2:$D$1692,'StatCan GHG'!$E$2:$E$1692,A255,'StatCan GHG'!$A$2:$A$1692,B255)</f>
        <v/>
      </c>
      <c r="D255" s="5">
        <f>SUMIFS('StatCan Output'!$D$2:$D$1504,'StatCan Output'!$E$2:$E$1504,A255,'StatCan Output'!$A$2:$A$1504,B255)</f>
        <v/>
      </c>
      <c r="E255" s="4">
        <f>IF(D255&gt;0,C255*1000/D255,0)</f>
        <v/>
      </c>
    </row>
    <row r="256">
      <c r="A256" t="inlineStr">
        <is>
          <t>Retail &amp; Wholesale</t>
        </is>
      </c>
      <c r="B256" t="n">
        <v>2022</v>
      </c>
      <c r="C256" s="5">
        <f>SUMIFS('StatCan GHG'!$D$2:$D$1692,'StatCan GHG'!$E$2:$E$1692,A256,'StatCan GHG'!$A$2:$A$1692,B256)</f>
        <v/>
      </c>
      <c r="D256" s="5">
        <f>SUMIFS('StatCan Output'!$D$2:$D$1504,'StatCan Output'!$E$2:$E$1504,A256,'StatCan Output'!$A$2:$A$1504,B256)</f>
        <v/>
      </c>
      <c r="E256" s="4">
        <f>IF(D256&gt;0,C256*1000/D256,0)</f>
        <v/>
      </c>
    </row>
    <row r="257">
      <c r="A257" t="inlineStr">
        <is>
          <t>Telecom &amp; Media</t>
        </is>
      </c>
      <c r="B257" t="n">
        <v>2009</v>
      </c>
      <c r="C257" s="5">
        <f>SUMIFS('StatCan GHG'!$D$2:$D$1692,'StatCan GHG'!$E$2:$E$1692,A257,'StatCan GHG'!$A$2:$A$1692,B257)</f>
        <v/>
      </c>
      <c r="D257" s="5">
        <f>SUMIFS('StatCan Output'!$D$2:$D$1504,'StatCan Output'!$E$2:$E$1504,A257,'StatCan Output'!$A$2:$A$1504,B257)</f>
        <v/>
      </c>
      <c r="E257" s="4">
        <f>IF(D257&gt;0,C257*1000/D257,0)</f>
        <v/>
      </c>
    </row>
    <row r="258">
      <c r="A258" t="inlineStr">
        <is>
          <t>Telecom &amp; Media</t>
        </is>
      </c>
      <c r="B258" t="n">
        <v>2010</v>
      </c>
      <c r="C258" s="5">
        <f>SUMIFS('StatCan GHG'!$D$2:$D$1692,'StatCan GHG'!$E$2:$E$1692,A258,'StatCan GHG'!$A$2:$A$1692,B258)</f>
        <v/>
      </c>
      <c r="D258" s="5">
        <f>SUMIFS('StatCan Output'!$D$2:$D$1504,'StatCan Output'!$E$2:$E$1504,A258,'StatCan Output'!$A$2:$A$1504,B258)</f>
        <v/>
      </c>
      <c r="E258" s="4">
        <f>IF(D258&gt;0,C258*1000/D258,0)</f>
        <v/>
      </c>
    </row>
    <row r="259">
      <c r="A259" t="inlineStr">
        <is>
          <t>Telecom &amp; Media</t>
        </is>
      </c>
      <c r="B259" t="n">
        <v>2011</v>
      </c>
      <c r="C259" s="5">
        <f>SUMIFS('StatCan GHG'!$D$2:$D$1692,'StatCan GHG'!$E$2:$E$1692,A259,'StatCan GHG'!$A$2:$A$1692,B259)</f>
        <v/>
      </c>
      <c r="D259" s="5">
        <f>SUMIFS('StatCan Output'!$D$2:$D$1504,'StatCan Output'!$E$2:$E$1504,A259,'StatCan Output'!$A$2:$A$1504,B259)</f>
        <v/>
      </c>
      <c r="E259" s="4">
        <f>IF(D259&gt;0,C259*1000/D259,0)</f>
        <v/>
      </c>
    </row>
    <row r="260">
      <c r="A260" t="inlineStr">
        <is>
          <t>Telecom &amp; Media</t>
        </is>
      </c>
      <c r="B260" t="n">
        <v>2012</v>
      </c>
      <c r="C260" s="5">
        <f>SUMIFS('StatCan GHG'!$D$2:$D$1692,'StatCan GHG'!$E$2:$E$1692,A260,'StatCan GHG'!$A$2:$A$1692,B260)</f>
        <v/>
      </c>
      <c r="D260" s="5">
        <f>SUMIFS('StatCan Output'!$D$2:$D$1504,'StatCan Output'!$E$2:$E$1504,A260,'StatCan Output'!$A$2:$A$1504,B260)</f>
        <v/>
      </c>
      <c r="E260" s="4">
        <f>IF(D260&gt;0,C260*1000/D260,0)</f>
        <v/>
      </c>
    </row>
    <row r="261">
      <c r="A261" t="inlineStr">
        <is>
          <t>Telecom &amp; Media</t>
        </is>
      </c>
      <c r="B261" t="n">
        <v>2013</v>
      </c>
      <c r="C261" s="5">
        <f>SUMIFS('StatCan GHG'!$D$2:$D$1692,'StatCan GHG'!$E$2:$E$1692,A261,'StatCan GHG'!$A$2:$A$1692,B261)</f>
        <v/>
      </c>
      <c r="D261" s="5">
        <f>SUMIFS('StatCan Output'!$D$2:$D$1504,'StatCan Output'!$E$2:$E$1504,A261,'StatCan Output'!$A$2:$A$1504,B261)</f>
        <v/>
      </c>
      <c r="E261" s="4">
        <f>IF(D261&gt;0,C261*1000/D261,0)</f>
        <v/>
      </c>
    </row>
    <row r="262">
      <c r="A262" t="inlineStr">
        <is>
          <t>Telecom &amp; Media</t>
        </is>
      </c>
      <c r="B262" t="n">
        <v>2014</v>
      </c>
      <c r="C262" s="5">
        <f>SUMIFS('StatCan GHG'!$D$2:$D$1692,'StatCan GHG'!$E$2:$E$1692,A262,'StatCan GHG'!$A$2:$A$1692,B262)</f>
        <v/>
      </c>
      <c r="D262" s="5">
        <f>SUMIFS('StatCan Output'!$D$2:$D$1504,'StatCan Output'!$E$2:$E$1504,A262,'StatCan Output'!$A$2:$A$1504,B262)</f>
        <v/>
      </c>
      <c r="E262" s="4">
        <f>IF(D262&gt;0,C262*1000/D262,0)</f>
        <v/>
      </c>
    </row>
    <row r="263">
      <c r="A263" t="inlineStr">
        <is>
          <t>Telecom &amp; Media</t>
        </is>
      </c>
      <c r="B263" t="n">
        <v>2015</v>
      </c>
      <c r="C263" s="5">
        <f>SUMIFS('StatCan GHG'!$D$2:$D$1692,'StatCan GHG'!$E$2:$E$1692,A263,'StatCan GHG'!$A$2:$A$1692,B263)</f>
        <v/>
      </c>
      <c r="D263" s="5">
        <f>SUMIFS('StatCan Output'!$D$2:$D$1504,'StatCan Output'!$E$2:$E$1504,A263,'StatCan Output'!$A$2:$A$1504,B263)</f>
        <v/>
      </c>
      <c r="E263" s="4">
        <f>IF(D263&gt;0,C263*1000/D263,0)</f>
        <v/>
      </c>
    </row>
    <row r="264">
      <c r="A264" t="inlineStr">
        <is>
          <t>Telecom &amp; Media</t>
        </is>
      </c>
      <c r="B264" t="n">
        <v>2016</v>
      </c>
      <c r="C264" s="5">
        <f>SUMIFS('StatCan GHG'!$D$2:$D$1692,'StatCan GHG'!$E$2:$E$1692,A264,'StatCan GHG'!$A$2:$A$1692,B264)</f>
        <v/>
      </c>
      <c r="D264" s="5">
        <f>SUMIFS('StatCan Output'!$D$2:$D$1504,'StatCan Output'!$E$2:$E$1504,A264,'StatCan Output'!$A$2:$A$1504,B264)</f>
        <v/>
      </c>
      <c r="E264" s="4">
        <f>IF(D264&gt;0,C264*1000/D264,0)</f>
        <v/>
      </c>
    </row>
    <row r="265">
      <c r="A265" t="inlineStr">
        <is>
          <t>Telecom &amp; Media</t>
        </is>
      </c>
      <c r="B265" t="n">
        <v>2017</v>
      </c>
      <c r="C265" s="5">
        <f>SUMIFS('StatCan GHG'!$D$2:$D$1692,'StatCan GHG'!$E$2:$E$1692,A265,'StatCan GHG'!$A$2:$A$1692,B265)</f>
        <v/>
      </c>
      <c r="D265" s="5">
        <f>SUMIFS('StatCan Output'!$D$2:$D$1504,'StatCan Output'!$E$2:$E$1504,A265,'StatCan Output'!$A$2:$A$1504,B265)</f>
        <v/>
      </c>
      <c r="E265" s="4">
        <f>IF(D265&gt;0,C265*1000/D265,0)</f>
        <v/>
      </c>
    </row>
    <row r="266">
      <c r="A266" t="inlineStr">
        <is>
          <t>Telecom &amp; Media</t>
        </is>
      </c>
      <c r="B266" t="n">
        <v>2018</v>
      </c>
      <c r="C266" s="5">
        <f>SUMIFS('StatCan GHG'!$D$2:$D$1692,'StatCan GHG'!$E$2:$E$1692,A266,'StatCan GHG'!$A$2:$A$1692,B266)</f>
        <v/>
      </c>
      <c r="D266" s="5">
        <f>SUMIFS('StatCan Output'!$D$2:$D$1504,'StatCan Output'!$E$2:$E$1504,A266,'StatCan Output'!$A$2:$A$1504,B266)</f>
        <v/>
      </c>
      <c r="E266" s="4">
        <f>IF(D266&gt;0,C266*1000/D266,0)</f>
        <v/>
      </c>
    </row>
    <row r="267">
      <c r="A267" t="inlineStr">
        <is>
          <t>Telecom &amp; Media</t>
        </is>
      </c>
      <c r="B267" t="n">
        <v>2019</v>
      </c>
      <c r="C267" s="5">
        <f>SUMIFS('StatCan GHG'!$D$2:$D$1692,'StatCan GHG'!$E$2:$E$1692,A267,'StatCan GHG'!$A$2:$A$1692,B267)</f>
        <v/>
      </c>
      <c r="D267" s="5">
        <f>SUMIFS('StatCan Output'!$D$2:$D$1504,'StatCan Output'!$E$2:$E$1504,A267,'StatCan Output'!$A$2:$A$1504,B267)</f>
        <v/>
      </c>
      <c r="E267" s="4">
        <f>IF(D267&gt;0,C267*1000/D267,0)</f>
        <v/>
      </c>
    </row>
    <row r="268">
      <c r="A268" t="inlineStr">
        <is>
          <t>Telecom &amp; Media</t>
        </is>
      </c>
      <c r="B268" t="n">
        <v>2020</v>
      </c>
      <c r="C268" s="5">
        <f>SUMIFS('StatCan GHG'!$D$2:$D$1692,'StatCan GHG'!$E$2:$E$1692,A268,'StatCan GHG'!$A$2:$A$1692,B268)</f>
        <v/>
      </c>
      <c r="D268" s="5">
        <f>SUMIFS('StatCan Output'!$D$2:$D$1504,'StatCan Output'!$E$2:$E$1504,A268,'StatCan Output'!$A$2:$A$1504,B268)</f>
        <v/>
      </c>
      <c r="E268" s="4">
        <f>IF(D268&gt;0,C268*1000/D268,0)</f>
        <v/>
      </c>
    </row>
    <row r="269">
      <c r="A269" t="inlineStr">
        <is>
          <t>Telecom &amp; Media</t>
        </is>
      </c>
      <c r="B269" t="n">
        <v>2021</v>
      </c>
      <c r="C269" s="5">
        <f>SUMIFS('StatCan GHG'!$D$2:$D$1692,'StatCan GHG'!$E$2:$E$1692,A269,'StatCan GHG'!$A$2:$A$1692,B269)</f>
        <v/>
      </c>
      <c r="D269" s="5">
        <f>SUMIFS('StatCan Output'!$D$2:$D$1504,'StatCan Output'!$E$2:$E$1504,A269,'StatCan Output'!$A$2:$A$1504,B269)</f>
        <v/>
      </c>
      <c r="E269" s="4">
        <f>IF(D269&gt;0,C269*1000/D269,0)</f>
        <v/>
      </c>
    </row>
    <row r="270">
      <c r="A270" t="inlineStr">
        <is>
          <t>Telecom &amp; Media</t>
        </is>
      </c>
      <c r="B270" t="n">
        <v>2022</v>
      </c>
      <c r="C270" s="5">
        <f>SUMIFS('StatCan GHG'!$D$2:$D$1692,'StatCan GHG'!$E$2:$E$1692,A270,'StatCan GHG'!$A$2:$A$1692,B270)</f>
        <v/>
      </c>
      <c r="D270" s="5">
        <f>SUMIFS('StatCan Output'!$D$2:$D$1504,'StatCan Output'!$E$2:$E$1504,A270,'StatCan Output'!$A$2:$A$1504,B270)</f>
        <v/>
      </c>
      <c r="E270" s="4">
        <f>IF(D270&gt;0,C270*1000/D270,0)</f>
        <v/>
      </c>
    </row>
    <row r="271">
      <c r="A271" t="inlineStr">
        <is>
          <t>Banks &amp; Insurance</t>
        </is>
      </c>
      <c r="B271" t="n">
        <v>2009</v>
      </c>
      <c r="C271" s="5">
        <f>SUMIFS('StatCan GHG'!$D$2:$D$1692,'StatCan GHG'!$E$2:$E$1692,A271,'StatCan GHG'!$A$2:$A$1692,B271)</f>
        <v/>
      </c>
      <c r="D271" s="5">
        <f>SUMIFS('StatCan Output'!$D$2:$D$1504,'StatCan Output'!$E$2:$E$1504,A271,'StatCan Output'!$A$2:$A$1504,B271)</f>
        <v/>
      </c>
      <c r="E271" s="4">
        <f>IF(D271&gt;0,C271*1000/D271,0)</f>
        <v/>
      </c>
    </row>
    <row r="272">
      <c r="A272" t="inlineStr">
        <is>
          <t>Banks &amp; Insurance</t>
        </is>
      </c>
      <c r="B272" t="n">
        <v>2010</v>
      </c>
      <c r="C272" s="5">
        <f>SUMIFS('StatCan GHG'!$D$2:$D$1692,'StatCan GHG'!$E$2:$E$1692,A272,'StatCan GHG'!$A$2:$A$1692,B272)</f>
        <v/>
      </c>
      <c r="D272" s="5">
        <f>SUMIFS('StatCan Output'!$D$2:$D$1504,'StatCan Output'!$E$2:$E$1504,A272,'StatCan Output'!$A$2:$A$1504,B272)</f>
        <v/>
      </c>
      <c r="E272" s="4">
        <f>IF(D272&gt;0,C272*1000/D272,0)</f>
        <v/>
      </c>
    </row>
    <row r="273">
      <c r="A273" t="inlineStr">
        <is>
          <t>Banks &amp; Insurance</t>
        </is>
      </c>
      <c r="B273" t="n">
        <v>2011</v>
      </c>
      <c r="C273" s="5">
        <f>SUMIFS('StatCan GHG'!$D$2:$D$1692,'StatCan GHG'!$E$2:$E$1692,A273,'StatCan GHG'!$A$2:$A$1692,B273)</f>
        <v/>
      </c>
      <c r="D273" s="5">
        <f>SUMIFS('StatCan Output'!$D$2:$D$1504,'StatCan Output'!$E$2:$E$1504,A273,'StatCan Output'!$A$2:$A$1504,B273)</f>
        <v/>
      </c>
      <c r="E273" s="4">
        <f>IF(D273&gt;0,C273*1000/D273,0)</f>
        <v/>
      </c>
    </row>
    <row r="274">
      <c r="A274" t="inlineStr">
        <is>
          <t>Banks &amp; Insurance</t>
        </is>
      </c>
      <c r="B274" t="n">
        <v>2012</v>
      </c>
      <c r="C274" s="5">
        <f>SUMIFS('StatCan GHG'!$D$2:$D$1692,'StatCan GHG'!$E$2:$E$1692,A274,'StatCan GHG'!$A$2:$A$1692,B274)</f>
        <v/>
      </c>
      <c r="D274" s="5">
        <f>SUMIFS('StatCan Output'!$D$2:$D$1504,'StatCan Output'!$E$2:$E$1504,A274,'StatCan Output'!$A$2:$A$1504,B274)</f>
        <v/>
      </c>
      <c r="E274" s="4">
        <f>IF(D274&gt;0,C274*1000/D274,0)</f>
        <v/>
      </c>
    </row>
    <row r="275">
      <c r="A275" t="inlineStr">
        <is>
          <t>Banks &amp; Insurance</t>
        </is>
      </c>
      <c r="B275" t="n">
        <v>2013</v>
      </c>
      <c r="C275" s="5">
        <f>SUMIFS('StatCan GHG'!$D$2:$D$1692,'StatCan GHG'!$E$2:$E$1692,A275,'StatCan GHG'!$A$2:$A$1692,B275)</f>
        <v/>
      </c>
      <c r="D275" s="5">
        <f>SUMIFS('StatCan Output'!$D$2:$D$1504,'StatCan Output'!$E$2:$E$1504,A275,'StatCan Output'!$A$2:$A$1504,B275)</f>
        <v/>
      </c>
      <c r="E275" s="4">
        <f>IF(D275&gt;0,C275*1000/D275,0)</f>
        <v/>
      </c>
    </row>
    <row r="276">
      <c r="A276" t="inlineStr">
        <is>
          <t>Banks &amp; Insurance</t>
        </is>
      </c>
      <c r="B276" t="n">
        <v>2014</v>
      </c>
      <c r="C276" s="5">
        <f>SUMIFS('StatCan GHG'!$D$2:$D$1692,'StatCan GHG'!$E$2:$E$1692,A276,'StatCan GHG'!$A$2:$A$1692,B276)</f>
        <v/>
      </c>
      <c r="D276" s="5">
        <f>SUMIFS('StatCan Output'!$D$2:$D$1504,'StatCan Output'!$E$2:$E$1504,A276,'StatCan Output'!$A$2:$A$1504,B276)</f>
        <v/>
      </c>
      <c r="E276" s="4">
        <f>IF(D276&gt;0,C276*1000/D276,0)</f>
        <v/>
      </c>
    </row>
    <row r="277">
      <c r="A277" t="inlineStr">
        <is>
          <t>Banks &amp; Insurance</t>
        </is>
      </c>
      <c r="B277" t="n">
        <v>2015</v>
      </c>
      <c r="C277" s="5">
        <f>SUMIFS('StatCan GHG'!$D$2:$D$1692,'StatCan GHG'!$E$2:$E$1692,A277,'StatCan GHG'!$A$2:$A$1692,B277)</f>
        <v/>
      </c>
      <c r="D277" s="5">
        <f>SUMIFS('StatCan Output'!$D$2:$D$1504,'StatCan Output'!$E$2:$E$1504,A277,'StatCan Output'!$A$2:$A$1504,B277)</f>
        <v/>
      </c>
      <c r="E277" s="4">
        <f>IF(D277&gt;0,C277*1000/D277,0)</f>
        <v/>
      </c>
    </row>
    <row r="278">
      <c r="A278" t="inlineStr">
        <is>
          <t>Banks &amp; Insurance</t>
        </is>
      </c>
      <c r="B278" t="n">
        <v>2016</v>
      </c>
      <c r="C278" s="5">
        <f>SUMIFS('StatCan GHG'!$D$2:$D$1692,'StatCan GHG'!$E$2:$E$1692,A278,'StatCan GHG'!$A$2:$A$1692,B278)</f>
        <v/>
      </c>
      <c r="D278" s="5">
        <f>SUMIFS('StatCan Output'!$D$2:$D$1504,'StatCan Output'!$E$2:$E$1504,A278,'StatCan Output'!$A$2:$A$1504,B278)</f>
        <v/>
      </c>
      <c r="E278" s="4">
        <f>IF(D278&gt;0,C278*1000/D278,0)</f>
        <v/>
      </c>
    </row>
    <row r="279">
      <c r="A279" t="inlineStr">
        <is>
          <t>Banks &amp; Insurance</t>
        </is>
      </c>
      <c r="B279" t="n">
        <v>2017</v>
      </c>
      <c r="C279" s="5">
        <f>SUMIFS('StatCan GHG'!$D$2:$D$1692,'StatCan GHG'!$E$2:$E$1692,A279,'StatCan GHG'!$A$2:$A$1692,B279)</f>
        <v/>
      </c>
      <c r="D279" s="5">
        <f>SUMIFS('StatCan Output'!$D$2:$D$1504,'StatCan Output'!$E$2:$E$1504,A279,'StatCan Output'!$A$2:$A$1504,B279)</f>
        <v/>
      </c>
      <c r="E279" s="4">
        <f>IF(D279&gt;0,C279*1000/D279,0)</f>
        <v/>
      </c>
    </row>
    <row r="280">
      <c r="A280" t="inlineStr">
        <is>
          <t>Banks &amp; Insurance</t>
        </is>
      </c>
      <c r="B280" t="n">
        <v>2018</v>
      </c>
      <c r="C280" s="5">
        <f>SUMIFS('StatCan GHG'!$D$2:$D$1692,'StatCan GHG'!$E$2:$E$1692,A280,'StatCan GHG'!$A$2:$A$1692,B280)</f>
        <v/>
      </c>
      <c r="D280" s="5">
        <f>SUMIFS('StatCan Output'!$D$2:$D$1504,'StatCan Output'!$E$2:$E$1504,A280,'StatCan Output'!$A$2:$A$1504,B280)</f>
        <v/>
      </c>
      <c r="E280" s="4">
        <f>IF(D280&gt;0,C280*1000/D280,0)</f>
        <v/>
      </c>
    </row>
    <row r="281">
      <c r="A281" t="inlineStr">
        <is>
          <t>Banks &amp; Insurance</t>
        </is>
      </c>
      <c r="B281" t="n">
        <v>2019</v>
      </c>
      <c r="C281" s="5">
        <f>SUMIFS('StatCan GHG'!$D$2:$D$1692,'StatCan GHG'!$E$2:$E$1692,A281,'StatCan GHG'!$A$2:$A$1692,B281)</f>
        <v/>
      </c>
      <c r="D281" s="5">
        <f>SUMIFS('StatCan Output'!$D$2:$D$1504,'StatCan Output'!$E$2:$E$1504,A281,'StatCan Output'!$A$2:$A$1504,B281)</f>
        <v/>
      </c>
      <c r="E281" s="4">
        <f>IF(D281&gt;0,C281*1000/D281,0)</f>
        <v/>
      </c>
    </row>
    <row r="282">
      <c r="A282" t="inlineStr">
        <is>
          <t>Banks &amp; Insurance</t>
        </is>
      </c>
      <c r="B282" t="n">
        <v>2020</v>
      </c>
      <c r="C282" s="5">
        <f>SUMIFS('StatCan GHG'!$D$2:$D$1692,'StatCan GHG'!$E$2:$E$1692,A282,'StatCan GHG'!$A$2:$A$1692,B282)</f>
        <v/>
      </c>
      <c r="D282" s="5">
        <f>SUMIFS('StatCan Output'!$D$2:$D$1504,'StatCan Output'!$E$2:$E$1504,A282,'StatCan Output'!$A$2:$A$1504,B282)</f>
        <v/>
      </c>
      <c r="E282" s="4">
        <f>IF(D282&gt;0,C282*1000/D282,0)</f>
        <v/>
      </c>
    </row>
    <row r="283">
      <c r="A283" t="inlineStr">
        <is>
          <t>Banks &amp; Insurance</t>
        </is>
      </c>
      <c r="B283" t="n">
        <v>2021</v>
      </c>
      <c r="C283" s="5">
        <f>SUMIFS('StatCan GHG'!$D$2:$D$1692,'StatCan GHG'!$E$2:$E$1692,A283,'StatCan GHG'!$A$2:$A$1692,B283)</f>
        <v/>
      </c>
      <c r="D283" s="5">
        <f>SUMIFS('StatCan Output'!$D$2:$D$1504,'StatCan Output'!$E$2:$E$1504,A283,'StatCan Output'!$A$2:$A$1504,B283)</f>
        <v/>
      </c>
      <c r="E283" s="4">
        <f>IF(D283&gt;0,C283*1000/D283,0)</f>
        <v/>
      </c>
    </row>
    <row r="284">
      <c r="A284" t="inlineStr">
        <is>
          <t>Banks &amp; Insurance</t>
        </is>
      </c>
      <c r="B284" t="n">
        <v>2022</v>
      </c>
      <c r="C284" s="5">
        <f>SUMIFS('StatCan GHG'!$D$2:$D$1692,'StatCan GHG'!$E$2:$E$1692,A284,'StatCan GHG'!$A$2:$A$1692,B284)</f>
        <v/>
      </c>
      <c r="D284" s="5">
        <f>SUMIFS('StatCan Output'!$D$2:$D$1504,'StatCan Output'!$E$2:$E$1504,A284,'StatCan Output'!$A$2:$A$1504,B284)</f>
        <v/>
      </c>
      <c r="E284" s="4">
        <f>IF(D284&gt;0,C284*1000/D284,0)</f>
        <v/>
      </c>
    </row>
    <row r="285">
      <c r="A285" t="inlineStr">
        <is>
          <t>Real Estate</t>
        </is>
      </c>
      <c r="B285" t="n">
        <v>2009</v>
      </c>
      <c r="C285" s="5">
        <f>SUMIFS('StatCan GHG'!$D$2:$D$1692,'StatCan GHG'!$E$2:$E$1692,A285,'StatCan GHG'!$A$2:$A$1692,B285)</f>
        <v/>
      </c>
      <c r="D285" s="5">
        <f>SUMIFS('StatCan Output'!$D$2:$D$1504,'StatCan Output'!$E$2:$E$1504,A285,'StatCan Output'!$A$2:$A$1504,B285)</f>
        <v/>
      </c>
      <c r="E285" s="4">
        <f>IF(D285&gt;0,C285*1000/D285,0)</f>
        <v/>
      </c>
    </row>
    <row r="286">
      <c r="A286" t="inlineStr">
        <is>
          <t>Real Estate</t>
        </is>
      </c>
      <c r="B286" t="n">
        <v>2010</v>
      </c>
      <c r="C286" s="5">
        <f>SUMIFS('StatCan GHG'!$D$2:$D$1692,'StatCan GHG'!$E$2:$E$1692,A286,'StatCan GHG'!$A$2:$A$1692,B286)</f>
        <v/>
      </c>
      <c r="D286" s="5">
        <f>SUMIFS('StatCan Output'!$D$2:$D$1504,'StatCan Output'!$E$2:$E$1504,A286,'StatCan Output'!$A$2:$A$1504,B286)</f>
        <v/>
      </c>
      <c r="E286" s="4">
        <f>IF(D286&gt;0,C286*1000/D286,0)</f>
        <v/>
      </c>
    </row>
    <row r="287">
      <c r="A287" t="inlineStr">
        <is>
          <t>Real Estate</t>
        </is>
      </c>
      <c r="B287" t="n">
        <v>2011</v>
      </c>
      <c r="C287" s="5">
        <f>SUMIFS('StatCan GHG'!$D$2:$D$1692,'StatCan GHG'!$E$2:$E$1692,A287,'StatCan GHG'!$A$2:$A$1692,B287)</f>
        <v/>
      </c>
      <c r="D287" s="5">
        <f>SUMIFS('StatCan Output'!$D$2:$D$1504,'StatCan Output'!$E$2:$E$1504,A287,'StatCan Output'!$A$2:$A$1504,B287)</f>
        <v/>
      </c>
      <c r="E287" s="4">
        <f>IF(D287&gt;0,C287*1000/D287,0)</f>
        <v/>
      </c>
    </row>
    <row r="288">
      <c r="A288" t="inlineStr">
        <is>
          <t>Real Estate</t>
        </is>
      </c>
      <c r="B288" t="n">
        <v>2012</v>
      </c>
      <c r="C288" s="5">
        <f>SUMIFS('StatCan GHG'!$D$2:$D$1692,'StatCan GHG'!$E$2:$E$1692,A288,'StatCan GHG'!$A$2:$A$1692,B288)</f>
        <v/>
      </c>
      <c r="D288" s="5">
        <f>SUMIFS('StatCan Output'!$D$2:$D$1504,'StatCan Output'!$E$2:$E$1504,A288,'StatCan Output'!$A$2:$A$1504,B288)</f>
        <v/>
      </c>
      <c r="E288" s="4">
        <f>IF(D288&gt;0,C288*1000/D288,0)</f>
        <v/>
      </c>
    </row>
    <row r="289">
      <c r="A289" t="inlineStr">
        <is>
          <t>Real Estate</t>
        </is>
      </c>
      <c r="B289" t="n">
        <v>2013</v>
      </c>
      <c r="C289" s="5">
        <f>SUMIFS('StatCan GHG'!$D$2:$D$1692,'StatCan GHG'!$E$2:$E$1692,A289,'StatCan GHG'!$A$2:$A$1692,B289)</f>
        <v/>
      </c>
      <c r="D289" s="5">
        <f>SUMIFS('StatCan Output'!$D$2:$D$1504,'StatCan Output'!$E$2:$E$1504,A289,'StatCan Output'!$A$2:$A$1504,B289)</f>
        <v/>
      </c>
      <c r="E289" s="4">
        <f>IF(D289&gt;0,C289*1000/D289,0)</f>
        <v/>
      </c>
    </row>
    <row r="290">
      <c r="A290" t="inlineStr">
        <is>
          <t>Real Estate</t>
        </is>
      </c>
      <c r="B290" t="n">
        <v>2014</v>
      </c>
      <c r="C290" s="5">
        <f>SUMIFS('StatCan GHG'!$D$2:$D$1692,'StatCan GHG'!$E$2:$E$1692,A290,'StatCan GHG'!$A$2:$A$1692,B290)</f>
        <v/>
      </c>
      <c r="D290" s="5">
        <f>SUMIFS('StatCan Output'!$D$2:$D$1504,'StatCan Output'!$E$2:$E$1504,A290,'StatCan Output'!$A$2:$A$1504,B290)</f>
        <v/>
      </c>
      <c r="E290" s="4">
        <f>IF(D290&gt;0,C290*1000/D290,0)</f>
        <v/>
      </c>
    </row>
    <row r="291">
      <c r="A291" t="inlineStr">
        <is>
          <t>Real Estate</t>
        </is>
      </c>
      <c r="B291" t="n">
        <v>2015</v>
      </c>
      <c r="C291" s="5">
        <f>SUMIFS('StatCan GHG'!$D$2:$D$1692,'StatCan GHG'!$E$2:$E$1692,A291,'StatCan GHG'!$A$2:$A$1692,B291)</f>
        <v/>
      </c>
      <c r="D291" s="5">
        <f>SUMIFS('StatCan Output'!$D$2:$D$1504,'StatCan Output'!$E$2:$E$1504,A291,'StatCan Output'!$A$2:$A$1504,B291)</f>
        <v/>
      </c>
      <c r="E291" s="4">
        <f>IF(D291&gt;0,C291*1000/D291,0)</f>
        <v/>
      </c>
    </row>
    <row r="292">
      <c r="A292" t="inlineStr">
        <is>
          <t>Real Estate</t>
        </is>
      </c>
      <c r="B292" t="n">
        <v>2016</v>
      </c>
      <c r="C292" s="5">
        <f>SUMIFS('StatCan GHG'!$D$2:$D$1692,'StatCan GHG'!$E$2:$E$1692,A292,'StatCan GHG'!$A$2:$A$1692,B292)</f>
        <v/>
      </c>
      <c r="D292" s="5">
        <f>SUMIFS('StatCan Output'!$D$2:$D$1504,'StatCan Output'!$E$2:$E$1504,A292,'StatCan Output'!$A$2:$A$1504,B292)</f>
        <v/>
      </c>
      <c r="E292" s="4">
        <f>IF(D292&gt;0,C292*1000/D292,0)</f>
        <v/>
      </c>
    </row>
    <row r="293">
      <c r="A293" t="inlineStr">
        <is>
          <t>Real Estate</t>
        </is>
      </c>
      <c r="B293" t="n">
        <v>2017</v>
      </c>
      <c r="C293" s="5">
        <f>SUMIFS('StatCan GHG'!$D$2:$D$1692,'StatCan GHG'!$E$2:$E$1692,A293,'StatCan GHG'!$A$2:$A$1692,B293)</f>
        <v/>
      </c>
      <c r="D293" s="5">
        <f>SUMIFS('StatCan Output'!$D$2:$D$1504,'StatCan Output'!$E$2:$E$1504,A293,'StatCan Output'!$A$2:$A$1504,B293)</f>
        <v/>
      </c>
      <c r="E293" s="4">
        <f>IF(D293&gt;0,C293*1000/D293,0)</f>
        <v/>
      </c>
    </row>
    <row r="294">
      <c r="A294" t="inlineStr">
        <is>
          <t>Real Estate</t>
        </is>
      </c>
      <c r="B294" t="n">
        <v>2018</v>
      </c>
      <c r="C294" s="5">
        <f>SUMIFS('StatCan GHG'!$D$2:$D$1692,'StatCan GHG'!$E$2:$E$1692,A294,'StatCan GHG'!$A$2:$A$1692,B294)</f>
        <v/>
      </c>
      <c r="D294" s="5">
        <f>SUMIFS('StatCan Output'!$D$2:$D$1504,'StatCan Output'!$E$2:$E$1504,A294,'StatCan Output'!$A$2:$A$1504,B294)</f>
        <v/>
      </c>
      <c r="E294" s="4">
        <f>IF(D294&gt;0,C294*1000/D294,0)</f>
        <v/>
      </c>
    </row>
    <row r="295">
      <c r="A295" t="inlineStr">
        <is>
          <t>Real Estate</t>
        </is>
      </c>
      <c r="B295" t="n">
        <v>2019</v>
      </c>
      <c r="C295" s="5">
        <f>SUMIFS('StatCan GHG'!$D$2:$D$1692,'StatCan GHG'!$E$2:$E$1692,A295,'StatCan GHG'!$A$2:$A$1692,B295)</f>
        <v/>
      </c>
      <c r="D295" s="5">
        <f>SUMIFS('StatCan Output'!$D$2:$D$1504,'StatCan Output'!$E$2:$E$1504,A295,'StatCan Output'!$A$2:$A$1504,B295)</f>
        <v/>
      </c>
      <c r="E295" s="4">
        <f>IF(D295&gt;0,C295*1000/D295,0)</f>
        <v/>
      </c>
    </row>
    <row r="296">
      <c r="A296" t="inlineStr">
        <is>
          <t>Real Estate</t>
        </is>
      </c>
      <c r="B296" t="n">
        <v>2020</v>
      </c>
      <c r="C296" s="5">
        <f>SUMIFS('StatCan GHG'!$D$2:$D$1692,'StatCan GHG'!$E$2:$E$1692,A296,'StatCan GHG'!$A$2:$A$1692,B296)</f>
        <v/>
      </c>
      <c r="D296" s="5">
        <f>SUMIFS('StatCan Output'!$D$2:$D$1504,'StatCan Output'!$E$2:$E$1504,A296,'StatCan Output'!$A$2:$A$1504,B296)</f>
        <v/>
      </c>
      <c r="E296" s="4">
        <f>IF(D296&gt;0,C296*1000/D296,0)</f>
        <v/>
      </c>
    </row>
    <row r="297">
      <c r="A297" t="inlineStr">
        <is>
          <t>Real Estate</t>
        </is>
      </c>
      <c r="B297" t="n">
        <v>2021</v>
      </c>
      <c r="C297" s="5">
        <f>SUMIFS('StatCan GHG'!$D$2:$D$1692,'StatCan GHG'!$E$2:$E$1692,A297,'StatCan GHG'!$A$2:$A$1692,B297)</f>
        <v/>
      </c>
      <c r="D297" s="5">
        <f>SUMIFS('StatCan Output'!$D$2:$D$1504,'StatCan Output'!$E$2:$E$1504,A297,'StatCan Output'!$A$2:$A$1504,B297)</f>
        <v/>
      </c>
      <c r="E297" s="4">
        <f>IF(D297&gt;0,C297*1000/D297,0)</f>
        <v/>
      </c>
    </row>
    <row r="298">
      <c r="A298" t="inlineStr">
        <is>
          <t>Real Estate</t>
        </is>
      </c>
      <c r="B298" t="n">
        <v>2022</v>
      </c>
      <c r="C298" s="5">
        <f>SUMIFS('StatCan GHG'!$D$2:$D$1692,'StatCan GHG'!$E$2:$E$1692,A298,'StatCan GHG'!$A$2:$A$1692,B298)</f>
        <v/>
      </c>
      <c r="D298" s="5">
        <f>SUMIFS('StatCan Output'!$D$2:$D$1504,'StatCan Output'!$E$2:$E$1504,A298,'StatCan Output'!$A$2:$A$1504,B298)</f>
        <v/>
      </c>
      <c r="E298" s="4">
        <f>IF(D298&gt;0,C298*1000/D298,0)</f>
        <v/>
      </c>
    </row>
    <row r="299">
      <c r="A299" t="inlineStr">
        <is>
          <t>Business &amp; Consumer Services</t>
        </is>
      </c>
      <c r="B299" t="n">
        <v>2009</v>
      </c>
      <c r="C299" s="5">
        <f>SUMIFS('StatCan GHG'!$D$2:$D$1692,'StatCan GHG'!$E$2:$E$1692,A299,'StatCan GHG'!$A$2:$A$1692,B299)</f>
        <v/>
      </c>
      <c r="D299" s="5">
        <f>SUMIFS('StatCan Output'!$D$2:$D$1504,'StatCan Output'!$E$2:$E$1504,A299,'StatCan Output'!$A$2:$A$1504,B299)</f>
        <v/>
      </c>
      <c r="E299" s="4">
        <f>IF(D299&gt;0,C299*1000/D299,0)</f>
        <v/>
      </c>
    </row>
    <row r="300">
      <c r="A300" t="inlineStr">
        <is>
          <t>Business &amp; Consumer Services</t>
        </is>
      </c>
      <c r="B300" t="n">
        <v>2010</v>
      </c>
      <c r="C300" s="5">
        <f>SUMIFS('StatCan GHG'!$D$2:$D$1692,'StatCan GHG'!$E$2:$E$1692,A300,'StatCan GHG'!$A$2:$A$1692,B300)</f>
        <v/>
      </c>
      <c r="D300" s="5">
        <f>SUMIFS('StatCan Output'!$D$2:$D$1504,'StatCan Output'!$E$2:$E$1504,A300,'StatCan Output'!$A$2:$A$1504,B300)</f>
        <v/>
      </c>
      <c r="E300" s="4">
        <f>IF(D300&gt;0,C300*1000/D300,0)</f>
        <v/>
      </c>
    </row>
    <row r="301">
      <c r="A301" t="inlineStr">
        <is>
          <t>Business &amp; Consumer Services</t>
        </is>
      </c>
      <c r="B301" t="n">
        <v>2011</v>
      </c>
      <c r="C301" s="5">
        <f>SUMIFS('StatCan GHG'!$D$2:$D$1692,'StatCan GHG'!$E$2:$E$1692,A301,'StatCan GHG'!$A$2:$A$1692,B301)</f>
        <v/>
      </c>
      <c r="D301" s="5">
        <f>SUMIFS('StatCan Output'!$D$2:$D$1504,'StatCan Output'!$E$2:$E$1504,A301,'StatCan Output'!$A$2:$A$1504,B301)</f>
        <v/>
      </c>
      <c r="E301" s="4">
        <f>IF(D301&gt;0,C301*1000/D301,0)</f>
        <v/>
      </c>
    </row>
    <row r="302">
      <c r="A302" t="inlineStr">
        <is>
          <t>Business &amp; Consumer Services</t>
        </is>
      </c>
      <c r="B302" t="n">
        <v>2012</v>
      </c>
      <c r="C302" s="5">
        <f>SUMIFS('StatCan GHG'!$D$2:$D$1692,'StatCan GHG'!$E$2:$E$1692,A302,'StatCan GHG'!$A$2:$A$1692,B302)</f>
        <v/>
      </c>
      <c r="D302" s="5">
        <f>SUMIFS('StatCan Output'!$D$2:$D$1504,'StatCan Output'!$E$2:$E$1504,A302,'StatCan Output'!$A$2:$A$1504,B302)</f>
        <v/>
      </c>
      <c r="E302" s="4">
        <f>IF(D302&gt;0,C302*1000/D302,0)</f>
        <v/>
      </c>
    </row>
    <row r="303">
      <c r="A303" t="inlineStr">
        <is>
          <t>Business &amp; Consumer Services</t>
        </is>
      </c>
      <c r="B303" t="n">
        <v>2013</v>
      </c>
      <c r="C303" s="5">
        <f>SUMIFS('StatCan GHG'!$D$2:$D$1692,'StatCan GHG'!$E$2:$E$1692,A303,'StatCan GHG'!$A$2:$A$1692,B303)</f>
        <v/>
      </c>
      <c r="D303" s="5">
        <f>SUMIFS('StatCan Output'!$D$2:$D$1504,'StatCan Output'!$E$2:$E$1504,A303,'StatCan Output'!$A$2:$A$1504,B303)</f>
        <v/>
      </c>
      <c r="E303" s="4">
        <f>IF(D303&gt;0,C303*1000/D303,0)</f>
        <v/>
      </c>
    </row>
    <row r="304">
      <c r="A304" t="inlineStr">
        <is>
          <t>Business &amp; Consumer Services</t>
        </is>
      </c>
      <c r="B304" t="n">
        <v>2014</v>
      </c>
      <c r="C304" s="5">
        <f>SUMIFS('StatCan GHG'!$D$2:$D$1692,'StatCan GHG'!$E$2:$E$1692,A304,'StatCan GHG'!$A$2:$A$1692,B304)</f>
        <v/>
      </c>
      <c r="D304" s="5">
        <f>SUMIFS('StatCan Output'!$D$2:$D$1504,'StatCan Output'!$E$2:$E$1504,A304,'StatCan Output'!$A$2:$A$1504,B304)</f>
        <v/>
      </c>
      <c r="E304" s="4">
        <f>IF(D304&gt;0,C304*1000/D304,0)</f>
        <v/>
      </c>
    </row>
    <row r="305">
      <c r="A305" t="inlineStr">
        <is>
          <t>Business &amp; Consumer Services</t>
        </is>
      </c>
      <c r="B305" t="n">
        <v>2015</v>
      </c>
      <c r="C305" s="5">
        <f>SUMIFS('StatCan GHG'!$D$2:$D$1692,'StatCan GHG'!$E$2:$E$1692,A305,'StatCan GHG'!$A$2:$A$1692,B305)</f>
        <v/>
      </c>
      <c r="D305" s="5">
        <f>SUMIFS('StatCan Output'!$D$2:$D$1504,'StatCan Output'!$E$2:$E$1504,A305,'StatCan Output'!$A$2:$A$1504,B305)</f>
        <v/>
      </c>
      <c r="E305" s="4">
        <f>IF(D305&gt;0,C305*1000/D305,0)</f>
        <v/>
      </c>
    </row>
    <row r="306">
      <c r="A306" t="inlineStr">
        <is>
          <t>Business &amp; Consumer Services</t>
        </is>
      </c>
      <c r="B306" t="n">
        <v>2016</v>
      </c>
      <c r="C306" s="5">
        <f>SUMIFS('StatCan GHG'!$D$2:$D$1692,'StatCan GHG'!$E$2:$E$1692,A306,'StatCan GHG'!$A$2:$A$1692,B306)</f>
        <v/>
      </c>
      <c r="D306" s="5">
        <f>SUMIFS('StatCan Output'!$D$2:$D$1504,'StatCan Output'!$E$2:$E$1504,A306,'StatCan Output'!$A$2:$A$1504,B306)</f>
        <v/>
      </c>
      <c r="E306" s="4">
        <f>IF(D306&gt;0,C306*1000/D306,0)</f>
        <v/>
      </c>
    </row>
    <row r="307">
      <c r="A307" t="inlineStr">
        <is>
          <t>Business &amp; Consumer Services</t>
        </is>
      </c>
      <c r="B307" t="n">
        <v>2017</v>
      </c>
      <c r="C307" s="5">
        <f>SUMIFS('StatCan GHG'!$D$2:$D$1692,'StatCan GHG'!$E$2:$E$1692,A307,'StatCan GHG'!$A$2:$A$1692,B307)</f>
        <v/>
      </c>
      <c r="D307" s="5">
        <f>SUMIFS('StatCan Output'!$D$2:$D$1504,'StatCan Output'!$E$2:$E$1504,A307,'StatCan Output'!$A$2:$A$1504,B307)</f>
        <v/>
      </c>
      <c r="E307" s="4">
        <f>IF(D307&gt;0,C307*1000/D307,0)</f>
        <v/>
      </c>
    </row>
    <row r="308">
      <c r="A308" t="inlineStr">
        <is>
          <t>Business &amp; Consumer Services</t>
        </is>
      </c>
      <c r="B308" t="n">
        <v>2018</v>
      </c>
      <c r="C308" s="5">
        <f>SUMIFS('StatCan GHG'!$D$2:$D$1692,'StatCan GHG'!$E$2:$E$1692,A308,'StatCan GHG'!$A$2:$A$1692,B308)</f>
        <v/>
      </c>
      <c r="D308" s="5">
        <f>SUMIFS('StatCan Output'!$D$2:$D$1504,'StatCan Output'!$E$2:$E$1504,A308,'StatCan Output'!$A$2:$A$1504,B308)</f>
        <v/>
      </c>
      <c r="E308" s="4">
        <f>IF(D308&gt;0,C308*1000/D308,0)</f>
        <v/>
      </c>
    </row>
    <row r="309">
      <c r="A309" t="inlineStr">
        <is>
          <t>Business &amp; Consumer Services</t>
        </is>
      </c>
      <c r="B309" t="n">
        <v>2019</v>
      </c>
      <c r="C309" s="5">
        <f>SUMIFS('StatCan GHG'!$D$2:$D$1692,'StatCan GHG'!$E$2:$E$1692,A309,'StatCan GHG'!$A$2:$A$1692,B309)</f>
        <v/>
      </c>
      <c r="D309" s="5">
        <f>SUMIFS('StatCan Output'!$D$2:$D$1504,'StatCan Output'!$E$2:$E$1504,A309,'StatCan Output'!$A$2:$A$1504,B309)</f>
        <v/>
      </c>
      <c r="E309" s="4">
        <f>IF(D309&gt;0,C309*1000/D309,0)</f>
        <v/>
      </c>
    </row>
    <row r="310">
      <c r="A310" t="inlineStr">
        <is>
          <t>Business &amp; Consumer Services</t>
        </is>
      </c>
      <c r="B310" t="n">
        <v>2020</v>
      </c>
      <c r="C310" s="5">
        <f>SUMIFS('StatCan GHG'!$D$2:$D$1692,'StatCan GHG'!$E$2:$E$1692,A310,'StatCan GHG'!$A$2:$A$1692,B310)</f>
        <v/>
      </c>
      <c r="D310" s="5">
        <f>SUMIFS('StatCan Output'!$D$2:$D$1504,'StatCan Output'!$E$2:$E$1504,A310,'StatCan Output'!$A$2:$A$1504,B310)</f>
        <v/>
      </c>
      <c r="E310" s="4">
        <f>IF(D310&gt;0,C310*1000/D310,0)</f>
        <v/>
      </c>
    </row>
    <row r="311">
      <c r="A311" t="inlineStr">
        <is>
          <t>Business &amp; Consumer Services</t>
        </is>
      </c>
      <c r="B311" t="n">
        <v>2021</v>
      </c>
      <c r="C311" s="5">
        <f>SUMIFS('StatCan GHG'!$D$2:$D$1692,'StatCan GHG'!$E$2:$E$1692,A311,'StatCan GHG'!$A$2:$A$1692,B311)</f>
        <v/>
      </c>
      <c r="D311" s="5">
        <f>SUMIFS('StatCan Output'!$D$2:$D$1504,'StatCan Output'!$E$2:$E$1504,A311,'StatCan Output'!$A$2:$A$1504,B311)</f>
        <v/>
      </c>
      <c r="E311" s="4">
        <f>IF(D311&gt;0,C311*1000/D311,0)</f>
        <v/>
      </c>
    </row>
    <row r="312">
      <c r="A312" t="inlineStr">
        <is>
          <t>Business &amp; Consumer Services</t>
        </is>
      </c>
      <c r="B312" t="n">
        <v>2022</v>
      </c>
      <c r="C312" s="5">
        <f>SUMIFS('StatCan GHG'!$D$2:$D$1692,'StatCan GHG'!$E$2:$E$1692,A312,'StatCan GHG'!$A$2:$A$1692,B312)</f>
        <v/>
      </c>
      <c r="D312" s="5">
        <f>SUMIFS('StatCan Output'!$D$2:$D$1504,'StatCan Output'!$E$2:$E$1504,A312,'StatCan Output'!$A$2:$A$1504,B312)</f>
        <v/>
      </c>
      <c r="E312" s="4">
        <f>IF(D312&gt;0,C312*1000/D312,0)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40" customWidth="1" min="3" max="3"/>
  </cols>
  <sheetData>
    <row r="1">
      <c r="A1" s="8" t="inlineStr">
        <is>
          <t>StatCan code</t>
        </is>
      </c>
      <c r="B1" s="8" t="inlineStr">
        <is>
          <t>StatCan industry (IOIC)</t>
        </is>
      </c>
      <c r="C1" s="8" t="inlineStr">
        <is>
          <t>Portfolio sector</t>
        </is>
      </c>
    </row>
    <row r="2">
      <c r="A2" t="inlineStr">
        <is>
          <t>BS111CL</t>
        </is>
      </c>
      <c r="B2" t="inlineStr">
        <is>
          <t>Cannabis production (licensed)</t>
        </is>
      </c>
      <c r="C2" t="inlineStr">
        <is>
          <t>Agriculture &amp; Food</t>
        </is>
      </c>
    </row>
    <row r="3">
      <c r="A3" t="inlineStr">
        <is>
          <t>BS111CU</t>
        </is>
      </c>
      <c r="B3" t="inlineStr">
        <is>
          <t>Cannabis production (unlicensed)</t>
        </is>
      </c>
      <c r="C3" t="inlineStr">
        <is>
          <t>Agriculture &amp; Food</t>
        </is>
      </c>
    </row>
    <row r="4">
      <c r="A4" t="inlineStr">
        <is>
          <t>BS11400</t>
        </is>
      </c>
      <c r="B4" t="inlineStr">
        <is>
          <t>Fishing, hunting and trapping</t>
        </is>
      </c>
      <c r="C4" t="inlineStr">
        <is>
          <t>Agriculture &amp; Food</t>
        </is>
      </c>
    </row>
    <row r="5">
      <c r="A5" t="inlineStr">
        <is>
          <t>BS11500</t>
        </is>
      </c>
      <c r="B5" t="inlineStr">
        <is>
          <t>Support activities for agriculture and forestry</t>
        </is>
      </c>
      <c r="C5" t="inlineStr">
        <is>
          <t>Agriculture &amp; Food</t>
        </is>
      </c>
    </row>
    <row r="6">
      <c r="A6" t="inlineStr">
        <is>
          <t>BS11A00</t>
        </is>
      </c>
      <c r="B6" t="inlineStr">
        <is>
          <t>Crop and animal production</t>
        </is>
      </c>
      <c r="C6" t="inlineStr">
        <is>
          <t>Agriculture &amp; Food</t>
        </is>
      </c>
    </row>
    <row r="7">
      <c r="A7" t="inlineStr">
        <is>
          <t>BS11B00</t>
        </is>
      </c>
      <c r="B7" t="inlineStr">
        <is>
          <t>Crop and animal production (except cannabis)</t>
        </is>
      </c>
      <c r="C7" t="inlineStr">
        <is>
          <t>Agriculture &amp; Food</t>
        </is>
      </c>
    </row>
    <row r="8">
      <c r="A8" t="inlineStr">
        <is>
          <t>BS31110</t>
        </is>
      </c>
      <c r="B8" t="inlineStr">
        <is>
          <t>Animal food manufacturing</t>
        </is>
      </c>
      <c r="C8" t="inlineStr">
        <is>
          <t>Agriculture &amp; Food</t>
        </is>
      </c>
    </row>
    <row r="9">
      <c r="A9" t="inlineStr">
        <is>
          <t>BS31130</t>
        </is>
      </c>
      <c r="B9" t="inlineStr">
        <is>
          <t>Sugar and confectionery product manufacturing</t>
        </is>
      </c>
      <c r="C9" t="inlineStr">
        <is>
          <t>Agriculture &amp; Food</t>
        </is>
      </c>
    </row>
    <row r="10">
      <c r="A10" t="inlineStr">
        <is>
          <t>BS31140</t>
        </is>
      </c>
      <c r="B10" t="inlineStr">
        <is>
          <t>Fruit and vegetable preserving and specialty food manufacturing</t>
        </is>
      </c>
      <c r="C10" t="inlineStr">
        <is>
          <t>Agriculture &amp; Food</t>
        </is>
      </c>
    </row>
    <row r="11">
      <c r="A11" t="inlineStr">
        <is>
          <t>BS31150</t>
        </is>
      </c>
      <c r="B11" t="inlineStr">
        <is>
          <t>Dairy product manufacturing</t>
        </is>
      </c>
      <c r="C11" t="inlineStr">
        <is>
          <t>Agriculture &amp; Food</t>
        </is>
      </c>
    </row>
    <row r="12">
      <c r="A12" t="inlineStr">
        <is>
          <t>BS31160</t>
        </is>
      </c>
      <c r="B12" t="inlineStr">
        <is>
          <t>Meat product manufacturing</t>
        </is>
      </c>
      <c r="C12" t="inlineStr">
        <is>
          <t>Agriculture &amp; Food</t>
        </is>
      </c>
    </row>
    <row r="13">
      <c r="A13" t="inlineStr">
        <is>
          <t>BS31170</t>
        </is>
      </c>
      <c r="B13" t="inlineStr">
        <is>
          <t>Seafood product preparation and packaging</t>
        </is>
      </c>
      <c r="C13" t="inlineStr">
        <is>
          <t>Agriculture &amp; Food</t>
        </is>
      </c>
    </row>
    <row r="14">
      <c r="A14" t="inlineStr">
        <is>
          <t>BS311A0</t>
        </is>
      </c>
      <c r="B14" t="inlineStr">
        <is>
          <t>Miscellaneous food manufacturing</t>
        </is>
      </c>
      <c r="C14" t="inlineStr">
        <is>
          <t>Agriculture &amp; Food</t>
        </is>
      </c>
    </row>
    <row r="15">
      <c r="A15" t="inlineStr">
        <is>
          <t>BS31211</t>
        </is>
      </c>
      <c r="B15" t="inlineStr">
        <is>
          <t>Soft drink and ice manufacturing</t>
        </is>
      </c>
      <c r="C15" t="inlineStr">
        <is>
          <t>Agriculture &amp; Food</t>
        </is>
      </c>
    </row>
    <row r="16">
      <c r="A16" t="inlineStr">
        <is>
          <t>BS31212</t>
        </is>
      </c>
      <c r="B16" t="inlineStr">
        <is>
          <t>Breweries</t>
        </is>
      </c>
      <c r="C16" t="inlineStr">
        <is>
          <t>Agriculture &amp; Food</t>
        </is>
      </c>
    </row>
    <row r="17">
      <c r="A17" t="inlineStr">
        <is>
          <t>BS3121A</t>
        </is>
      </c>
      <c r="B17" t="inlineStr">
        <is>
          <t>Wineries and distilleries</t>
        </is>
      </c>
      <c r="C17" t="inlineStr">
        <is>
          <t>Agriculture &amp; Food</t>
        </is>
      </c>
    </row>
    <row r="18">
      <c r="A18" t="inlineStr">
        <is>
          <t>BS31220</t>
        </is>
      </c>
      <c r="B18" t="inlineStr">
        <is>
          <t>Tobacco manufacturing</t>
        </is>
      </c>
      <c r="C18" t="inlineStr">
        <is>
          <t>Agriculture &amp; Food</t>
        </is>
      </c>
    </row>
    <row r="19">
      <c r="A19" t="inlineStr">
        <is>
          <t>BS312A0</t>
        </is>
      </c>
      <c r="B19" t="inlineStr">
        <is>
          <t>Tobacco and cannabis product manufacturing</t>
        </is>
      </c>
      <c r="C19" t="inlineStr">
        <is>
          <t>Agriculture &amp; Food</t>
        </is>
      </c>
    </row>
    <row r="20">
      <c r="A20" t="inlineStr">
        <is>
          <t>BS48100</t>
        </is>
      </c>
      <c r="B20" t="inlineStr">
        <is>
          <t>Air transportation</t>
        </is>
      </c>
      <c r="C20" t="inlineStr">
        <is>
          <t>Airlines</t>
        </is>
      </c>
    </row>
    <row r="21">
      <c r="A21" t="inlineStr">
        <is>
          <t>BS33610</t>
        </is>
      </c>
      <c r="B21" t="inlineStr">
        <is>
          <t>Motor vehicle manufacturing</t>
        </is>
      </c>
      <c r="C21" t="inlineStr">
        <is>
          <t>Autos &amp; Transport Equipment</t>
        </is>
      </c>
    </row>
    <row r="22">
      <c r="A22" t="inlineStr">
        <is>
          <t>BS33620</t>
        </is>
      </c>
      <c r="B22" t="inlineStr">
        <is>
          <t>Motor vehicle body and trailer manufacturing</t>
        </is>
      </c>
      <c r="C22" t="inlineStr">
        <is>
          <t>Autos &amp; Transport Equipment</t>
        </is>
      </c>
    </row>
    <row r="23">
      <c r="A23" t="inlineStr">
        <is>
          <t>BS33630</t>
        </is>
      </c>
      <c r="B23" t="inlineStr">
        <is>
          <t>Motor vehicle parts manufacturing</t>
        </is>
      </c>
      <c r="C23" t="inlineStr">
        <is>
          <t>Autos &amp; Transport Equipment</t>
        </is>
      </c>
    </row>
    <row r="24">
      <c r="A24" t="inlineStr">
        <is>
          <t>BS33640</t>
        </is>
      </c>
      <c r="B24" t="inlineStr">
        <is>
          <t>Aerospace product and parts manufacturing</t>
        </is>
      </c>
      <c r="C24" t="inlineStr">
        <is>
          <t>Autos &amp; Transport Equipment</t>
        </is>
      </c>
    </row>
    <row r="25">
      <c r="A25" t="inlineStr">
        <is>
          <t>BS33650</t>
        </is>
      </c>
      <c r="B25" t="inlineStr">
        <is>
          <t>Railroad rolling stock manufacturing</t>
        </is>
      </c>
      <c r="C25" t="inlineStr">
        <is>
          <t>Autos &amp; Transport Equipment</t>
        </is>
      </c>
    </row>
    <row r="26">
      <c r="A26" t="inlineStr">
        <is>
          <t>BS33660</t>
        </is>
      </c>
      <c r="B26" t="inlineStr">
        <is>
          <t>Ship and boat building</t>
        </is>
      </c>
      <c r="C26" t="inlineStr">
        <is>
          <t>Autos &amp; Transport Equipment</t>
        </is>
      </c>
    </row>
    <row r="27">
      <c r="A27" t="inlineStr">
        <is>
          <t>BS33690</t>
        </is>
      </c>
      <c r="B27" t="inlineStr">
        <is>
          <t>Other transportation equipment manufacturing</t>
        </is>
      </c>
      <c r="C27" t="inlineStr">
        <is>
          <t>Autos &amp; Transport Equipment</t>
        </is>
      </c>
    </row>
    <row r="28">
      <c r="A28" t="inlineStr">
        <is>
          <t>BS52410</t>
        </is>
      </c>
      <c r="B28" t="inlineStr">
        <is>
          <t>Insurance carriers</t>
        </is>
      </c>
      <c r="C28" t="inlineStr">
        <is>
          <t>Banks &amp; Insurance</t>
        </is>
      </c>
    </row>
    <row r="29">
      <c r="A29" t="inlineStr">
        <is>
          <t>BS52B00</t>
        </is>
      </c>
      <c r="B29" t="inlineStr">
        <is>
          <t>Depository credit intermediation and monetary authorities</t>
        </is>
      </c>
      <c r="C29" t="inlineStr">
        <is>
          <t>Banks &amp; Insurance</t>
        </is>
      </c>
    </row>
    <row r="30">
      <c r="A30" t="inlineStr">
        <is>
          <t>BS5A000</t>
        </is>
      </c>
      <c r="B30" t="inlineStr">
        <is>
          <t>Other finance, insurance and real estate services and management of companies and enterprises</t>
        </is>
      </c>
      <c r="C30" t="inlineStr">
        <is>
          <t>Banks &amp; Insurance</t>
        </is>
      </c>
    </row>
    <row r="31">
      <c r="A31" t="inlineStr">
        <is>
          <t>BS54180</t>
        </is>
      </c>
      <c r="B31" t="inlineStr">
        <is>
          <t>Advertising, public relations and related services</t>
        </is>
      </c>
      <c r="C31" t="inlineStr">
        <is>
          <t>Business &amp; Consumer Services</t>
        </is>
      </c>
    </row>
    <row r="32">
      <c r="A32" t="inlineStr">
        <is>
          <t>BS541C0</t>
        </is>
      </c>
      <c r="B32" t="inlineStr">
        <is>
          <t>Legal, accounting and architectural, engineering and related services</t>
        </is>
      </c>
      <c r="C32" t="inlineStr">
        <is>
          <t>Business &amp; Consumer Services</t>
        </is>
      </c>
    </row>
    <row r="33">
      <c r="A33" t="inlineStr">
        <is>
          <t>BS541D0</t>
        </is>
      </c>
      <c r="B33" t="inlineStr">
        <is>
          <t>Computer systems design and other professional, scientific and technical services</t>
        </is>
      </c>
      <c r="C33" t="inlineStr">
        <is>
          <t>Business &amp; Consumer Services</t>
        </is>
      </c>
    </row>
    <row r="34">
      <c r="A34" t="inlineStr">
        <is>
          <t>BS56100</t>
        </is>
      </c>
      <c r="B34" t="inlineStr">
        <is>
          <t>Administrative and support services</t>
        </is>
      </c>
      <c r="C34" t="inlineStr">
        <is>
          <t>Business &amp; Consumer Services</t>
        </is>
      </c>
    </row>
    <row r="35">
      <c r="A35" t="inlineStr">
        <is>
          <t>BS56200</t>
        </is>
      </c>
      <c r="B35" t="inlineStr">
        <is>
          <t>Waste management and remediation services</t>
        </is>
      </c>
      <c r="C35" t="inlineStr">
        <is>
          <t>Business &amp; Consumer Services</t>
        </is>
      </c>
    </row>
    <row r="36">
      <c r="A36" t="inlineStr">
        <is>
          <t>BS61000</t>
        </is>
      </c>
      <c r="B36" t="inlineStr">
        <is>
          <t>Educational services</t>
        </is>
      </c>
      <c r="C36" t="inlineStr">
        <is>
          <t>Business &amp; Consumer Services</t>
        </is>
      </c>
    </row>
    <row r="37">
      <c r="A37" t="inlineStr">
        <is>
          <t>BS62000</t>
        </is>
      </c>
      <c r="B37" t="inlineStr">
        <is>
          <t>Health care and social assistance</t>
        </is>
      </c>
      <c r="C37" t="inlineStr">
        <is>
          <t>Business &amp; Consumer Services</t>
        </is>
      </c>
    </row>
    <row r="38">
      <c r="A38" t="inlineStr">
        <is>
          <t>BS71000</t>
        </is>
      </c>
      <c r="B38" t="inlineStr">
        <is>
          <t>Arts, entertainment and recreation</t>
        </is>
      </c>
      <c r="C38" t="inlineStr">
        <is>
          <t>Business &amp; Consumer Services</t>
        </is>
      </c>
    </row>
    <row r="39">
      <c r="A39" t="inlineStr">
        <is>
          <t>BS72000</t>
        </is>
      </c>
      <c r="B39" t="inlineStr">
        <is>
          <t>Accommodation and food services</t>
        </is>
      </c>
      <c r="C39" t="inlineStr">
        <is>
          <t>Business &amp; Consumer Services</t>
        </is>
      </c>
    </row>
    <row r="40">
      <c r="A40" t="inlineStr">
        <is>
          <t>BS81100</t>
        </is>
      </c>
      <c r="B40" t="inlineStr">
        <is>
          <t>Repair and maintenance</t>
        </is>
      </c>
      <c r="C40" t="inlineStr">
        <is>
          <t>Business &amp; Consumer Services</t>
        </is>
      </c>
    </row>
    <row r="41">
      <c r="A41" t="inlineStr">
        <is>
          <t>BS81300</t>
        </is>
      </c>
      <c r="B41" t="inlineStr">
        <is>
          <t>Professional and similar organisations</t>
        </is>
      </c>
      <c r="C41" t="inlineStr">
        <is>
          <t>Business &amp; Consumer Services</t>
        </is>
      </c>
    </row>
    <row r="42">
      <c r="A42" t="inlineStr">
        <is>
          <t>BS81A00</t>
        </is>
      </c>
      <c r="B42" t="inlineStr">
        <is>
          <t>Personal services and private households</t>
        </is>
      </c>
      <c r="C42" t="inlineStr">
        <is>
          <t>Business &amp; Consumer Services</t>
        </is>
      </c>
    </row>
    <row r="43">
      <c r="A43" t="inlineStr">
        <is>
          <t>BS32730</t>
        </is>
      </c>
      <c r="B43" t="inlineStr">
        <is>
          <t>Cement and concrete product manufacturing</t>
        </is>
      </c>
      <c r="C43" t="inlineStr">
        <is>
          <t>Cement &amp; Building Materials</t>
        </is>
      </c>
    </row>
    <row r="44">
      <c r="A44" t="inlineStr">
        <is>
          <t>BS327A0</t>
        </is>
      </c>
      <c r="B44" t="inlineStr">
        <is>
          <t>Non-metallic mineral product manufacturing (except cement and concrete products)</t>
        </is>
      </c>
      <c r="C44" t="inlineStr">
        <is>
          <t>Cement &amp; Building Materials</t>
        </is>
      </c>
    </row>
    <row r="45">
      <c r="A45" t="inlineStr">
        <is>
          <t>BS32510</t>
        </is>
      </c>
      <c r="B45" t="inlineStr">
        <is>
          <t>Basic chemical manufacturing</t>
        </is>
      </c>
      <c r="C45" t="inlineStr">
        <is>
          <t>Chemicals &amp; Plastics</t>
        </is>
      </c>
    </row>
    <row r="46">
      <c r="A46" t="inlineStr">
        <is>
          <t>BS32530</t>
        </is>
      </c>
      <c r="B46" t="inlineStr">
        <is>
          <t>Pesticide, fertilizer and other agricultural chemical manufacturing</t>
        </is>
      </c>
      <c r="C46" t="inlineStr">
        <is>
          <t>Chemicals &amp; Plastics</t>
        </is>
      </c>
    </row>
    <row r="47">
      <c r="A47" t="inlineStr">
        <is>
          <t>BS32540</t>
        </is>
      </c>
      <c r="B47" t="inlineStr">
        <is>
          <t>Pharmaceutical and medicine manufacturing</t>
        </is>
      </c>
      <c r="C47" t="inlineStr">
        <is>
          <t>Chemicals &amp; Plastics</t>
        </is>
      </c>
    </row>
    <row r="48">
      <c r="A48" t="inlineStr">
        <is>
          <t>BS325C0</t>
        </is>
      </c>
      <c r="B48" t="inlineStr">
        <is>
          <t>Miscellaneous chemical product manufacturing</t>
        </is>
      </c>
      <c r="C48" t="inlineStr">
        <is>
          <t>Chemicals &amp; Plastics</t>
        </is>
      </c>
    </row>
    <row r="49">
      <c r="A49" t="inlineStr">
        <is>
          <t>BS32610</t>
        </is>
      </c>
      <c r="B49" t="inlineStr">
        <is>
          <t>Plastic product manufacturing</t>
        </is>
      </c>
      <c r="C49" t="inlineStr">
        <is>
          <t>Chemicals &amp; Plastics</t>
        </is>
      </c>
    </row>
    <row r="50">
      <c r="A50" t="inlineStr">
        <is>
          <t>BS32620</t>
        </is>
      </c>
      <c r="B50" t="inlineStr">
        <is>
          <t>Rubber product manufacturing</t>
        </is>
      </c>
      <c r="C50" t="inlineStr">
        <is>
          <t>Chemicals &amp; Plastics</t>
        </is>
      </c>
    </row>
    <row r="51">
      <c r="A51" t="inlineStr">
        <is>
          <t>BS23A00</t>
        </is>
      </c>
      <c r="B51" t="inlineStr">
        <is>
          <t>Residential building construction</t>
        </is>
      </c>
      <c r="C51" t="inlineStr">
        <is>
          <t>Construction</t>
        </is>
      </c>
    </row>
    <row r="52">
      <c r="A52" t="inlineStr">
        <is>
          <t>BS23B00</t>
        </is>
      </c>
      <c r="B52" t="inlineStr">
        <is>
          <t>Non-residential building construction</t>
        </is>
      </c>
      <c r="C52" t="inlineStr">
        <is>
          <t>Construction</t>
        </is>
      </c>
    </row>
    <row r="53">
      <c r="A53" t="inlineStr">
        <is>
          <t>BS23C10</t>
        </is>
      </c>
      <c r="B53" t="inlineStr">
        <is>
          <t>Transportation engineering construction</t>
        </is>
      </c>
      <c r="C53" t="inlineStr">
        <is>
          <t>Construction</t>
        </is>
      </c>
    </row>
    <row r="54">
      <c r="A54" t="inlineStr">
        <is>
          <t>BS23C20</t>
        </is>
      </c>
      <c r="B54" t="inlineStr">
        <is>
          <t>Oil and gas engineering construction</t>
        </is>
      </c>
      <c r="C54" t="inlineStr">
        <is>
          <t>Construction</t>
        </is>
      </c>
    </row>
    <row r="55">
      <c r="A55" t="inlineStr">
        <is>
          <t>BS23C30</t>
        </is>
      </c>
      <c r="B55" t="inlineStr">
        <is>
          <t>Electric power engineering construction</t>
        </is>
      </c>
      <c r="C55" t="inlineStr">
        <is>
          <t>Construction</t>
        </is>
      </c>
    </row>
    <row r="56">
      <c r="A56" t="inlineStr">
        <is>
          <t>BS23C40</t>
        </is>
      </c>
      <c r="B56" t="inlineStr">
        <is>
          <t>Communication engineering construction</t>
        </is>
      </c>
      <c r="C56" t="inlineStr">
        <is>
          <t>Construction</t>
        </is>
      </c>
    </row>
    <row r="57">
      <c r="A57" t="inlineStr">
        <is>
          <t>BS23C50</t>
        </is>
      </c>
      <c r="B57" t="inlineStr">
        <is>
          <t>Other engineering construction</t>
        </is>
      </c>
      <c r="C57" t="inlineStr">
        <is>
          <t>Construction</t>
        </is>
      </c>
    </row>
    <row r="58">
      <c r="A58" t="inlineStr">
        <is>
          <t>BS23D00</t>
        </is>
      </c>
      <c r="B58" t="inlineStr">
        <is>
          <t>Repair construction</t>
        </is>
      </c>
      <c r="C58" t="inlineStr">
        <is>
          <t>Construction</t>
        </is>
      </c>
    </row>
    <row r="59">
      <c r="A59" t="inlineStr">
        <is>
          <t>BS23E00</t>
        </is>
      </c>
      <c r="B59" t="inlineStr">
        <is>
          <t>Other activities of the construction industry</t>
        </is>
      </c>
      <c r="C59" t="inlineStr">
        <is>
          <t>Construction</t>
        </is>
      </c>
    </row>
    <row r="60">
      <c r="A60" t="inlineStr">
        <is>
          <t>BS22110</t>
        </is>
      </c>
      <c r="B60" t="inlineStr">
        <is>
          <t>Electric power generation, transmission and distribution</t>
        </is>
      </c>
      <c r="C60" t="inlineStr">
        <is>
          <t>Electric Utilities</t>
        </is>
      </c>
    </row>
    <row r="61">
      <c r="A61" t="inlineStr">
        <is>
          <t>BS11300</t>
        </is>
      </c>
      <c r="B61" t="inlineStr">
        <is>
          <t>Forestry and logging</t>
        </is>
      </c>
      <c r="C61" t="inlineStr">
        <is>
          <t>Forest &amp; Paper Products</t>
        </is>
      </c>
    </row>
    <row r="62">
      <c r="A62" t="inlineStr">
        <is>
          <t>BS32100</t>
        </is>
      </c>
      <c r="B62" t="inlineStr">
        <is>
          <t>Wood product manufacturing</t>
        </is>
      </c>
      <c r="C62" t="inlineStr">
        <is>
          <t>Forest &amp; Paper Products</t>
        </is>
      </c>
    </row>
    <row r="63">
      <c r="A63" t="inlineStr">
        <is>
          <t>BS32210</t>
        </is>
      </c>
      <c r="B63" t="inlineStr">
        <is>
          <t>Pulp, paper and paperboard mills</t>
        </is>
      </c>
      <c r="C63" t="inlineStr">
        <is>
          <t>Forest &amp; Paper Products</t>
        </is>
      </c>
    </row>
    <row r="64">
      <c r="A64" t="inlineStr">
        <is>
          <t>BS32220</t>
        </is>
      </c>
      <c r="B64" t="inlineStr">
        <is>
          <t>Converted paper product manufacturing</t>
        </is>
      </c>
      <c r="C64" t="inlineStr">
        <is>
          <t>Forest &amp; Paper Products</t>
        </is>
      </c>
    </row>
    <row r="65">
      <c r="A65" t="inlineStr">
        <is>
          <t>BS32300</t>
        </is>
      </c>
      <c r="B65" t="inlineStr">
        <is>
          <t>Printing and related support activities</t>
        </is>
      </c>
      <c r="C65" t="inlineStr">
        <is>
          <t>Forest &amp; Paper Products</t>
        </is>
      </c>
    </row>
    <row r="66">
      <c r="A66" t="inlineStr">
        <is>
          <t>BS221A0</t>
        </is>
      </c>
      <c r="B66" t="inlineStr">
        <is>
          <t>Natural gas distribution, water, sewage and other systems</t>
        </is>
      </c>
      <c r="C66" t="inlineStr">
        <is>
          <t>Gas Distribution &amp; Water</t>
        </is>
      </c>
    </row>
    <row r="67">
      <c r="A67" t="inlineStr">
        <is>
          <t>BS31A00</t>
        </is>
      </c>
      <c r="B67" t="inlineStr">
        <is>
          <t>Textile and textile product mills</t>
        </is>
      </c>
      <c r="C67" t="inlineStr">
        <is>
          <t>Industrial &amp; Tech Manufacturing</t>
        </is>
      </c>
    </row>
    <row r="68">
      <c r="A68" t="inlineStr">
        <is>
          <t>BS31B00</t>
        </is>
      </c>
      <c r="B68" t="inlineStr">
        <is>
          <t>Clothing and leather and allied product manufacturing</t>
        </is>
      </c>
      <c r="C68" t="inlineStr">
        <is>
          <t>Industrial &amp; Tech Manufacturing</t>
        </is>
      </c>
    </row>
    <row r="69">
      <c r="A69" t="inlineStr">
        <is>
          <t>BS33300</t>
        </is>
      </c>
      <c r="B69" t="inlineStr">
        <is>
          <t>Machinery manufacturing</t>
        </is>
      </c>
      <c r="C69" t="inlineStr">
        <is>
          <t>Industrial &amp; Tech Manufacturing</t>
        </is>
      </c>
    </row>
    <row r="70">
      <c r="A70" t="inlineStr">
        <is>
          <t>BS33400</t>
        </is>
      </c>
      <c r="B70" t="inlineStr">
        <is>
          <t>Computer and electronic product manufacturing</t>
        </is>
      </c>
      <c r="C70" t="inlineStr">
        <is>
          <t>Industrial &amp; Tech Manufacturing</t>
        </is>
      </c>
    </row>
    <row r="71">
      <c r="A71" t="inlineStr">
        <is>
          <t>BS33410</t>
        </is>
      </c>
      <c r="B71" t="inlineStr">
        <is>
          <t>Computer and peripheral equipment manufacturing</t>
        </is>
      </c>
      <c r="C71" t="inlineStr">
        <is>
          <t>Industrial &amp; Tech Manufacturing</t>
        </is>
      </c>
    </row>
    <row r="72">
      <c r="A72" t="inlineStr">
        <is>
          <t>BS334B0</t>
        </is>
      </c>
      <c r="B72" t="inlineStr">
        <is>
          <t>Electronic product manufacturing</t>
        </is>
      </c>
      <c r="C72" t="inlineStr">
        <is>
          <t>Industrial &amp; Tech Manufacturing</t>
        </is>
      </c>
    </row>
    <row r="73">
      <c r="A73" t="inlineStr">
        <is>
          <t>BS33500</t>
        </is>
      </c>
      <c r="B73" t="inlineStr">
        <is>
          <t>Electrical equipment, appliance and component manufacturing</t>
        </is>
      </c>
      <c r="C73" t="inlineStr">
        <is>
          <t>Industrial &amp; Tech Manufacturing</t>
        </is>
      </c>
    </row>
    <row r="74">
      <c r="A74" t="inlineStr">
        <is>
          <t>BS33520</t>
        </is>
      </c>
      <c r="B74" t="inlineStr">
        <is>
          <t>Household appliance manufacturing</t>
        </is>
      </c>
      <c r="C74" t="inlineStr">
        <is>
          <t>Industrial &amp; Tech Manufacturing</t>
        </is>
      </c>
    </row>
    <row r="75">
      <c r="A75" t="inlineStr">
        <is>
          <t>BS335A0</t>
        </is>
      </c>
      <c r="B75" t="inlineStr">
        <is>
          <t>Electrical  equipment and component manufacturing</t>
        </is>
      </c>
      <c r="C75" t="inlineStr">
        <is>
          <t>Industrial &amp; Tech Manufacturing</t>
        </is>
      </c>
    </row>
    <row r="76">
      <c r="A76" t="inlineStr">
        <is>
          <t>BS33700</t>
        </is>
      </c>
      <c r="B76" t="inlineStr">
        <is>
          <t>Furniture and related product manufacturing</t>
        </is>
      </c>
      <c r="C76" t="inlineStr">
        <is>
          <t>Industrial &amp; Tech Manufacturing</t>
        </is>
      </c>
    </row>
    <row r="77">
      <c r="A77" t="inlineStr">
        <is>
          <t>BS33900</t>
        </is>
      </c>
      <c r="B77" t="inlineStr">
        <is>
          <t>Miscellaneous manufacturing</t>
        </is>
      </c>
      <c r="C77" t="inlineStr">
        <is>
          <t>Industrial &amp; Tech Manufacturing</t>
        </is>
      </c>
    </row>
    <row r="78">
      <c r="A78" t="inlineStr">
        <is>
          <t>BS33100</t>
        </is>
      </c>
      <c r="B78" t="inlineStr">
        <is>
          <t>Primary metal manufacturing</t>
        </is>
      </c>
      <c r="C78" t="inlineStr">
        <is>
          <t>Metals &amp; Steel</t>
        </is>
      </c>
    </row>
    <row r="79">
      <c r="A79" t="inlineStr">
        <is>
          <t>BS33200</t>
        </is>
      </c>
      <c r="B79" t="inlineStr">
        <is>
          <t>Fabricated metal product manufacturing</t>
        </is>
      </c>
      <c r="C79" t="inlineStr">
        <is>
          <t>Metals &amp; Steel</t>
        </is>
      </c>
    </row>
    <row r="80">
      <c r="A80" t="inlineStr">
        <is>
          <t>BS21210</t>
        </is>
      </c>
      <c r="B80" t="inlineStr">
        <is>
          <t>Coal mining</t>
        </is>
      </c>
      <c r="C80" t="inlineStr">
        <is>
          <t>Mining &amp; Quarrying</t>
        </is>
      </c>
    </row>
    <row r="81">
      <c r="A81" t="inlineStr">
        <is>
          <t>BS21220</t>
        </is>
      </c>
      <c r="B81" t="inlineStr">
        <is>
          <t>Metal ore mining</t>
        </is>
      </c>
      <c r="C81" t="inlineStr">
        <is>
          <t>Mining &amp; Quarrying</t>
        </is>
      </c>
    </row>
    <row r="82">
      <c r="A82" t="inlineStr">
        <is>
          <t>BS21230</t>
        </is>
      </c>
      <c r="B82" t="inlineStr">
        <is>
          <t>Non-metallic mineral mining and quarrying</t>
        </is>
      </c>
      <c r="C82" t="inlineStr">
        <is>
          <t>Mining &amp; Quarrying</t>
        </is>
      </c>
    </row>
    <row r="83">
      <c r="A83" t="inlineStr">
        <is>
          <t>BS21100</t>
        </is>
      </c>
      <c r="B83" t="inlineStr">
        <is>
          <t>Oil and gas extraction</t>
        </is>
      </c>
      <c r="C83" t="inlineStr">
        <is>
          <t>Oil &amp; Gas Producers</t>
        </is>
      </c>
    </row>
    <row r="84">
      <c r="A84" t="inlineStr">
        <is>
          <t>BS21300</t>
        </is>
      </c>
      <c r="B84" t="inlineStr">
        <is>
          <t>Support activities for mining and oil and gas extraction</t>
        </is>
      </c>
      <c r="C84" t="inlineStr">
        <is>
          <t>Oil &amp; Gas Producers</t>
        </is>
      </c>
    </row>
    <row r="85">
      <c r="A85" t="inlineStr">
        <is>
          <t>FC11000</t>
        </is>
      </c>
      <c r="B85" t="inlineStr">
        <is>
          <t>Repair and maintenance</t>
        </is>
      </c>
      <c r="C85" t="inlineStr">
        <is>
          <t>Out of scope: fictive industries</t>
        </is>
      </c>
    </row>
    <row r="86">
      <c r="A86" t="inlineStr">
        <is>
          <t>FC12000</t>
        </is>
      </c>
      <c r="B86" t="inlineStr">
        <is>
          <t>Operating supplies</t>
        </is>
      </c>
      <c r="C86" t="inlineStr">
        <is>
          <t>Out of scope: fictive industries</t>
        </is>
      </c>
    </row>
    <row r="87">
      <c r="A87" t="inlineStr">
        <is>
          <t>FC13000</t>
        </is>
      </c>
      <c r="B87" t="inlineStr">
        <is>
          <t>Office supplies</t>
        </is>
      </c>
      <c r="C87" t="inlineStr">
        <is>
          <t>Out of scope: fictive industries</t>
        </is>
      </c>
    </row>
    <row r="88">
      <c r="A88" t="inlineStr">
        <is>
          <t>FC20000</t>
        </is>
      </c>
      <c r="B88" t="inlineStr">
        <is>
          <t>Advertising, promotion, meals, entertainment, and travel</t>
        </is>
      </c>
      <c r="C88" t="inlineStr">
        <is>
          <t>Out of scope: fictive industries</t>
        </is>
      </c>
    </row>
    <row r="89">
      <c r="A89" t="inlineStr">
        <is>
          <t>FC30000</t>
        </is>
      </c>
      <c r="B89" t="inlineStr">
        <is>
          <t>Transportation margins</t>
        </is>
      </c>
      <c r="C89" t="inlineStr">
        <is>
          <t>Out of scope: fictive industries</t>
        </is>
      </c>
    </row>
    <row r="90">
      <c r="A90" t="inlineStr">
        <is>
          <t>GS61130</t>
        </is>
      </c>
      <c r="B90" t="inlineStr">
        <is>
          <t>Universities</t>
        </is>
      </c>
      <c r="C90" t="inlineStr">
        <is>
          <t>Out of scope: government and non-profit</t>
        </is>
      </c>
    </row>
    <row r="91">
      <c r="A91" t="inlineStr">
        <is>
          <t>GS611B0</t>
        </is>
      </c>
      <c r="B91" t="inlineStr">
        <is>
          <t>Educational services (except universities)</t>
        </is>
      </c>
      <c r="C91" t="inlineStr">
        <is>
          <t>Out of scope: government and non-profit</t>
        </is>
      </c>
    </row>
    <row r="92">
      <c r="A92" t="inlineStr">
        <is>
          <t>GS62200</t>
        </is>
      </c>
      <c r="B92" t="inlineStr">
        <is>
          <t>Hospitals</t>
        </is>
      </c>
      <c r="C92" t="inlineStr">
        <is>
          <t>Out of scope: government and non-profit</t>
        </is>
      </c>
    </row>
    <row r="93">
      <c r="A93" t="inlineStr">
        <is>
          <t>GS62300</t>
        </is>
      </c>
      <c r="B93" t="inlineStr">
        <is>
          <t>Nursing and residential care facilities</t>
        </is>
      </c>
      <c r="C93" t="inlineStr">
        <is>
          <t>Out of scope: government and non-profit</t>
        </is>
      </c>
    </row>
    <row r="94">
      <c r="A94" t="inlineStr">
        <is>
          <t>GS62B00</t>
        </is>
      </c>
      <c r="B94" t="inlineStr">
        <is>
          <t>Health care and social assistance (except nursing and residential care facilities)</t>
        </is>
      </c>
      <c r="C94" t="inlineStr">
        <is>
          <t>Out of scope: government and non-profit</t>
        </is>
      </c>
    </row>
    <row r="95">
      <c r="A95" t="inlineStr">
        <is>
          <t>GS91100</t>
        </is>
      </c>
      <c r="B95" t="inlineStr">
        <is>
          <t>Other federal government services</t>
        </is>
      </c>
      <c r="C95" t="inlineStr">
        <is>
          <t>Out of scope: government and non-profit</t>
        </is>
      </c>
    </row>
    <row r="96">
      <c r="A96" t="inlineStr">
        <is>
          <t>GS91200</t>
        </is>
      </c>
      <c r="B96" t="inlineStr">
        <is>
          <t>Other provincial and territorial government services</t>
        </is>
      </c>
      <c r="C96" t="inlineStr">
        <is>
          <t>Out of scope: government and non-profit</t>
        </is>
      </c>
    </row>
    <row r="97">
      <c r="A97" t="inlineStr">
        <is>
          <t>GS91300</t>
        </is>
      </c>
      <c r="B97" t="inlineStr">
        <is>
          <t>Other municipal government services</t>
        </is>
      </c>
      <c r="C97" t="inlineStr">
        <is>
          <t>Out of scope: government and non-profit</t>
        </is>
      </c>
    </row>
    <row r="98">
      <c r="A98" t="inlineStr">
        <is>
          <t>GS91400</t>
        </is>
      </c>
      <c r="B98" t="inlineStr">
        <is>
          <t>Other Indigenous government services</t>
        </is>
      </c>
      <c r="C98" t="inlineStr">
        <is>
          <t>Out of scope: government and non-profit</t>
        </is>
      </c>
    </row>
    <row r="99">
      <c r="A99" t="inlineStr">
        <is>
          <t>NP61000</t>
        </is>
      </c>
      <c r="B99" t="inlineStr">
        <is>
          <t>Non-profit education services</t>
        </is>
      </c>
      <c r="C99" t="inlineStr">
        <is>
          <t>Out of scope: government and non-profit</t>
        </is>
      </c>
    </row>
    <row r="100">
      <c r="A100" t="inlineStr">
        <is>
          <t>NP62400</t>
        </is>
      </c>
      <c r="B100" t="inlineStr">
        <is>
          <t>Non-profit social assistance</t>
        </is>
      </c>
      <c r="C100" t="inlineStr">
        <is>
          <t>Out of scope: government and non-profit</t>
        </is>
      </c>
    </row>
    <row r="101">
      <c r="A101" t="inlineStr">
        <is>
          <t>NP71000</t>
        </is>
      </c>
      <c r="B101" t="inlineStr">
        <is>
          <t>Non-profit arts, entertainment and recreation</t>
        </is>
      </c>
      <c r="C101" t="inlineStr">
        <is>
          <t>Out of scope: government and non-profit</t>
        </is>
      </c>
    </row>
    <row r="102">
      <c r="A102" t="inlineStr">
        <is>
          <t>NP81310</t>
        </is>
      </c>
      <c r="B102" t="inlineStr">
        <is>
          <t>Religious organizations</t>
        </is>
      </c>
      <c r="C102" t="inlineStr">
        <is>
          <t>Out of scope: government and non-profit</t>
        </is>
      </c>
    </row>
    <row r="103">
      <c r="A103" t="inlineStr">
        <is>
          <t>NPA0000</t>
        </is>
      </c>
      <c r="B103" t="inlineStr">
        <is>
          <t>Miscellaneous non-profit institutions serving households</t>
        </is>
      </c>
      <c r="C103" t="inlineStr">
        <is>
          <t>Out of scope: government and non-profit</t>
        </is>
      </c>
    </row>
    <row r="104">
      <c r="A104" t="inlineStr">
        <is>
          <t>BS5311A</t>
        </is>
      </c>
      <c r="B104" t="inlineStr">
        <is>
          <t>Owner-occupied dwellings</t>
        </is>
      </c>
      <c r="C104" t="inlineStr">
        <is>
          <t>Out of scope: owner-occupied dwellings</t>
        </is>
      </c>
    </row>
    <row r="105">
      <c r="A105" t="inlineStr">
        <is>
          <t>BS32400</t>
        </is>
      </c>
      <c r="B105" t="inlineStr">
        <is>
          <t>Petroleum and coal product manufacturing</t>
        </is>
      </c>
      <c r="C105" t="inlineStr">
        <is>
          <t>Petroleum Refining</t>
        </is>
      </c>
    </row>
    <row r="106">
      <c r="A106" t="inlineStr">
        <is>
          <t>BS48600</t>
        </is>
      </c>
      <c r="B106" t="inlineStr">
        <is>
          <t>Pipeline transportation</t>
        </is>
      </c>
      <c r="C106" t="inlineStr">
        <is>
          <t>Pipelines</t>
        </is>
      </c>
    </row>
    <row r="107">
      <c r="A107" t="inlineStr">
        <is>
          <t>BS48200</t>
        </is>
      </c>
      <c r="B107" t="inlineStr">
        <is>
          <t>Rail transportation</t>
        </is>
      </c>
      <c r="C107" t="inlineStr">
        <is>
          <t>Rail</t>
        </is>
      </c>
    </row>
    <row r="108">
      <c r="A108" t="inlineStr">
        <is>
          <t>BS53110</t>
        </is>
      </c>
      <c r="B108" t="inlineStr">
        <is>
          <t>Lessors of real estate</t>
        </is>
      </c>
      <c r="C108" t="inlineStr">
        <is>
          <t>Real Estate</t>
        </is>
      </c>
    </row>
    <row r="109">
      <c r="A109" t="inlineStr">
        <is>
          <t>BS53B00</t>
        </is>
      </c>
      <c r="B109" t="inlineStr">
        <is>
          <t>Rental and leasing services and lessors of non-financial intangible assets (except copyrighted works)</t>
        </is>
      </c>
      <c r="C109" t="inlineStr">
        <is>
          <t>Real Estate</t>
        </is>
      </c>
    </row>
    <row r="110">
      <c r="A110" t="inlineStr">
        <is>
          <t>BS41000</t>
        </is>
      </c>
      <c r="B110" t="inlineStr">
        <is>
          <t>Wholesale trade</t>
        </is>
      </c>
      <c r="C110" t="inlineStr">
        <is>
          <t>Retail &amp; Wholesale</t>
        </is>
      </c>
    </row>
    <row r="111">
      <c r="A111" t="inlineStr">
        <is>
          <t>BS453BL</t>
        </is>
      </c>
      <c r="B111" t="inlineStr">
        <is>
          <t>Cannabis stores (licensed)</t>
        </is>
      </c>
      <c r="C111" t="inlineStr">
        <is>
          <t>Retail &amp; Wholesale</t>
        </is>
      </c>
    </row>
    <row r="112">
      <c r="A112" t="inlineStr">
        <is>
          <t>BS453BU</t>
        </is>
      </c>
      <c r="B112" t="inlineStr">
        <is>
          <t>Cannabis stores (unlicensed)</t>
        </is>
      </c>
      <c r="C112" t="inlineStr">
        <is>
          <t>Retail &amp; Wholesale</t>
        </is>
      </c>
    </row>
    <row r="113">
      <c r="A113" t="inlineStr">
        <is>
          <t>BS459BL</t>
        </is>
      </c>
      <c r="B113" t="inlineStr">
        <is>
          <t>Cannabis retailers (licensed)</t>
        </is>
      </c>
      <c r="C113" t="inlineStr">
        <is>
          <t>Retail &amp; Wholesale</t>
        </is>
      </c>
    </row>
    <row r="114">
      <c r="A114" t="inlineStr">
        <is>
          <t>BS459BU</t>
        </is>
      </c>
      <c r="B114" t="inlineStr">
        <is>
          <t>Cannabis retailers (unlicensed)</t>
        </is>
      </c>
      <c r="C114" t="inlineStr">
        <is>
          <t>Retail &amp; Wholesale</t>
        </is>
      </c>
    </row>
    <row r="115">
      <c r="A115" t="inlineStr">
        <is>
          <t>BS4A000</t>
        </is>
      </c>
      <c r="B115" t="inlineStr">
        <is>
          <t>Retail trade</t>
        </is>
      </c>
      <c r="C115" t="inlineStr">
        <is>
          <t>Retail &amp; Wholesale</t>
        </is>
      </c>
    </row>
    <row r="116">
      <c r="A116" t="inlineStr">
        <is>
          <t>BS4AA00</t>
        </is>
      </c>
      <c r="B116" t="inlineStr">
        <is>
          <t>Retail trade (except cannabis)</t>
        </is>
      </c>
      <c r="C116" t="inlineStr">
        <is>
          <t>Retail &amp; Wholesale</t>
        </is>
      </c>
    </row>
    <row r="117">
      <c r="A117" t="inlineStr">
        <is>
          <t>BS51200</t>
        </is>
      </c>
      <c r="B117" t="inlineStr">
        <is>
          <t>Motion picture and sound recording industries</t>
        </is>
      </c>
      <c r="C117" t="inlineStr">
        <is>
          <t>Telecom &amp; Media</t>
        </is>
      </c>
    </row>
    <row r="118">
      <c r="A118" t="inlineStr">
        <is>
          <t>BS51510</t>
        </is>
      </c>
      <c r="B118" t="inlineStr">
        <is>
          <t>Radio and television broadcasting</t>
        </is>
      </c>
      <c r="C118" t="inlineStr">
        <is>
          <t>Telecom &amp; Media</t>
        </is>
      </c>
    </row>
    <row r="119">
      <c r="A119" t="inlineStr">
        <is>
          <t>BS51610</t>
        </is>
      </c>
      <c r="B119" t="inlineStr">
        <is>
          <t>Radio and television broadcasting stations</t>
        </is>
      </c>
      <c r="C119" t="inlineStr">
        <is>
          <t>Telecom &amp; Media</t>
        </is>
      </c>
    </row>
    <row r="120">
      <c r="A120" t="inlineStr">
        <is>
          <t>BS51B00</t>
        </is>
      </c>
      <c r="B120" t="inlineStr">
        <is>
          <t>Publishing, pay/specialty services, telecommunications and other information services</t>
        </is>
      </c>
      <c r="C120" t="inlineStr">
        <is>
          <t>Telecom &amp; Media</t>
        </is>
      </c>
    </row>
    <row r="121">
      <c r="A121" t="inlineStr">
        <is>
          <t>BS48300</t>
        </is>
      </c>
      <c r="B121" t="inlineStr">
        <is>
          <t>Water transportation</t>
        </is>
      </c>
      <c r="C121" t="inlineStr">
        <is>
          <t>Trucking, Marine &amp; Logistics</t>
        </is>
      </c>
    </row>
    <row r="122">
      <c r="A122" t="inlineStr">
        <is>
          <t>BS48400</t>
        </is>
      </c>
      <c r="B122" t="inlineStr">
        <is>
          <t>Truck transportation</t>
        </is>
      </c>
      <c r="C122" t="inlineStr">
        <is>
          <t>Trucking, Marine &amp; Logistics</t>
        </is>
      </c>
    </row>
    <row r="123">
      <c r="A123" t="inlineStr">
        <is>
          <t>BS48B00</t>
        </is>
      </c>
      <c r="B123" t="inlineStr">
        <is>
          <t>Transit, ground passenger and scenic and sightseeing transportation, taxi and limousine service and support activities for transportation</t>
        </is>
      </c>
      <c r="C123" t="inlineStr">
        <is>
          <t>Trucking, Marine &amp; Logistics</t>
        </is>
      </c>
    </row>
    <row r="124">
      <c r="A124" t="inlineStr">
        <is>
          <t>BS49300</t>
        </is>
      </c>
      <c r="B124" t="inlineStr">
        <is>
          <t>Warehousing and storage</t>
        </is>
      </c>
      <c r="C124" t="inlineStr">
        <is>
          <t>Trucking, Marine &amp; Logistics</t>
        </is>
      </c>
    </row>
    <row r="125">
      <c r="A125" t="inlineStr">
        <is>
          <t>BS49A00</t>
        </is>
      </c>
      <c r="B125" t="inlineStr">
        <is>
          <t>Postal service and couriers and messengers</t>
        </is>
      </c>
      <c r="C125" t="inlineStr">
        <is>
          <t>Trucking, Marine &amp; Logistics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32" customWidth="1" min="3" max="3"/>
    <col width="22" customWidth="1" min="4" max="4"/>
    <col width="8" customWidth="1" min="5" max="5"/>
    <col width="14" customWidth="1" min="6" max="6"/>
    <col width="14" customWidth="1" min="7" max="7"/>
    <col width="18" customWidth="1" min="8" max="8"/>
  </cols>
  <sheetData>
    <row r="1">
      <c r="A1" s="8" t="inlineStr">
        <is>
          <t>Holding ID</t>
        </is>
      </c>
      <c r="B1" s="8" t="inlineStr">
        <is>
          <t>Issuer (SYNTHETIC)</t>
        </is>
      </c>
      <c r="C1" s="8" t="inlineStr">
        <is>
          <t>Portfolio sector</t>
        </is>
      </c>
      <c r="D1" s="8" t="inlineStr">
        <is>
          <t>Instrument</t>
        </is>
      </c>
      <c r="E1" s="8" t="inlineStr">
        <is>
          <t>Rating</t>
        </is>
      </c>
      <c r="F1" s="8" t="inlineStr">
        <is>
          <t>Outstanding ($M CAD)</t>
        </is>
      </c>
      <c r="G1" s="8" t="inlineStr">
        <is>
          <t>Issuer EVIC ($M)</t>
        </is>
      </c>
      <c r="H1" s="8" t="inlineStr">
        <is>
          <t>Issuer revenue ($M, blank = not on file)</t>
        </is>
      </c>
    </row>
    <row r="2">
      <c r="A2" t="inlineStr">
        <is>
          <t>H001</t>
        </is>
      </c>
      <c r="B2" t="inlineStr">
        <is>
          <t>SYN Oil &amp; Gas Producers 01 Corp</t>
        </is>
      </c>
      <c r="C2" t="inlineStr">
        <is>
          <t>Oil &amp; Gas Producers</t>
        </is>
      </c>
      <c r="D2" t="inlineStr">
        <is>
          <t>Public corporate bond</t>
        </is>
      </c>
      <c r="E2" t="inlineStr">
        <is>
          <t>BBB</t>
        </is>
      </c>
      <c r="F2" t="n">
        <v>37.1</v>
      </c>
      <c r="G2" t="n">
        <v>3368</v>
      </c>
    </row>
    <row r="3">
      <c r="A3" t="inlineStr">
        <is>
          <t>H002</t>
        </is>
      </c>
      <c r="B3" t="inlineStr">
        <is>
          <t>SYN Oil &amp; Gas Producers 02 Corp</t>
        </is>
      </c>
      <c r="C3" t="inlineStr">
        <is>
          <t>Oil &amp; Gas Producers</t>
        </is>
      </c>
      <c r="D3" t="inlineStr">
        <is>
          <t>Private placement</t>
        </is>
      </c>
      <c r="E3" t="inlineStr">
        <is>
          <t>A</t>
        </is>
      </c>
      <c r="F3" t="n">
        <v>65.40000000000001</v>
      </c>
      <c r="G3" t="n">
        <v>24385</v>
      </c>
    </row>
    <row r="4">
      <c r="A4" t="inlineStr">
        <is>
          <t>H003</t>
        </is>
      </c>
      <c r="B4" t="inlineStr">
        <is>
          <t>SYN Oil &amp; Gas Producers 03 Corp</t>
        </is>
      </c>
      <c r="C4" t="inlineStr">
        <is>
          <t>Oil &amp; Gas Producers</t>
        </is>
      </c>
      <c r="D4" t="inlineStr">
        <is>
          <t>Public corporate bond</t>
        </is>
      </c>
      <c r="E4" t="inlineStr">
        <is>
          <t>A</t>
        </is>
      </c>
      <c r="F4" t="n">
        <v>11.5</v>
      </c>
      <c r="G4" t="n">
        <v>457</v>
      </c>
    </row>
    <row r="5">
      <c r="A5" t="inlineStr">
        <is>
          <t>H004</t>
        </is>
      </c>
      <c r="B5" t="inlineStr">
        <is>
          <t>SYN Oil &amp; Gas Producers 04 Corp</t>
        </is>
      </c>
      <c r="C5" t="inlineStr">
        <is>
          <t>Oil &amp; Gas Producers</t>
        </is>
      </c>
      <c r="D5" t="inlineStr">
        <is>
          <t>Public corporate bond</t>
        </is>
      </c>
      <c r="E5" t="inlineStr">
        <is>
          <t>A</t>
        </is>
      </c>
      <c r="F5" t="n">
        <v>12.3</v>
      </c>
      <c r="G5" t="n">
        <v>697</v>
      </c>
    </row>
    <row r="6">
      <c r="A6" t="inlineStr">
        <is>
          <t>H005</t>
        </is>
      </c>
      <c r="B6" t="inlineStr">
        <is>
          <t>SYN Oil &amp; Gas Producers 05 Corp</t>
        </is>
      </c>
      <c r="C6" t="inlineStr">
        <is>
          <t>Oil &amp; Gas Producers</t>
        </is>
      </c>
      <c r="D6" t="inlineStr">
        <is>
          <t>Private placement</t>
        </is>
      </c>
      <c r="E6" t="inlineStr">
        <is>
          <t>BBB</t>
        </is>
      </c>
      <c r="F6" t="n">
        <v>21.9</v>
      </c>
      <c r="G6" t="n">
        <v>926</v>
      </c>
    </row>
    <row r="7">
      <c r="A7" t="inlineStr">
        <is>
          <t>H006</t>
        </is>
      </c>
      <c r="B7" t="inlineStr">
        <is>
          <t>SYN Oil &amp; Gas Producers 06 Corp</t>
        </is>
      </c>
      <c r="C7" t="inlineStr">
        <is>
          <t>Oil &amp; Gas Producers</t>
        </is>
      </c>
      <c r="D7" t="inlineStr">
        <is>
          <t>Public corporate bond</t>
        </is>
      </c>
      <c r="E7" t="inlineStr">
        <is>
          <t>A</t>
        </is>
      </c>
      <c r="F7" t="n">
        <v>78.09999999999999</v>
      </c>
      <c r="G7" t="n">
        <v>2705</v>
      </c>
    </row>
    <row r="8">
      <c r="A8" t="inlineStr">
        <is>
          <t>H007</t>
        </is>
      </c>
      <c r="B8" t="inlineStr">
        <is>
          <t>SYN Oil &amp; Gas Producers 07 Corp</t>
        </is>
      </c>
      <c r="C8" t="inlineStr">
        <is>
          <t>Oil &amp; Gas Producers</t>
        </is>
      </c>
      <c r="D8" t="inlineStr">
        <is>
          <t>Public corporate bond</t>
        </is>
      </c>
      <c r="E8" t="inlineStr">
        <is>
          <t>BBB</t>
        </is>
      </c>
      <c r="F8" t="n">
        <v>11.5</v>
      </c>
      <c r="G8" t="n">
        <v>1374</v>
      </c>
    </row>
    <row r="9">
      <c r="A9" t="inlineStr">
        <is>
          <t>H008</t>
        </is>
      </c>
      <c r="B9" t="inlineStr">
        <is>
          <t>SYN Oil &amp; Gas Producers 08 Corp</t>
        </is>
      </c>
      <c r="C9" t="inlineStr">
        <is>
          <t>Oil &amp; Gas Producers</t>
        </is>
      </c>
      <c r="D9" t="inlineStr">
        <is>
          <t>Private placement</t>
        </is>
      </c>
      <c r="E9" t="inlineStr">
        <is>
          <t>BBB</t>
        </is>
      </c>
      <c r="F9" t="n">
        <v>76.7</v>
      </c>
      <c r="G9" t="n">
        <v>22687</v>
      </c>
    </row>
    <row r="10">
      <c r="A10" t="inlineStr">
        <is>
          <t>H009</t>
        </is>
      </c>
      <c r="B10" t="inlineStr">
        <is>
          <t>SYN Oil &amp; Gas Producers 09 Corp</t>
        </is>
      </c>
      <c r="C10" t="inlineStr">
        <is>
          <t>Oil &amp; Gas Producers</t>
        </is>
      </c>
      <c r="D10" t="inlineStr">
        <is>
          <t>Private placement</t>
        </is>
      </c>
      <c r="E10" t="inlineStr">
        <is>
          <t>A</t>
        </is>
      </c>
      <c r="F10" t="n">
        <v>54.4</v>
      </c>
      <c r="G10" t="n">
        <v>2131</v>
      </c>
    </row>
    <row r="11">
      <c r="A11" t="inlineStr">
        <is>
          <t>H010</t>
        </is>
      </c>
      <c r="B11" t="inlineStr">
        <is>
          <t>SYN Oil &amp; Gas Producers 10 Corp</t>
        </is>
      </c>
      <c r="C11" t="inlineStr">
        <is>
          <t>Oil &amp; Gas Producers</t>
        </is>
      </c>
      <c r="D11" t="inlineStr">
        <is>
          <t>Public corporate bond</t>
        </is>
      </c>
      <c r="E11" t="inlineStr">
        <is>
          <t>BBB</t>
        </is>
      </c>
      <c r="F11" t="n">
        <v>32.1</v>
      </c>
      <c r="G11" t="n">
        <v>1490</v>
      </c>
    </row>
    <row r="12">
      <c r="A12" t="inlineStr">
        <is>
          <t>H011</t>
        </is>
      </c>
      <c r="B12" t="inlineStr">
        <is>
          <t>SYN Oil &amp; Gas Producers 11 Corp</t>
        </is>
      </c>
      <c r="C12" t="inlineStr">
        <is>
          <t>Oil &amp; Gas Producers</t>
        </is>
      </c>
      <c r="D12" t="inlineStr">
        <is>
          <t>Infrastructure debt</t>
        </is>
      </c>
      <c r="E12" t="inlineStr">
        <is>
          <t>BBB</t>
        </is>
      </c>
      <c r="F12" t="n">
        <v>9.800000000000001</v>
      </c>
      <c r="G12" t="n">
        <v>280</v>
      </c>
    </row>
    <row r="13">
      <c r="A13" t="inlineStr">
        <is>
          <t>H012</t>
        </is>
      </c>
      <c r="B13" t="inlineStr">
        <is>
          <t>SYN Oil &amp; Gas Producers 12 Corp</t>
        </is>
      </c>
      <c r="C13" t="inlineStr">
        <is>
          <t>Oil &amp; Gas Producers</t>
        </is>
      </c>
      <c r="D13" t="inlineStr">
        <is>
          <t>Public corporate bond</t>
        </is>
      </c>
      <c r="E13" t="inlineStr">
        <is>
          <t>BBB</t>
        </is>
      </c>
      <c r="F13" t="n">
        <v>29.5</v>
      </c>
      <c r="G13" t="n">
        <v>2304</v>
      </c>
    </row>
    <row r="14">
      <c r="A14" t="inlineStr">
        <is>
          <t>H013</t>
        </is>
      </c>
      <c r="B14" t="inlineStr">
        <is>
          <t>SYN Oil &amp; Gas Producers 13 Corp</t>
        </is>
      </c>
      <c r="C14" t="inlineStr">
        <is>
          <t>Oil &amp; Gas Producers</t>
        </is>
      </c>
      <c r="D14" t="inlineStr">
        <is>
          <t>Public corporate bond</t>
        </is>
      </c>
      <c r="E14" t="inlineStr">
        <is>
          <t>BBB</t>
        </is>
      </c>
      <c r="F14" t="n">
        <v>36.5</v>
      </c>
      <c r="G14" t="n">
        <v>9885</v>
      </c>
      <c r="H14" t="n">
        <v>4435</v>
      </c>
    </row>
    <row r="15">
      <c r="A15" t="inlineStr">
        <is>
          <t>H014</t>
        </is>
      </c>
      <c r="B15" t="inlineStr">
        <is>
          <t>SYN Oil &amp; Gas Producers 14 Corp</t>
        </is>
      </c>
      <c r="C15" t="inlineStr">
        <is>
          <t>Oil &amp; Gas Producers</t>
        </is>
      </c>
      <c r="D15" t="inlineStr">
        <is>
          <t>Public corporate bond</t>
        </is>
      </c>
      <c r="E15" t="inlineStr">
        <is>
          <t>A</t>
        </is>
      </c>
      <c r="F15" t="n">
        <v>34.7</v>
      </c>
      <c r="G15" t="n">
        <v>2122</v>
      </c>
    </row>
    <row r="16">
      <c r="A16" t="inlineStr">
        <is>
          <t>H015</t>
        </is>
      </c>
      <c r="B16" t="inlineStr">
        <is>
          <t>SYN Oil &amp; Gas Producers 15 Corp</t>
        </is>
      </c>
      <c r="C16" t="inlineStr">
        <is>
          <t>Oil &amp; Gas Producers</t>
        </is>
      </c>
      <c r="D16" t="inlineStr">
        <is>
          <t>Infrastructure debt</t>
        </is>
      </c>
      <c r="E16" t="inlineStr">
        <is>
          <t>A</t>
        </is>
      </c>
      <c r="F16" t="n">
        <v>12.4</v>
      </c>
      <c r="G16" t="n">
        <v>376</v>
      </c>
    </row>
    <row r="17">
      <c r="A17" t="inlineStr">
        <is>
          <t>H016</t>
        </is>
      </c>
      <c r="B17" t="inlineStr">
        <is>
          <t>SYN Oil &amp; Gas Producers 16 Corp</t>
        </is>
      </c>
      <c r="C17" t="inlineStr">
        <is>
          <t>Oil &amp; Gas Producers</t>
        </is>
      </c>
      <c r="D17" t="inlineStr">
        <is>
          <t>Infrastructure debt</t>
        </is>
      </c>
      <c r="E17" t="inlineStr">
        <is>
          <t>BBB</t>
        </is>
      </c>
      <c r="F17" t="n">
        <v>93.90000000000001</v>
      </c>
      <c r="G17" t="n">
        <v>4689</v>
      </c>
      <c r="H17" t="n">
        <v>2888</v>
      </c>
    </row>
    <row r="18">
      <c r="A18" t="inlineStr">
        <is>
          <t>H017</t>
        </is>
      </c>
      <c r="B18" t="inlineStr">
        <is>
          <t>SYN Oil &amp; Gas Producers 17 Corp</t>
        </is>
      </c>
      <c r="C18" t="inlineStr">
        <is>
          <t>Oil &amp; Gas Producers</t>
        </is>
      </c>
      <c r="D18" t="inlineStr">
        <is>
          <t>Private placement</t>
        </is>
      </c>
      <c r="E18" t="inlineStr">
        <is>
          <t>AA</t>
        </is>
      </c>
      <c r="F18" t="n">
        <v>74.3</v>
      </c>
      <c r="G18" t="n">
        <v>4820</v>
      </c>
    </row>
    <row r="19">
      <c r="A19" t="inlineStr">
        <is>
          <t>H018</t>
        </is>
      </c>
      <c r="B19" t="inlineStr">
        <is>
          <t>SYN Oil &amp; Gas Producers 18 Corp</t>
        </is>
      </c>
      <c r="C19" t="inlineStr">
        <is>
          <t>Oil &amp; Gas Producers</t>
        </is>
      </c>
      <c r="D19" t="inlineStr">
        <is>
          <t>Private placement</t>
        </is>
      </c>
      <c r="E19" t="inlineStr">
        <is>
          <t>BBB</t>
        </is>
      </c>
      <c r="F19" t="n">
        <v>28</v>
      </c>
      <c r="G19" t="n">
        <v>1312</v>
      </c>
      <c r="H19" t="n">
        <v>863</v>
      </c>
    </row>
    <row r="20">
      <c r="A20" t="inlineStr">
        <is>
          <t>H019</t>
        </is>
      </c>
      <c r="B20" t="inlineStr">
        <is>
          <t>SYN Petroleum Refining 01 Corp</t>
        </is>
      </c>
      <c r="C20" t="inlineStr">
        <is>
          <t>Petroleum Refining</t>
        </is>
      </c>
      <c r="D20" t="inlineStr">
        <is>
          <t>Private placement</t>
        </is>
      </c>
      <c r="E20" t="inlineStr">
        <is>
          <t>BBB</t>
        </is>
      </c>
      <c r="F20" t="n">
        <v>98.2</v>
      </c>
      <c r="G20" t="n">
        <v>8532</v>
      </c>
    </row>
    <row r="21">
      <c r="A21" t="inlineStr">
        <is>
          <t>H020</t>
        </is>
      </c>
      <c r="B21" t="inlineStr">
        <is>
          <t>SYN Petroleum Refining 02 Corp</t>
        </is>
      </c>
      <c r="C21" t="inlineStr">
        <is>
          <t>Petroleum Refining</t>
        </is>
      </c>
      <c r="D21" t="inlineStr">
        <is>
          <t>Public corporate bond</t>
        </is>
      </c>
      <c r="E21" t="inlineStr">
        <is>
          <t>A</t>
        </is>
      </c>
      <c r="F21" t="n">
        <v>19.2</v>
      </c>
      <c r="G21" t="n">
        <v>517</v>
      </c>
    </row>
    <row r="22">
      <c r="A22" t="inlineStr">
        <is>
          <t>H021</t>
        </is>
      </c>
      <c r="B22" t="inlineStr">
        <is>
          <t>SYN Petroleum Refining 03 Corp</t>
        </is>
      </c>
      <c r="C22" t="inlineStr">
        <is>
          <t>Petroleum Refining</t>
        </is>
      </c>
      <c r="D22" t="inlineStr">
        <is>
          <t>Public corporate bond</t>
        </is>
      </c>
      <c r="E22" t="inlineStr">
        <is>
          <t>BBB</t>
        </is>
      </c>
      <c r="F22" t="n">
        <v>18</v>
      </c>
      <c r="G22" t="n">
        <v>1542</v>
      </c>
    </row>
    <row r="23">
      <c r="A23" t="inlineStr">
        <is>
          <t>H022</t>
        </is>
      </c>
      <c r="B23" t="inlineStr">
        <is>
          <t>SYN Petroleum Refining 04 Corp</t>
        </is>
      </c>
      <c r="C23" t="inlineStr">
        <is>
          <t>Petroleum Refining</t>
        </is>
      </c>
      <c r="D23" t="inlineStr">
        <is>
          <t>Public corporate bond</t>
        </is>
      </c>
      <c r="E23" t="inlineStr">
        <is>
          <t>BBB</t>
        </is>
      </c>
      <c r="F23" t="n">
        <v>20.2</v>
      </c>
      <c r="G23" t="n">
        <v>613</v>
      </c>
      <c r="H23" t="n">
        <v>887</v>
      </c>
    </row>
    <row r="24">
      <c r="A24" t="inlineStr">
        <is>
          <t>H023</t>
        </is>
      </c>
      <c r="B24" t="inlineStr">
        <is>
          <t>SYN Petroleum Refining 05 Corp</t>
        </is>
      </c>
      <c r="C24" t="inlineStr">
        <is>
          <t>Petroleum Refining</t>
        </is>
      </c>
      <c r="D24" t="inlineStr">
        <is>
          <t>Private placement</t>
        </is>
      </c>
      <c r="E24" t="inlineStr">
        <is>
          <t>A</t>
        </is>
      </c>
      <c r="F24" t="n">
        <v>24.4</v>
      </c>
      <c r="G24" t="n">
        <v>847</v>
      </c>
    </row>
    <row r="25">
      <c r="A25" t="inlineStr">
        <is>
          <t>H024</t>
        </is>
      </c>
      <c r="B25" t="inlineStr">
        <is>
          <t>SYN Pipelines 01 Corp</t>
        </is>
      </c>
      <c r="C25" t="inlineStr">
        <is>
          <t>Pipelines</t>
        </is>
      </c>
      <c r="D25" t="inlineStr">
        <is>
          <t>Private placement</t>
        </is>
      </c>
      <c r="E25" t="inlineStr">
        <is>
          <t>BBB</t>
        </is>
      </c>
      <c r="F25" t="n">
        <v>12.8</v>
      </c>
      <c r="G25" t="n">
        <v>479</v>
      </c>
    </row>
    <row r="26">
      <c r="A26" t="inlineStr">
        <is>
          <t>H025</t>
        </is>
      </c>
      <c r="B26" t="inlineStr">
        <is>
          <t>SYN Pipelines 02 Corp</t>
        </is>
      </c>
      <c r="C26" t="inlineStr">
        <is>
          <t>Pipelines</t>
        </is>
      </c>
      <c r="D26" t="inlineStr">
        <is>
          <t>Public corporate bond</t>
        </is>
      </c>
      <c r="E26" t="inlineStr">
        <is>
          <t>BBB</t>
        </is>
      </c>
      <c r="F26" t="n">
        <v>19.9</v>
      </c>
      <c r="G26" t="n">
        <v>9382</v>
      </c>
      <c r="H26" t="n">
        <v>2202</v>
      </c>
    </row>
    <row r="27">
      <c r="A27" t="inlineStr">
        <is>
          <t>H026</t>
        </is>
      </c>
      <c r="B27" t="inlineStr">
        <is>
          <t>SYN Pipelines 03 Corp</t>
        </is>
      </c>
      <c r="C27" t="inlineStr">
        <is>
          <t>Pipelines</t>
        </is>
      </c>
      <c r="D27" t="inlineStr">
        <is>
          <t>Infrastructure debt</t>
        </is>
      </c>
      <c r="E27" t="inlineStr">
        <is>
          <t>A</t>
        </is>
      </c>
      <c r="F27" t="n">
        <v>13.5</v>
      </c>
      <c r="G27" t="n">
        <v>420</v>
      </c>
      <c r="H27" t="n">
        <v>115</v>
      </c>
    </row>
    <row r="28">
      <c r="A28" t="inlineStr">
        <is>
          <t>H027</t>
        </is>
      </c>
      <c r="B28" t="inlineStr">
        <is>
          <t>SYN Pipelines 04 Corp</t>
        </is>
      </c>
      <c r="C28" t="inlineStr">
        <is>
          <t>Pipelines</t>
        </is>
      </c>
      <c r="D28" t="inlineStr">
        <is>
          <t>Public corporate bond</t>
        </is>
      </c>
      <c r="E28" t="inlineStr">
        <is>
          <t>BBB</t>
        </is>
      </c>
      <c r="F28" t="n">
        <v>137.7</v>
      </c>
      <c r="G28" t="n">
        <v>7124</v>
      </c>
    </row>
    <row r="29">
      <c r="A29" t="inlineStr">
        <is>
          <t>H028</t>
        </is>
      </c>
      <c r="B29" t="inlineStr">
        <is>
          <t>SYN Pipelines 05 Corp</t>
        </is>
      </c>
      <c r="C29" t="inlineStr">
        <is>
          <t>Pipelines</t>
        </is>
      </c>
      <c r="D29" t="inlineStr">
        <is>
          <t>Infrastructure debt</t>
        </is>
      </c>
      <c r="E29" t="inlineStr">
        <is>
          <t>AA</t>
        </is>
      </c>
      <c r="F29" t="n">
        <v>31.1</v>
      </c>
      <c r="G29" t="n">
        <v>956</v>
      </c>
      <c r="H29" t="n">
        <v>178</v>
      </c>
    </row>
    <row r="30">
      <c r="A30" t="inlineStr">
        <is>
          <t>H029</t>
        </is>
      </c>
      <c r="B30" t="inlineStr">
        <is>
          <t>SYN Pipelines 06 Corp</t>
        </is>
      </c>
      <c r="C30" t="inlineStr">
        <is>
          <t>Pipelines</t>
        </is>
      </c>
      <c r="D30" t="inlineStr">
        <is>
          <t>Private placement</t>
        </is>
      </c>
      <c r="E30" t="inlineStr">
        <is>
          <t>AA</t>
        </is>
      </c>
      <c r="F30" t="n">
        <v>23</v>
      </c>
      <c r="G30" t="n">
        <v>1720</v>
      </c>
    </row>
    <row r="31">
      <c r="A31" t="inlineStr">
        <is>
          <t>H030</t>
        </is>
      </c>
      <c r="B31" t="inlineStr">
        <is>
          <t>SYN Pipelines 07 Corp</t>
        </is>
      </c>
      <c r="C31" t="inlineStr">
        <is>
          <t>Pipelines</t>
        </is>
      </c>
      <c r="D31" t="inlineStr">
        <is>
          <t>Public corporate bond</t>
        </is>
      </c>
      <c r="E31" t="inlineStr">
        <is>
          <t>A</t>
        </is>
      </c>
      <c r="F31" t="n">
        <v>64.59999999999999</v>
      </c>
      <c r="G31" t="n">
        <v>4069</v>
      </c>
      <c r="H31" t="n">
        <v>1579</v>
      </c>
    </row>
    <row r="32">
      <c r="A32" t="inlineStr">
        <is>
          <t>H031</t>
        </is>
      </c>
      <c r="B32" t="inlineStr">
        <is>
          <t>SYN Pipelines 08 Corp</t>
        </is>
      </c>
      <c r="C32" t="inlineStr">
        <is>
          <t>Pipelines</t>
        </is>
      </c>
      <c r="D32" t="inlineStr">
        <is>
          <t>Public corporate bond</t>
        </is>
      </c>
      <c r="E32" t="inlineStr">
        <is>
          <t>A</t>
        </is>
      </c>
      <c r="F32" t="n">
        <v>31.8</v>
      </c>
      <c r="G32" t="n">
        <v>910</v>
      </c>
    </row>
    <row r="33">
      <c r="A33" t="inlineStr">
        <is>
          <t>H032</t>
        </is>
      </c>
      <c r="B33" t="inlineStr">
        <is>
          <t>SYN Pipelines 09 Corp</t>
        </is>
      </c>
      <c r="C33" t="inlineStr">
        <is>
          <t>Pipelines</t>
        </is>
      </c>
      <c r="D33" t="inlineStr">
        <is>
          <t>Infrastructure debt</t>
        </is>
      </c>
      <c r="E33" t="inlineStr">
        <is>
          <t>A</t>
        </is>
      </c>
      <c r="F33" t="n">
        <v>28.6</v>
      </c>
      <c r="G33" t="n">
        <v>978</v>
      </c>
    </row>
    <row r="34">
      <c r="A34" t="inlineStr">
        <is>
          <t>H033</t>
        </is>
      </c>
      <c r="B34" t="inlineStr">
        <is>
          <t>SYN Pipelines 10 Corp</t>
        </is>
      </c>
      <c r="C34" t="inlineStr">
        <is>
          <t>Pipelines</t>
        </is>
      </c>
      <c r="D34" t="inlineStr">
        <is>
          <t>Private placement</t>
        </is>
      </c>
      <c r="E34" t="inlineStr">
        <is>
          <t>AA</t>
        </is>
      </c>
      <c r="F34" t="n">
        <v>6.9</v>
      </c>
      <c r="G34" t="n">
        <v>297</v>
      </c>
    </row>
    <row r="35">
      <c r="A35" t="inlineStr">
        <is>
          <t>H034</t>
        </is>
      </c>
      <c r="B35" t="inlineStr">
        <is>
          <t>SYN Pipelines 11 Corp</t>
        </is>
      </c>
      <c r="C35" t="inlineStr">
        <is>
          <t>Pipelines</t>
        </is>
      </c>
      <c r="D35" t="inlineStr">
        <is>
          <t>Public corporate bond</t>
        </is>
      </c>
      <c r="E35" t="inlineStr">
        <is>
          <t>A</t>
        </is>
      </c>
      <c r="F35" t="n">
        <v>24.3</v>
      </c>
      <c r="G35" t="n">
        <v>2014</v>
      </c>
    </row>
    <row r="36">
      <c r="A36" t="inlineStr">
        <is>
          <t>H035</t>
        </is>
      </c>
      <c r="B36" t="inlineStr">
        <is>
          <t>SYN Pipelines 12 Corp</t>
        </is>
      </c>
      <c r="C36" t="inlineStr">
        <is>
          <t>Pipelines</t>
        </is>
      </c>
      <c r="D36" t="inlineStr">
        <is>
          <t>Infrastructure debt</t>
        </is>
      </c>
      <c r="E36" t="inlineStr">
        <is>
          <t>BBB</t>
        </is>
      </c>
      <c r="F36" t="n">
        <v>22.1</v>
      </c>
      <c r="G36" t="n">
        <v>924</v>
      </c>
    </row>
    <row r="37">
      <c r="A37" t="inlineStr">
        <is>
          <t>H036</t>
        </is>
      </c>
      <c r="B37" t="inlineStr">
        <is>
          <t>SYN Pipelines 13 Corp</t>
        </is>
      </c>
      <c r="C37" t="inlineStr">
        <is>
          <t>Pipelines</t>
        </is>
      </c>
      <c r="D37" t="inlineStr">
        <is>
          <t>Private placement</t>
        </is>
      </c>
      <c r="E37" t="inlineStr">
        <is>
          <t>A</t>
        </is>
      </c>
      <c r="F37" t="n">
        <v>26.9</v>
      </c>
      <c r="G37" t="n">
        <v>1561</v>
      </c>
    </row>
    <row r="38">
      <c r="A38" t="inlineStr">
        <is>
          <t>H037</t>
        </is>
      </c>
      <c r="B38" t="inlineStr">
        <is>
          <t>SYN Pipelines 14 Corp</t>
        </is>
      </c>
      <c r="C38" t="inlineStr">
        <is>
          <t>Pipelines</t>
        </is>
      </c>
      <c r="D38" t="inlineStr">
        <is>
          <t>Public corporate bond</t>
        </is>
      </c>
      <c r="E38" t="inlineStr">
        <is>
          <t>A</t>
        </is>
      </c>
      <c r="F38" t="n">
        <v>34</v>
      </c>
      <c r="G38" t="n">
        <v>1364</v>
      </c>
      <c r="H38" t="n">
        <v>482</v>
      </c>
    </row>
    <row r="39">
      <c r="A39" t="inlineStr">
        <is>
          <t>H038</t>
        </is>
      </c>
      <c r="B39" t="inlineStr">
        <is>
          <t>SYN Pipelines 15 Corp</t>
        </is>
      </c>
      <c r="C39" t="inlineStr">
        <is>
          <t>Pipelines</t>
        </is>
      </c>
      <c r="D39" t="inlineStr">
        <is>
          <t>Private placement</t>
        </is>
      </c>
      <c r="E39" t="inlineStr">
        <is>
          <t>BBB</t>
        </is>
      </c>
      <c r="F39" t="n">
        <v>34.6</v>
      </c>
      <c r="G39" t="n">
        <v>8107</v>
      </c>
      <c r="H39" t="n">
        <v>2550</v>
      </c>
    </row>
    <row r="40">
      <c r="A40" t="inlineStr">
        <is>
          <t>H039</t>
        </is>
      </c>
      <c r="B40" t="inlineStr">
        <is>
          <t>SYN Pipelines 16 Corp</t>
        </is>
      </c>
      <c r="C40" t="inlineStr">
        <is>
          <t>Pipelines</t>
        </is>
      </c>
      <c r="D40" t="inlineStr">
        <is>
          <t>Public corporate bond</t>
        </is>
      </c>
      <c r="E40" t="inlineStr">
        <is>
          <t>AA</t>
        </is>
      </c>
      <c r="F40" t="n">
        <v>34.9</v>
      </c>
      <c r="G40" t="n">
        <v>1816</v>
      </c>
      <c r="H40" t="n">
        <v>378</v>
      </c>
    </row>
    <row r="41">
      <c r="A41" t="inlineStr">
        <is>
          <t>H040</t>
        </is>
      </c>
      <c r="B41" t="inlineStr">
        <is>
          <t>SYN Pipelines 17 Corp</t>
        </is>
      </c>
      <c r="C41" t="inlineStr">
        <is>
          <t>Pipelines</t>
        </is>
      </c>
      <c r="D41" t="inlineStr">
        <is>
          <t>Private placement</t>
        </is>
      </c>
      <c r="E41" t="inlineStr">
        <is>
          <t>BBB</t>
        </is>
      </c>
      <c r="F41" t="n">
        <v>85.90000000000001</v>
      </c>
      <c r="G41" t="n">
        <v>11694</v>
      </c>
    </row>
    <row r="42">
      <c r="A42" t="inlineStr">
        <is>
          <t>H041</t>
        </is>
      </c>
      <c r="B42" t="inlineStr">
        <is>
          <t>SYN Pipelines 18 Corp</t>
        </is>
      </c>
      <c r="C42" t="inlineStr">
        <is>
          <t>Pipelines</t>
        </is>
      </c>
      <c r="D42" t="inlineStr">
        <is>
          <t>Private placement</t>
        </is>
      </c>
      <c r="E42" t="inlineStr">
        <is>
          <t>BBB</t>
        </is>
      </c>
      <c r="F42" t="n">
        <v>101</v>
      </c>
      <c r="G42" t="n">
        <v>4753</v>
      </c>
    </row>
    <row r="43">
      <c r="A43" t="inlineStr">
        <is>
          <t>H042</t>
        </is>
      </c>
      <c r="B43" t="inlineStr">
        <is>
          <t>SYN Pipelines 19 Corp</t>
        </is>
      </c>
      <c r="C43" t="inlineStr">
        <is>
          <t>Pipelines</t>
        </is>
      </c>
      <c r="D43" t="inlineStr">
        <is>
          <t>Public corporate bond</t>
        </is>
      </c>
      <c r="E43" t="inlineStr">
        <is>
          <t>A</t>
        </is>
      </c>
      <c r="F43" t="n">
        <v>41.7</v>
      </c>
      <c r="G43" t="n">
        <v>1951</v>
      </c>
    </row>
    <row r="44">
      <c r="A44" t="inlineStr">
        <is>
          <t>H043</t>
        </is>
      </c>
      <c r="B44" t="inlineStr">
        <is>
          <t>SYN Pipelines 20 Corp</t>
        </is>
      </c>
      <c r="C44" t="inlineStr">
        <is>
          <t>Pipelines</t>
        </is>
      </c>
      <c r="D44" t="inlineStr">
        <is>
          <t>Private placement</t>
        </is>
      </c>
      <c r="E44" t="inlineStr">
        <is>
          <t>BBB</t>
        </is>
      </c>
      <c r="F44" t="n">
        <v>15.8</v>
      </c>
      <c r="G44" t="n">
        <v>2422</v>
      </c>
      <c r="H44" t="n">
        <v>605</v>
      </c>
    </row>
    <row r="45">
      <c r="A45" t="inlineStr">
        <is>
          <t>H044</t>
        </is>
      </c>
      <c r="B45" t="inlineStr">
        <is>
          <t>SYN Pipelines 21 Corp</t>
        </is>
      </c>
      <c r="C45" t="inlineStr">
        <is>
          <t>Pipelines</t>
        </is>
      </c>
      <c r="D45" t="inlineStr">
        <is>
          <t>Private placement</t>
        </is>
      </c>
      <c r="E45" t="inlineStr">
        <is>
          <t>BBB</t>
        </is>
      </c>
      <c r="F45" t="n">
        <v>49</v>
      </c>
      <c r="G45" t="n">
        <v>5338</v>
      </c>
      <c r="H45" t="n">
        <v>1108</v>
      </c>
    </row>
    <row r="46">
      <c r="A46" t="inlineStr">
        <is>
          <t>H045</t>
        </is>
      </c>
      <c r="B46" t="inlineStr">
        <is>
          <t>SYN Electric Utilities 01 Corp</t>
        </is>
      </c>
      <c r="C46" t="inlineStr">
        <is>
          <t>Electric Utilities</t>
        </is>
      </c>
      <c r="D46" t="inlineStr">
        <is>
          <t>Private placement</t>
        </is>
      </c>
      <c r="E46" t="inlineStr">
        <is>
          <t>BBB</t>
        </is>
      </c>
      <c r="F46" t="n">
        <v>172.9</v>
      </c>
      <c r="G46" t="n">
        <v>25129</v>
      </c>
    </row>
    <row r="47">
      <c r="A47" t="inlineStr">
        <is>
          <t>H046</t>
        </is>
      </c>
      <c r="B47" t="inlineStr">
        <is>
          <t>SYN Electric Utilities 02 Corp</t>
        </is>
      </c>
      <c r="C47" t="inlineStr">
        <is>
          <t>Electric Utilities</t>
        </is>
      </c>
      <c r="D47" t="inlineStr">
        <is>
          <t>Infrastructure debt</t>
        </is>
      </c>
      <c r="E47" t="inlineStr">
        <is>
          <t>AA</t>
        </is>
      </c>
      <c r="F47" t="n">
        <v>54.5</v>
      </c>
      <c r="G47" t="n">
        <v>2527</v>
      </c>
    </row>
    <row r="48">
      <c r="A48" t="inlineStr">
        <is>
          <t>H047</t>
        </is>
      </c>
      <c r="B48" t="inlineStr">
        <is>
          <t>SYN Electric Utilities 03 Corp</t>
        </is>
      </c>
      <c r="C48" t="inlineStr">
        <is>
          <t>Electric Utilities</t>
        </is>
      </c>
      <c r="D48" t="inlineStr">
        <is>
          <t>Public corporate bond</t>
        </is>
      </c>
      <c r="E48" t="inlineStr">
        <is>
          <t>BBB</t>
        </is>
      </c>
      <c r="F48" t="n">
        <v>30.8</v>
      </c>
      <c r="G48" t="n">
        <v>980</v>
      </c>
    </row>
    <row r="49">
      <c r="A49" t="inlineStr">
        <is>
          <t>H048</t>
        </is>
      </c>
      <c r="B49" t="inlineStr">
        <is>
          <t>SYN Electric Utilities 04 Corp</t>
        </is>
      </c>
      <c r="C49" t="inlineStr">
        <is>
          <t>Electric Utilities</t>
        </is>
      </c>
      <c r="D49" t="inlineStr">
        <is>
          <t>Infrastructure debt</t>
        </is>
      </c>
      <c r="E49" t="inlineStr">
        <is>
          <t>A</t>
        </is>
      </c>
      <c r="F49" t="n">
        <v>23.2</v>
      </c>
      <c r="G49" t="n">
        <v>2736</v>
      </c>
      <c r="H49" t="n">
        <v>669</v>
      </c>
    </row>
    <row r="50">
      <c r="A50" t="inlineStr">
        <is>
          <t>H049</t>
        </is>
      </c>
      <c r="B50" t="inlineStr">
        <is>
          <t>SYN Electric Utilities 05 Corp</t>
        </is>
      </c>
      <c r="C50" t="inlineStr">
        <is>
          <t>Electric Utilities</t>
        </is>
      </c>
      <c r="D50" t="inlineStr">
        <is>
          <t>Private placement</t>
        </is>
      </c>
      <c r="E50" t="inlineStr">
        <is>
          <t>AA</t>
        </is>
      </c>
      <c r="F50" t="n">
        <v>24.4</v>
      </c>
      <c r="G50" t="n">
        <v>1591</v>
      </c>
      <c r="H50" t="n">
        <v>504</v>
      </c>
    </row>
    <row r="51">
      <c r="A51" t="inlineStr">
        <is>
          <t>H050</t>
        </is>
      </c>
      <c r="B51" t="inlineStr">
        <is>
          <t>SYN Electric Utilities 06 Corp</t>
        </is>
      </c>
      <c r="C51" t="inlineStr">
        <is>
          <t>Electric Utilities</t>
        </is>
      </c>
      <c r="D51" t="inlineStr">
        <is>
          <t>Public corporate bond</t>
        </is>
      </c>
      <c r="E51" t="inlineStr">
        <is>
          <t>A</t>
        </is>
      </c>
      <c r="F51" t="n">
        <v>54.6</v>
      </c>
      <c r="G51" t="n">
        <v>3485</v>
      </c>
    </row>
    <row r="52">
      <c r="A52" t="inlineStr">
        <is>
          <t>H051</t>
        </is>
      </c>
      <c r="B52" t="inlineStr">
        <is>
          <t>SYN Electric Utilities 07 Corp</t>
        </is>
      </c>
      <c r="C52" t="inlineStr">
        <is>
          <t>Electric Utilities</t>
        </is>
      </c>
      <c r="D52" t="inlineStr">
        <is>
          <t>Public corporate bond</t>
        </is>
      </c>
      <c r="E52" t="inlineStr">
        <is>
          <t>A</t>
        </is>
      </c>
      <c r="F52" t="n">
        <v>18.1</v>
      </c>
      <c r="G52" t="n">
        <v>913</v>
      </c>
      <c r="H52" t="n">
        <v>313</v>
      </c>
    </row>
    <row r="53">
      <c r="A53" t="inlineStr">
        <is>
          <t>H052</t>
        </is>
      </c>
      <c r="B53" t="inlineStr">
        <is>
          <t>SYN Electric Utilities 08 Corp</t>
        </is>
      </c>
      <c r="C53" t="inlineStr">
        <is>
          <t>Electric Utilities</t>
        </is>
      </c>
      <c r="D53" t="inlineStr">
        <is>
          <t>Public corporate bond</t>
        </is>
      </c>
      <c r="E53" t="inlineStr">
        <is>
          <t>A</t>
        </is>
      </c>
      <c r="F53" t="n">
        <v>85.90000000000001</v>
      </c>
      <c r="G53" t="n">
        <v>2156</v>
      </c>
    </row>
    <row r="54">
      <c r="A54" t="inlineStr">
        <is>
          <t>H053</t>
        </is>
      </c>
      <c r="B54" t="inlineStr">
        <is>
          <t>SYN Electric Utilities 09 Corp</t>
        </is>
      </c>
      <c r="C54" t="inlineStr">
        <is>
          <t>Electric Utilities</t>
        </is>
      </c>
      <c r="D54" t="inlineStr">
        <is>
          <t>Public corporate bond</t>
        </is>
      </c>
      <c r="E54" t="inlineStr">
        <is>
          <t>A</t>
        </is>
      </c>
      <c r="F54" t="n">
        <v>27.3</v>
      </c>
      <c r="G54" t="n">
        <v>683</v>
      </c>
      <c r="H54" t="n">
        <v>147</v>
      </c>
    </row>
    <row r="55">
      <c r="A55" t="inlineStr">
        <is>
          <t>H054</t>
        </is>
      </c>
      <c r="B55" t="inlineStr">
        <is>
          <t>SYN Electric Utilities 10 Corp</t>
        </is>
      </c>
      <c r="C55" t="inlineStr">
        <is>
          <t>Electric Utilities</t>
        </is>
      </c>
      <c r="D55" t="inlineStr">
        <is>
          <t>Private placement</t>
        </is>
      </c>
      <c r="E55" t="inlineStr">
        <is>
          <t>BBB</t>
        </is>
      </c>
      <c r="F55" t="n">
        <v>15.7</v>
      </c>
      <c r="G55" t="n">
        <v>412</v>
      </c>
    </row>
    <row r="56">
      <c r="A56" t="inlineStr">
        <is>
          <t>H055</t>
        </is>
      </c>
      <c r="B56" t="inlineStr">
        <is>
          <t>SYN Electric Utilities 11 Corp</t>
        </is>
      </c>
      <c r="C56" t="inlineStr">
        <is>
          <t>Electric Utilities</t>
        </is>
      </c>
      <c r="D56" t="inlineStr">
        <is>
          <t>Private placement</t>
        </is>
      </c>
      <c r="E56" t="inlineStr">
        <is>
          <t>BBB</t>
        </is>
      </c>
      <c r="F56" t="n">
        <v>30</v>
      </c>
      <c r="G56" t="n">
        <v>1341</v>
      </c>
    </row>
    <row r="57">
      <c r="A57" t="inlineStr">
        <is>
          <t>H056</t>
        </is>
      </c>
      <c r="B57" t="inlineStr">
        <is>
          <t>SYN Electric Utilities 12 Corp</t>
        </is>
      </c>
      <c r="C57" t="inlineStr">
        <is>
          <t>Electric Utilities</t>
        </is>
      </c>
      <c r="D57" t="inlineStr">
        <is>
          <t>Public corporate bond</t>
        </is>
      </c>
      <c r="E57" t="inlineStr">
        <is>
          <t>BBB</t>
        </is>
      </c>
      <c r="F57" t="n">
        <v>22.3</v>
      </c>
      <c r="G57" t="n">
        <v>1628</v>
      </c>
      <c r="H57" t="n">
        <v>463</v>
      </c>
    </row>
    <row r="58">
      <c r="A58" t="inlineStr">
        <is>
          <t>H057</t>
        </is>
      </c>
      <c r="B58" t="inlineStr">
        <is>
          <t>SYN Electric Utilities 13 Corp</t>
        </is>
      </c>
      <c r="C58" t="inlineStr">
        <is>
          <t>Electric Utilities</t>
        </is>
      </c>
      <c r="D58" t="inlineStr">
        <is>
          <t>Infrastructure debt</t>
        </is>
      </c>
      <c r="E58" t="inlineStr">
        <is>
          <t>BBB</t>
        </is>
      </c>
      <c r="F58" t="n">
        <v>15.2</v>
      </c>
      <c r="G58" t="n">
        <v>570</v>
      </c>
    </row>
    <row r="59">
      <c r="A59" t="inlineStr">
        <is>
          <t>H058</t>
        </is>
      </c>
      <c r="B59" t="inlineStr">
        <is>
          <t>SYN Electric Utilities 14 Corp</t>
        </is>
      </c>
      <c r="C59" t="inlineStr">
        <is>
          <t>Electric Utilities</t>
        </is>
      </c>
      <c r="D59" t="inlineStr">
        <is>
          <t>Public corporate bond</t>
        </is>
      </c>
      <c r="E59" t="inlineStr">
        <is>
          <t>A</t>
        </is>
      </c>
      <c r="F59" t="n">
        <v>13.2</v>
      </c>
      <c r="G59" t="n">
        <v>383</v>
      </c>
    </row>
    <row r="60">
      <c r="A60" t="inlineStr">
        <is>
          <t>H059</t>
        </is>
      </c>
      <c r="B60" t="inlineStr">
        <is>
          <t>SYN Electric Utilities 15 Corp</t>
        </is>
      </c>
      <c r="C60" t="inlineStr">
        <is>
          <t>Electric Utilities</t>
        </is>
      </c>
      <c r="D60" t="inlineStr">
        <is>
          <t>Public corporate bond</t>
        </is>
      </c>
      <c r="E60" t="inlineStr">
        <is>
          <t>AA</t>
        </is>
      </c>
      <c r="F60" t="n">
        <v>26.4</v>
      </c>
      <c r="G60" t="n">
        <v>12682</v>
      </c>
    </row>
    <row r="61">
      <c r="A61" t="inlineStr">
        <is>
          <t>H060</t>
        </is>
      </c>
      <c r="B61" t="inlineStr">
        <is>
          <t>SYN Electric Utilities 16 Corp</t>
        </is>
      </c>
      <c r="C61" t="inlineStr">
        <is>
          <t>Electric Utilities</t>
        </is>
      </c>
      <c r="D61" t="inlineStr">
        <is>
          <t>Public corporate bond</t>
        </is>
      </c>
      <c r="E61" t="inlineStr">
        <is>
          <t>AAA</t>
        </is>
      </c>
      <c r="F61" t="n">
        <v>49.2</v>
      </c>
      <c r="G61" t="n">
        <v>11205</v>
      </c>
      <c r="H61" t="n">
        <v>2390</v>
      </c>
    </row>
    <row r="62">
      <c r="A62" t="inlineStr">
        <is>
          <t>H061</t>
        </is>
      </c>
      <c r="B62" t="inlineStr">
        <is>
          <t>SYN Electric Utilities 17 Corp</t>
        </is>
      </c>
      <c r="C62" t="inlineStr">
        <is>
          <t>Electric Utilities</t>
        </is>
      </c>
      <c r="D62" t="inlineStr">
        <is>
          <t>Private placement</t>
        </is>
      </c>
      <c r="E62" t="inlineStr">
        <is>
          <t>BBB</t>
        </is>
      </c>
      <c r="F62" t="n">
        <v>40.4</v>
      </c>
      <c r="G62" t="n">
        <v>1188</v>
      </c>
    </row>
    <row r="63">
      <c r="A63" t="inlineStr">
        <is>
          <t>H062</t>
        </is>
      </c>
      <c r="B63" t="inlineStr">
        <is>
          <t>SYN Electric Utilities 18 Corp</t>
        </is>
      </c>
      <c r="C63" t="inlineStr">
        <is>
          <t>Electric Utilities</t>
        </is>
      </c>
      <c r="D63" t="inlineStr">
        <is>
          <t>Public corporate bond</t>
        </is>
      </c>
      <c r="E63" t="inlineStr">
        <is>
          <t>AA</t>
        </is>
      </c>
      <c r="F63" t="n">
        <v>8.6</v>
      </c>
      <c r="G63" t="n">
        <v>976</v>
      </c>
    </row>
    <row r="64">
      <c r="A64" t="inlineStr">
        <is>
          <t>H063</t>
        </is>
      </c>
      <c r="B64" t="inlineStr">
        <is>
          <t>SYN Electric Utilities 19 Corp</t>
        </is>
      </c>
      <c r="C64" t="inlineStr">
        <is>
          <t>Electric Utilities</t>
        </is>
      </c>
      <c r="D64" t="inlineStr">
        <is>
          <t>Public corporate bond</t>
        </is>
      </c>
      <c r="E64" t="inlineStr">
        <is>
          <t>AAA</t>
        </is>
      </c>
      <c r="F64" t="n">
        <v>10.4</v>
      </c>
      <c r="G64" t="n">
        <v>1657</v>
      </c>
    </row>
    <row r="65">
      <c r="A65" t="inlineStr">
        <is>
          <t>H064</t>
        </is>
      </c>
      <c r="B65" t="inlineStr">
        <is>
          <t>SYN Electric Utilities 20 Corp</t>
        </is>
      </c>
      <c r="C65" t="inlineStr">
        <is>
          <t>Electric Utilities</t>
        </is>
      </c>
      <c r="D65" t="inlineStr">
        <is>
          <t>Private placement</t>
        </is>
      </c>
      <c r="E65" t="inlineStr">
        <is>
          <t>AA</t>
        </is>
      </c>
      <c r="F65" t="n">
        <v>101.5</v>
      </c>
      <c r="G65" t="n">
        <v>6466</v>
      </c>
    </row>
    <row r="66">
      <c r="A66" t="inlineStr">
        <is>
          <t>H065</t>
        </is>
      </c>
      <c r="B66" t="inlineStr">
        <is>
          <t>SYN Electric Utilities 21 Corp</t>
        </is>
      </c>
      <c r="C66" t="inlineStr">
        <is>
          <t>Electric Utilities</t>
        </is>
      </c>
      <c r="D66" t="inlineStr">
        <is>
          <t>Public corporate bond</t>
        </is>
      </c>
      <c r="E66" t="inlineStr">
        <is>
          <t>A</t>
        </is>
      </c>
      <c r="F66" t="n">
        <v>21.6</v>
      </c>
      <c r="G66" t="n">
        <v>1148</v>
      </c>
    </row>
    <row r="67">
      <c r="A67" t="inlineStr">
        <is>
          <t>H066</t>
        </is>
      </c>
      <c r="B67" t="inlineStr">
        <is>
          <t>SYN Electric Utilities 22 Corp</t>
        </is>
      </c>
      <c r="C67" t="inlineStr">
        <is>
          <t>Electric Utilities</t>
        </is>
      </c>
      <c r="D67" t="inlineStr">
        <is>
          <t>Public corporate bond</t>
        </is>
      </c>
      <c r="E67" t="inlineStr">
        <is>
          <t>BBB</t>
        </is>
      </c>
      <c r="F67" t="n">
        <v>66.90000000000001</v>
      </c>
      <c r="G67" t="n">
        <v>2223</v>
      </c>
    </row>
    <row r="68">
      <c r="A68" t="inlineStr">
        <is>
          <t>H067</t>
        </is>
      </c>
      <c r="B68" t="inlineStr">
        <is>
          <t>SYN Electric Utilities 23 Corp</t>
        </is>
      </c>
      <c r="C68" t="inlineStr">
        <is>
          <t>Electric Utilities</t>
        </is>
      </c>
      <c r="D68" t="inlineStr">
        <is>
          <t>Public corporate bond</t>
        </is>
      </c>
      <c r="E68" t="inlineStr">
        <is>
          <t>A</t>
        </is>
      </c>
      <c r="F68" t="n">
        <v>26.2</v>
      </c>
      <c r="G68" t="n">
        <v>786</v>
      </c>
    </row>
    <row r="69">
      <c r="A69" t="inlineStr">
        <is>
          <t>H068</t>
        </is>
      </c>
      <c r="B69" t="inlineStr">
        <is>
          <t>SYN Electric Utilities 24 Corp</t>
        </is>
      </c>
      <c r="C69" t="inlineStr">
        <is>
          <t>Electric Utilities</t>
        </is>
      </c>
      <c r="D69" t="inlineStr">
        <is>
          <t>Infrastructure debt</t>
        </is>
      </c>
      <c r="E69" t="inlineStr">
        <is>
          <t>A</t>
        </is>
      </c>
      <c r="F69" t="n">
        <v>36.3</v>
      </c>
      <c r="G69" t="n">
        <v>1031</v>
      </c>
      <c r="H69" t="n">
        <v>205</v>
      </c>
    </row>
    <row r="70">
      <c r="A70" t="inlineStr">
        <is>
          <t>H069</t>
        </is>
      </c>
      <c r="B70" t="inlineStr">
        <is>
          <t>SYN Electric Utilities 25 Corp</t>
        </is>
      </c>
      <c r="C70" t="inlineStr">
        <is>
          <t>Electric Utilities</t>
        </is>
      </c>
      <c r="D70" t="inlineStr">
        <is>
          <t>Private placement</t>
        </is>
      </c>
      <c r="E70" t="inlineStr">
        <is>
          <t>AA</t>
        </is>
      </c>
      <c r="F70" t="n">
        <v>26.7</v>
      </c>
      <c r="G70" t="n">
        <v>1622</v>
      </c>
    </row>
    <row r="71">
      <c r="A71" t="inlineStr">
        <is>
          <t>H070</t>
        </is>
      </c>
      <c r="B71" t="inlineStr">
        <is>
          <t>SYN Electric Utilities 26 Corp</t>
        </is>
      </c>
      <c r="C71" t="inlineStr">
        <is>
          <t>Electric Utilities</t>
        </is>
      </c>
      <c r="D71" t="inlineStr">
        <is>
          <t>Public corporate bond</t>
        </is>
      </c>
      <c r="E71" t="inlineStr">
        <is>
          <t>A</t>
        </is>
      </c>
      <c r="F71" t="n">
        <v>34.6</v>
      </c>
      <c r="G71" t="n">
        <v>2069</v>
      </c>
    </row>
    <row r="72">
      <c r="A72" t="inlineStr">
        <is>
          <t>H071</t>
        </is>
      </c>
      <c r="B72" t="inlineStr">
        <is>
          <t>SYN Electric Utilities 27 Corp</t>
        </is>
      </c>
      <c r="C72" t="inlineStr">
        <is>
          <t>Electric Utilities</t>
        </is>
      </c>
      <c r="D72" t="inlineStr">
        <is>
          <t>Private placement</t>
        </is>
      </c>
      <c r="E72" t="inlineStr">
        <is>
          <t>AA</t>
        </is>
      </c>
      <c r="F72" t="n">
        <v>15.5</v>
      </c>
      <c r="G72" t="n">
        <v>606</v>
      </c>
    </row>
    <row r="73">
      <c r="A73" t="inlineStr">
        <is>
          <t>H072</t>
        </is>
      </c>
      <c r="B73" t="inlineStr">
        <is>
          <t>SYN Electric Utilities 28 Corp</t>
        </is>
      </c>
      <c r="C73" t="inlineStr">
        <is>
          <t>Electric Utilities</t>
        </is>
      </c>
      <c r="D73" t="inlineStr">
        <is>
          <t>Public corporate bond</t>
        </is>
      </c>
      <c r="E73" t="inlineStr">
        <is>
          <t>AA</t>
        </is>
      </c>
      <c r="F73" t="n">
        <v>40.3</v>
      </c>
      <c r="G73" t="n">
        <v>2172</v>
      </c>
    </row>
    <row r="74">
      <c r="A74" t="inlineStr">
        <is>
          <t>H073</t>
        </is>
      </c>
      <c r="B74" t="inlineStr">
        <is>
          <t>SYN Electric Utilities 29 Corp</t>
        </is>
      </c>
      <c r="C74" t="inlineStr">
        <is>
          <t>Electric Utilities</t>
        </is>
      </c>
      <c r="D74" t="inlineStr">
        <is>
          <t>Private placement</t>
        </is>
      </c>
      <c r="E74" t="inlineStr">
        <is>
          <t>A</t>
        </is>
      </c>
      <c r="F74" t="n">
        <v>30</v>
      </c>
      <c r="G74" t="n">
        <v>2238</v>
      </c>
      <c r="H74" t="n">
        <v>680</v>
      </c>
    </row>
    <row r="75">
      <c r="A75" t="inlineStr">
        <is>
          <t>H074</t>
        </is>
      </c>
      <c r="B75" t="inlineStr">
        <is>
          <t>SYN Electric Utilities 30 Corp</t>
        </is>
      </c>
      <c r="C75" t="inlineStr">
        <is>
          <t>Electric Utilities</t>
        </is>
      </c>
      <c r="D75" t="inlineStr">
        <is>
          <t>Public corporate bond</t>
        </is>
      </c>
      <c r="E75" t="inlineStr">
        <is>
          <t>A</t>
        </is>
      </c>
      <c r="F75" t="n">
        <v>77.40000000000001</v>
      </c>
      <c r="G75" t="n">
        <v>7873</v>
      </c>
    </row>
    <row r="76">
      <c r="A76" t="inlineStr">
        <is>
          <t>H075</t>
        </is>
      </c>
      <c r="B76" t="inlineStr">
        <is>
          <t>SYN Gas Distribution &amp; Water 01 Corp</t>
        </is>
      </c>
      <c r="C76" t="inlineStr">
        <is>
          <t>Gas Distribution &amp; Water</t>
        </is>
      </c>
      <c r="D76" t="inlineStr">
        <is>
          <t>Public corporate bond</t>
        </is>
      </c>
      <c r="E76" t="inlineStr">
        <is>
          <t>A</t>
        </is>
      </c>
      <c r="F76" t="n">
        <v>41.9</v>
      </c>
      <c r="G76" t="n">
        <v>1278</v>
      </c>
    </row>
    <row r="77">
      <c r="A77" t="inlineStr">
        <is>
          <t>H076</t>
        </is>
      </c>
      <c r="B77" t="inlineStr">
        <is>
          <t>SYN Gas Distribution &amp; Water 02 Corp</t>
        </is>
      </c>
      <c r="C77" t="inlineStr">
        <is>
          <t>Gas Distribution &amp; Water</t>
        </is>
      </c>
      <c r="D77" t="inlineStr">
        <is>
          <t>Public corporate bond</t>
        </is>
      </c>
      <c r="E77" t="inlineStr">
        <is>
          <t>AA</t>
        </is>
      </c>
      <c r="F77" t="n">
        <v>74.2</v>
      </c>
      <c r="G77" t="n">
        <v>4065</v>
      </c>
      <c r="H77" t="n">
        <v>1320</v>
      </c>
    </row>
    <row r="78">
      <c r="A78" t="inlineStr">
        <is>
          <t>H077</t>
        </is>
      </c>
      <c r="B78" t="inlineStr">
        <is>
          <t>SYN Gas Distribution &amp; Water 03 Corp</t>
        </is>
      </c>
      <c r="C78" t="inlineStr">
        <is>
          <t>Gas Distribution &amp; Water</t>
        </is>
      </c>
      <c r="D78" t="inlineStr">
        <is>
          <t>Public corporate bond</t>
        </is>
      </c>
      <c r="E78" t="inlineStr">
        <is>
          <t>BBB</t>
        </is>
      </c>
      <c r="F78" t="n">
        <v>42.2</v>
      </c>
      <c r="G78" t="n">
        <v>1119</v>
      </c>
    </row>
    <row r="79">
      <c r="A79" t="inlineStr">
        <is>
          <t>H078</t>
        </is>
      </c>
      <c r="B79" t="inlineStr">
        <is>
          <t>SYN Gas Distribution &amp; Water 04 Corp</t>
        </is>
      </c>
      <c r="C79" t="inlineStr">
        <is>
          <t>Gas Distribution &amp; Water</t>
        </is>
      </c>
      <c r="D79" t="inlineStr">
        <is>
          <t>Private placement</t>
        </is>
      </c>
      <c r="E79" t="inlineStr">
        <is>
          <t>BBB</t>
        </is>
      </c>
      <c r="F79" t="n">
        <v>15.7</v>
      </c>
      <c r="G79" t="n">
        <v>1061</v>
      </c>
    </row>
    <row r="80">
      <c r="A80" t="inlineStr">
        <is>
          <t>H079</t>
        </is>
      </c>
      <c r="B80" t="inlineStr">
        <is>
          <t>SYN Gas Distribution &amp; Water 05 Corp</t>
        </is>
      </c>
      <c r="C80" t="inlineStr">
        <is>
          <t>Gas Distribution &amp; Water</t>
        </is>
      </c>
      <c r="D80" t="inlineStr">
        <is>
          <t>Infrastructure debt</t>
        </is>
      </c>
      <c r="E80" t="inlineStr">
        <is>
          <t>A</t>
        </is>
      </c>
      <c r="F80" t="n">
        <v>41.6</v>
      </c>
      <c r="G80" t="n">
        <v>1354</v>
      </c>
    </row>
    <row r="81">
      <c r="A81" t="inlineStr">
        <is>
          <t>H080</t>
        </is>
      </c>
      <c r="B81" t="inlineStr">
        <is>
          <t>SYN Gas Distribution &amp; Water 06 Corp</t>
        </is>
      </c>
      <c r="C81" t="inlineStr">
        <is>
          <t>Gas Distribution &amp; Water</t>
        </is>
      </c>
      <c r="D81" t="inlineStr">
        <is>
          <t>Public corporate bond</t>
        </is>
      </c>
      <c r="E81" t="inlineStr">
        <is>
          <t>A</t>
        </is>
      </c>
      <c r="F81" t="n">
        <v>58.9</v>
      </c>
      <c r="G81" t="n">
        <v>12067</v>
      </c>
    </row>
    <row r="82">
      <c r="A82" t="inlineStr">
        <is>
          <t>H081</t>
        </is>
      </c>
      <c r="B82" t="inlineStr">
        <is>
          <t>SYN Gas Distribution &amp; Water 07 Corp</t>
        </is>
      </c>
      <c r="C82" t="inlineStr">
        <is>
          <t>Gas Distribution &amp; Water</t>
        </is>
      </c>
      <c r="D82" t="inlineStr">
        <is>
          <t>Private placement</t>
        </is>
      </c>
      <c r="E82" t="inlineStr">
        <is>
          <t>A</t>
        </is>
      </c>
      <c r="F82" t="n">
        <v>20.2</v>
      </c>
      <c r="G82" t="n">
        <v>1133</v>
      </c>
      <c r="H82" t="n">
        <v>438</v>
      </c>
    </row>
    <row r="83">
      <c r="A83" t="inlineStr">
        <is>
          <t>H082</t>
        </is>
      </c>
      <c r="B83" t="inlineStr">
        <is>
          <t>SYN Gas Distribution &amp; Water 08 Corp</t>
        </is>
      </c>
      <c r="C83" t="inlineStr">
        <is>
          <t>Gas Distribution &amp; Water</t>
        </is>
      </c>
      <c r="D83" t="inlineStr">
        <is>
          <t>Public corporate bond</t>
        </is>
      </c>
      <c r="E83" t="inlineStr">
        <is>
          <t>A</t>
        </is>
      </c>
      <c r="F83" t="n">
        <v>46.1</v>
      </c>
      <c r="G83" t="n">
        <v>3106</v>
      </c>
      <c r="H83" t="n">
        <v>1097</v>
      </c>
    </row>
    <row r="84">
      <c r="A84" t="inlineStr">
        <is>
          <t>H083</t>
        </is>
      </c>
      <c r="B84" t="inlineStr">
        <is>
          <t>SYN Gas Distribution &amp; Water 09 Corp</t>
        </is>
      </c>
      <c r="C84" t="inlineStr">
        <is>
          <t>Gas Distribution &amp; Water</t>
        </is>
      </c>
      <c r="D84" t="inlineStr">
        <is>
          <t>Public corporate bond</t>
        </is>
      </c>
      <c r="E84" t="inlineStr">
        <is>
          <t>A</t>
        </is>
      </c>
      <c r="F84" t="n">
        <v>74.59999999999999</v>
      </c>
      <c r="G84" t="n">
        <v>2463</v>
      </c>
    </row>
    <row r="85">
      <c r="A85" t="inlineStr">
        <is>
          <t>H084</t>
        </is>
      </c>
      <c r="B85" t="inlineStr">
        <is>
          <t>SYN Gas Distribution &amp; Water 10 Corp</t>
        </is>
      </c>
      <c r="C85" t="inlineStr">
        <is>
          <t>Gas Distribution &amp; Water</t>
        </is>
      </c>
      <c r="D85" t="inlineStr">
        <is>
          <t>Public corporate bond</t>
        </is>
      </c>
      <c r="E85" t="inlineStr">
        <is>
          <t>A</t>
        </is>
      </c>
      <c r="F85" t="n">
        <v>21</v>
      </c>
      <c r="G85" t="n">
        <v>654</v>
      </c>
      <c r="H85" t="n">
        <v>236</v>
      </c>
    </row>
    <row r="86">
      <c r="A86" t="inlineStr">
        <is>
          <t>H085</t>
        </is>
      </c>
      <c r="B86" t="inlineStr">
        <is>
          <t>SYN Gas Distribution &amp; Water 11 Corp</t>
        </is>
      </c>
      <c r="C86" t="inlineStr">
        <is>
          <t>Gas Distribution &amp; Water</t>
        </is>
      </c>
      <c r="D86" t="inlineStr">
        <is>
          <t>Public corporate bond</t>
        </is>
      </c>
      <c r="E86" t="inlineStr">
        <is>
          <t>BBB</t>
        </is>
      </c>
      <c r="F86" t="n">
        <v>18.9</v>
      </c>
      <c r="G86" t="n">
        <v>627</v>
      </c>
    </row>
    <row r="87">
      <c r="A87" t="inlineStr">
        <is>
          <t>H086</t>
        </is>
      </c>
      <c r="B87" t="inlineStr">
        <is>
          <t>SYN Gas Distribution &amp; Water 12 Corp</t>
        </is>
      </c>
      <c r="C87" t="inlineStr">
        <is>
          <t>Gas Distribution &amp; Water</t>
        </is>
      </c>
      <c r="D87" t="inlineStr">
        <is>
          <t>Public corporate bond</t>
        </is>
      </c>
      <c r="E87" t="inlineStr">
        <is>
          <t>AA</t>
        </is>
      </c>
      <c r="F87" t="n">
        <v>20.6</v>
      </c>
      <c r="G87" t="n">
        <v>1417</v>
      </c>
      <c r="H87" t="n">
        <v>515</v>
      </c>
    </row>
    <row r="88">
      <c r="A88" t="inlineStr">
        <is>
          <t>H087</t>
        </is>
      </c>
      <c r="B88" t="inlineStr">
        <is>
          <t>SYN Gas Distribution &amp; Water 13 Corp</t>
        </is>
      </c>
      <c r="C88" t="inlineStr">
        <is>
          <t>Gas Distribution &amp; Water</t>
        </is>
      </c>
      <c r="D88" t="inlineStr">
        <is>
          <t>Private placement</t>
        </is>
      </c>
      <c r="E88" t="inlineStr">
        <is>
          <t>A</t>
        </is>
      </c>
      <c r="F88" t="n">
        <v>85.2</v>
      </c>
      <c r="G88" t="n">
        <v>2316</v>
      </c>
    </row>
    <row r="89">
      <c r="A89" t="inlineStr">
        <is>
          <t>H088</t>
        </is>
      </c>
      <c r="B89" t="inlineStr">
        <is>
          <t>SYN Gas Distribution &amp; Water 14 Corp</t>
        </is>
      </c>
      <c r="C89" t="inlineStr">
        <is>
          <t>Gas Distribution &amp; Water</t>
        </is>
      </c>
      <c r="D89" t="inlineStr">
        <is>
          <t>Public corporate bond</t>
        </is>
      </c>
      <c r="E89" t="inlineStr">
        <is>
          <t>BBB</t>
        </is>
      </c>
      <c r="F89" t="n">
        <v>29.2</v>
      </c>
      <c r="G89" t="n">
        <v>1204</v>
      </c>
    </row>
    <row r="90">
      <c r="A90" t="inlineStr">
        <is>
          <t>H089</t>
        </is>
      </c>
      <c r="B90" t="inlineStr">
        <is>
          <t>SYN Gas Distribution &amp; Water 15 Corp</t>
        </is>
      </c>
      <c r="C90" t="inlineStr">
        <is>
          <t>Gas Distribution &amp; Water</t>
        </is>
      </c>
      <c r="D90" t="inlineStr">
        <is>
          <t>Private placement</t>
        </is>
      </c>
      <c r="E90" t="inlineStr">
        <is>
          <t>A</t>
        </is>
      </c>
      <c r="F90" t="n">
        <v>9.9</v>
      </c>
      <c r="G90" t="n">
        <v>476</v>
      </c>
      <c r="H90" t="n">
        <v>114</v>
      </c>
    </row>
    <row r="91">
      <c r="A91" t="inlineStr">
        <is>
          <t>H090</t>
        </is>
      </c>
      <c r="B91" t="inlineStr">
        <is>
          <t>SYN Mining &amp; Quarrying 01 Corp</t>
        </is>
      </c>
      <c r="C91" t="inlineStr">
        <is>
          <t>Mining &amp; Quarrying</t>
        </is>
      </c>
      <c r="D91" t="inlineStr">
        <is>
          <t>Public corporate bond</t>
        </is>
      </c>
      <c r="E91" t="inlineStr">
        <is>
          <t>AA</t>
        </is>
      </c>
      <c r="F91" t="n">
        <v>41.7</v>
      </c>
      <c r="G91" t="n">
        <v>1199</v>
      </c>
    </row>
    <row r="92">
      <c r="A92" t="inlineStr">
        <is>
          <t>H091</t>
        </is>
      </c>
      <c r="B92" t="inlineStr">
        <is>
          <t>SYN Mining &amp; Quarrying 02 Corp</t>
        </is>
      </c>
      <c r="C92" t="inlineStr">
        <is>
          <t>Mining &amp; Quarrying</t>
        </is>
      </c>
      <c r="D92" t="inlineStr">
        <is>
          <t>Public corporate bond</t>
        </is>
      </c>
      <c r="E92" t="inlineStr">
        <is>
          <t>BBB</t>
        </is>
      </c>
      <c r="F92" t="n">
        <v>47.2</v>
      </c>
      <c r="G92" t="n">
        <v>1961</v>
      </c>
    </row>
    <row r="93">
      <c r="A93" t="inlineStr">
        <is>
          <t>H092</t>
        </is>
      </c>
      <c r="B93" t="inlineStr">
        <is>
          <t>SYN Mining &amp; Quarrying 03 Corp</t>
        </is>
      </c>
      <c r="C93" t="inlineStr">
        <is>
          <t>Mining &amp; Quarrying</t>
        </is>
      </c>
      <c r="D93" t="inlineStr">
        <is>
          <t>Public corporate bond</t>
        </is>
      </c>
      <c r="E93" t="inlineStr">
        <is>
          <t>AA</t>
        </is>
      </c>
      <c r="F93" t="n">
        <v>112.2</v>
      </c>
      <c r="G93" t="n">
        <v>11852</v>
      </c>
    </row>
    <row r="94">
      <c r="A94" t="inlineStr">
        <is>
          <t>H093</t>
        </is>
      </c>
      <c r="B94" t="inlineStr">
        <is>
          <t>SYN Mining &amp; Quarrying 04 Corp</t>
        </is>
      </c>
      <c r="C94" t="inlineStr">
        <is>
          <t>Mining &amp; Quarrying</t>
        </is>
      </c>
      <c r="D94" t="inlineStr">
        <is>
          <t>Public corporate bond</t>
        </is>
      </c>
      <c r="E94" t="inlineStr">
        <is>
          <t>BBB</t>
        </is>
      </c>
      <c r="F94" t="n">
        <v>44.9</v>
      </c>
      <c r="G94" t="n">
        <v>1692</v>
      </c>
    </row>
    <row r="95">
      <c r="A95" t="inlineStr">
        <is>
          <t>H094</t>
        </is>
      </c>
      <c r="B95" t="inlineStr">
        <is>
          <t>SYN Mining &amp; Quarrying 05 Corp</t>
        </is>
      </c>
      <c r="C95" t="inlineStr">
        <is>
          <t>Mining &amp; Quarrying</t>
        </is>
      </c>
      <c r="D95" t="inlineStr">
        <is>
          <t>Public corporate bond</t>
        </is>
      </c>
      <c r="E95" t="inlineStr">
        <is>
          <t>A</t>
        </is>
      </c>
      <c r="F95" t="n">
        <v>20.5</v>
      </c>
      <c r="G95" t="n">
        <v>680</v>
      </c>
    </row>
    <row r="96">
      <c r="A96" t="inlineStr">
        <is>
          <t>H095</t>
        </is>
      </c>
      <c r="B96" t="inlineStr">
        <is>
          <t>SYN Mining &amp; Quarrying 06 Corp</t>
        </is>
      </c>
      <c r="C96" t="inlineStr">
        <is>
          <t>Mining &amp; Quarrying</t>
        </is>
      </c>
      <c r="D96" t="inlineStr">
        <is>
          <t>Private placement</t>
        </is>
      </c>
      <c r="E96" t="inlineStr">
        <is>
          <t>A</t>
        </is>
      </c>
      <c r="F96" t="n">
        <v>14.9</v>
      </c>
      <c r="G96" t="n">
        <v>1484</v>
      </c>
      <c r="H96" t="n">
        <v>814</v>
      </c>
    </row>
    <row r="97">
      <c r="A97" t="inlineStr">
        <is>
          <t>H096</t>
        </is>
      </c>
      <c r="B97" t="inlineStr">
        <is>
          <t>SYN Mining &amp; Quarrying 07 Corp</t>
        </is>
      </c>
      <c r="C97" t="inlineStr">
        <is>
          <t>Mining &amp; Quarrying</t>
        </is>
      </c>
      <c r="D97" t="inlineStr">
        <is>
          <t>Public corporate bond</t>
        </is>
      </c>
      <c r="E97" t="inlineStr">
        <is>
          <t>AA</t>
        </is>
      </c>
      <c r="F97" t="n">
        <v>18.6</v>
      </c>
      <c r="G97" t="n">
        <v>726</v>
      </c>
    </row>
    <row r="98">
      <c r="A98" t="inlineStr">
        <is>
          <t>H097</t>
        </is>
      </c>
      <c r="B98" t="inlineStr">
        <is>
          <t>SYN Cement &amp; Building Materials 01 Corp</t>
        </is>
      </c>
      <c r="C98" t="inlineStr">
        <is>
          <t>Cement &amp; Building Materials</t>
        </is>
      </c>
      <c r="D98" t="inlineStr">
        <is>
          <t>Public corporate bond</t>
        </is>
      </c>
      <c r="E98" t="inlineStr">
        <is>
          <t>A</t>
        </is>
      </c>
      <c r="F98" t="n">
        <v>26.9</v>
      </c>
      <c r="G98" t="n">
        <v>1207</v>
      </c>
      <c r="H98" t="n">
        <v>812</v>
      </c>
    </row>
    <row r="99">
      <c r="A99" t="inlineStr">
        <is>
          <t>H098</t>
        </is>
      </c>
      <c r="B99" t="inlineStr">
        <is>
          <t>SYN Cement &amp; Building Materials 02 Corp</t>
        </is>
      </c>
      <c r="C99" t="inlineStr">
        <is>
          <t>Cement &amp; Building Materials</t>
        </is>
      </c>
      <c r="D99" t="inlineStr">
        <is>
          <t>Private placement</t>
        </is>
      </c>
      <c r="E99" t="inlineStr">
        <is>
          <t>AA</t>
        </is>
      </c>
      <c r="F99" t="n">
        <v>57.5</v>
      </c>
      <c r="G99" t="n">
        <v>2614</v>
      </c>
    </row>
    <row r="100">
      <c r="A100" t="inlineStr">
        <is>
          <t>H099</t>
        </is>
      </c>
      <c r="B100" t="inlineStr">
        <is>
          <t>SYN Cement &amp; Building Materials 03 Corp</t>
        </is>
      </c>
      <c r="C100" t="inlineStr">
        <is>
          <t>Cement &amp; Building Materials</t>
        </is>
      </c>
      <c r="D100" t="inlineStr">
        <is>
          <t>Public corporate bond</t>
        </is>
      </c>
      <c r="E100" t="inlineStr">
        <is>
          <t>AA</t>
        </is>
      </c>
      <c r="F100" t="n">
        <v>7.1</v>
      </c>
      <c r="G100" t="n">
        <v>2326</v>
      </c>
    </row>
    <row r="101">
      <c r="A101" t="inlineStr">
        <is>
          <t>H100</t>
        </is>
      </c>
      <c r="B101" t="inlineStr">
        <is>
          <t>SYN Cement &amp; Building Materials 04 Corp</t>
        </is>
      </c>
      <c r="C101" t="inlineStr">
        <is>
          <t>Cement &amp; Building Materials</t>
        </is>
      </c>
      <c r="D101" t="inlineStr">
        <is>
          <t>Private placement</t>
        </is>
      </c>
      <c r="E101" t="inlineStr">
        <is>
          <t>A</t>
        </is>
      </c>
      <c r="F101" t="n">
        <v>28.4</v>
      </c>
      <c r="G101" t="n">
        <v>6350</v>
      </c>
    </row>
    <row r="102">
      <c r="A102" t="inlineStr">
        <is>
          <t>H101</t>
        </is>
      </c>
      <c r="B102" t="inlineStr">
        <is>
          <t>SYN Metals &amp; Steel 01 Corp</t>
        </is>
      </c>
      <c r="C102" t="inlineStr">
        <is>
          <t>Metals &amp; Steel</t>
        </is>
      </c>
      <c r="D102" t="inlineStr">
        <is>
          <t>Public corporate bond</t>
        </is>
      </c>
      <c r="E102" t="inlineStr">
        <is>
          <t>BBB</t>
        </is>
      </c>
      <c r="F102" t="n">
        <v>54.1</v>
      </c>
      <c r="G102" t="n">
        <v>3451</v>
      </c>
      <c r="H102" t="n">
        <v>1964</v>
      </c>
    </row>
    <row r="103">
      <c r="A103" t="inlineStr">
        <is>
          <t>H102</t>
        </is>
      </c>
      <c r="B103" t="inlineStr">
        <is>
          <t>SYN Metals &amp; Steel 02 Corp</t>
        </is>
      </c>
      <c r="C103" t="inlineStr">
        <is>
          <t>Metals &amp; Steel</t>
        </is>
      </c>
      <c r="D103" t="inlineStr">
        <is>
          <t>Public corporate bond</t>
        </is>
      </c>
      <c r="E103" t="inlineStr">
        <is>
          <t>A</t>
        </is>
      </c>
      <c r="F103" t="n">
        <v>25.4</v>
      </c>
      <c r="G103" t="n">
        <v>1257</v>
      </c>
    </row>
    <row r="104">
      <c r="A104" t="inlineStr">
        <is>
          <t>H103</t>
        </is>
      </c>
      <c r="B104" t="inlineStr">
        <is>
          <t>SYN Metals &amp; Steel 03 Corp</t>
        </is>
      </c>
      <c r="C104" t="inlineStr">
        <is>
          <t>Metals &amp; Steel</t>
        </is>
      </c>
      <c r="D104" t="inlineStr">
        <is>
          <t>Private placement</t>
        </is>
      </c>
      <c r="E104" t="inlineStr">
        <is>
          <t>BBB</t>
        </is>
      </c>
      <c r="F104" t="n">
        <v>58.1</v>
      </c>
      <c r="G104" t="n">
        <v>2441</v>
      </c>
    </row>
    <row r="105">
      <c r="A105" t="inlineStr">
        <is>
          <t>H104</t>
        </is>
      </c>
      <c r="B105" t="inlineStr">
        <is>
          <t>SYN Metals &amp; Steel 04 Corp</t>
        </is>
      </c>
      <c r="C105" t="inlineStr">
        <is>
          <t>Metals &amp; Steel</t>
        </is>
      </c>
      <c r="D105" t="inlineStr">
        <is>
          <t>Public corporate bond</t>
        </is>
      </c>
      <c r="E105" t="inlineStr">
        <is>
          <t>A</t>
        </is>
      </c>
      <c r="F105" t="n">
        <v>42.5</v>
      </c>
      <c r="G105" t="n">
        <v>11686</v>
      </c>
      <c r="H105" t="n">
        <v>12544</v>
      </c>
    </row>
    <row r="106">
      <c r="A106" t="inlineStr">
        <is>
          <t>H105</t>
        </is>
      </c>
      <c r="B106" t="inlineStr">
        <is>
          <t>SYN Chemicals &amp; Plastics 01 Corp</t>
        </is>
      </c>
      <c r="C106" t="inlineStr">
        <is>
          <t>Chemicals &amp; Plastics</t>
        </is>
      </c>
      <c r="D106" t="inlineStr">
        <is>
          <t>Private placement</t>
        </is>
      </c>
      <c r="E106" t="inlineStr">
        <is>
          <t>BBB</t>
        </is>
      </c>
      <c r="F106" t="n">
        <v>29.2</v>
      </c>
      <c r="G106" t="n">
        <v>5542</v>
      </c>
    </row>
    <row r="107">
      <c r="A107" t="inlineStr">
        <is>
          <t>H106</t>
        </is>
      </c>
      <c r="B107" t="inlineStr">
        <is>
          <t>SYN Chemicals &amp; Plastics 02 Corp</t>
        </is>
      </c>
      <c r="C107" t="inlineStr">
        <is>
          <t>Chemicals &amp; Plastics</t>
        </is>
      </c>
      <c r="D107" t="inlineStr">
        <is>
          <t>Public corporate bond</t>
        </is>
      </c>
      <c r="E107" t="inlineStr">
        <is>
          <t>BBB</t>
        </is>
      </c>
      <c r="F107" t="n">
        <v>37.3</v>
      </c>
      <c r="G107" t="n">
        <v>3249</v>
      </c>
      <c r="H107" t="n">
        <v>2130</v>
      </c>
    </row>
    <row r="108">
      <c r="A108" t="inlineStr">
        <is>
          <t>H107</t>
        </is>
      </c>
      <c r="B108" t="inlineStr">
        <is>
          <t>SYN Chemicals &amp; Plastics 03 Corp</t>
        </is>
      </c>
      <c r="C108" t="inlineStr">
        <is>
          <t>Chemicals &amp; Plastics</t>
        </is>
      </c>
      <c r="D108" t="inlineStr">
        <is>
          <t>Public corporate bond</t>
        </is>
      </c>
      <c r="E108" t="inlineStr">
        <is>
          <t>AA</t>
        </is>
      </c>
      <c r="F108" t="n">
        <v>73.7</v>
      </c>
      <c r="G108" t="n">
        <v>20584</v>
      </c>
    </row>
    <row r="109">
      <c r="A109" t="inlineStr">
        <is>
          <t>H108</t>
        </is>
      </c>
      <c r="B109" t="inlineStr">
        <is>
          <t>SYN Chemicals &amp; Plastics 04 Corp</t>
        </is>
      </c>
      <c r="C109" t="inlineStr">
        <is>
          <t>Chemicals &amp; Plastics</t>
        </is>
      </c>
      <c r="D109" t="inlineStr">
        <is>
          <t>Public corporate bond</t>
        </is>
      </c>
      <c r="E109" t="inlineStr">
        <is>
          <t>A</t>
        </is>
      </c>
      <c r="F109" t="n">
        <v>52.1</v>
      </c>
      <c r="G109" t="n">
        <v>3100</v>
      </c>
    </row>
    <row r="110">
      <c r="A110" t="inlineStr">
        <is>
          <t>H109</t>
        </is>
      </c>
      <c r="B110" t="inlineStr">
        <is>
          <t>SYN Chemicals &amp; Plastics 05 Corp</t>
        </is>
      </c>
      <c r="C110" t="inlineStr">
        <is>
          <t>Chemicals &amp; Plastics</t>
        </is>
      </c>
      <c r="D110" t="inlineStr">
        <is>
          <t>Public corporate bond</t>
        </is>
      </c>
      <c r="E110" t="inlineStr">
        <is>
          <t>AA</t>
        </is>
      </c>
      <c r="F110" t="n">
        <v>28</v>
      </c>
      <c r="G110" t="n">
        <v>959</v>
      </c>
      <c r="H110" t="n">
        <v>1095</v>
      </c>
    </row>
    <row r="111">
      <c r="A111" t="inlineStr">
        <is>
          <t>H110</t>
        </is>
      </c>
      <c r="B111" t="inlineStr">
        <is>
          <t>SYN Chemicals &amp; Plastics 06 Corp</t>
        </is>
      </c>
      <c r="C111" t="inlineStr">
        <is>
          <t>Chemicals &amp; Plastics</t>
        </is>
      </c>
      <c r="D111" t="inlineStr">
        <is>
          <t>Public corporate bond</t>
        </is>
      </c>
      <c r="E111" t="inlineStr">
        <is>
          <t>BBB</t>
        </is>
      </c>
      <c r="F111" t="n">
        <v>19.7</v>
      </c>
      <c r="G111" t="n">
        <v>627</v>
      </c>
    </row>
    <row r="112">
      <c r="A112" t="inlineStr">
        <is>
          <t>H111</t>
        </is>
      </c>
      <c r="B112" t="inlineStr">
        <is>
          <t>SYN Forest &amp; Paper Products 01 Corp</t>
        </is>
      </c>
      <c r="C112" t="inlineStr">
        <is>
          <t>Forest &amp; Paper Products</t>
        </is>
      </c>
      <c r="D112" t="inlineStr">
        <is>
          <t>Public corporate bond</t>
        </is>
      </c>
      <c r="E112" t="inlineStr">
        <is>
          <t>AA</t>
        </is>
      </c>
      <c r="F112" t="n">
        <v>52.7</v>
      </c>
      <c r="G112" t="n">
        <v>19916</v>
      </c>
      <c r="H112" t="n">
        <v>15358</v>
      </c>
    </row>
    <row r="113">
      <c r="A113" t="inlineStr">
        <is>
          <t>H112</t>
        </is>
      </c>
      <c r="B113" t="inlineStr">
        <is>
          <t>SYN Forest &amp; Paper Products 02 Corp</t>
        </is>
      </c>
      <c r="C113" t="inlineStr">
        <is>
          <t>Forest &amp; Paper Products</t>
        </is>
      </c>
      <c r="D113" t="inlineStr">
        <is>
          <t>Public corporate bond</t>
        </is>
      </c>
      <c r="E113" t="inlineStr">
        <is>
          <t>A</t>
        </is>
      </c>
      <c r="F113" t="n">
        <v>23</v>
      </c>
      <c r="G113" t="n">
        <v>1795</v>
      </c>
    </row>
    <row r="114">
      <c r="A114" t="inlineStr">
        <is>
          <t>H113</t>
        </is>
      </c>
      <c r="B114" t="inlineStr">
        <is>
          <t>SYN Forest &amp; Paper Products 03 Corp</t>
        </is>
      </c>
      <c r="C114" t="inlineStr">
        <is>
          <t>Forest &amp; Paper Products</t>
        </is>
      </c>
      <c r="D114" t="inlineStr">
        <is>
          <t>Public corporate bond</t>
        </is>
      </c>
      <c r="E114" t="inlineStr">
        <is>
          <t>AA</t>
        </is>
      </c>
      <c r="F114" t="n">
        <v>28.2</v>
      </c>
      <c r="G114" t="n">
        <v>9190</v>
      </c>
    </row>
    <row r="115">
      <c r="A115" t="inlineStr">
        <is>
          <t>H114</t>
        </is>
      </c>
      <c r="B115" t="inlineStr">
        <is>
          <t>SYN Forest &amp; Paper Products 04 Corp</t>
        </is>
      </c>
      <c r="C115" t="inlineStr">
        <is>
          <t>Forest &amp; Paper Products</t>
        </is>
      </c>
      <c r="D115" t="inlineStr">
        <is>
          <t>Private placement</t>
        </is>
      </c>
      <c r="E115" t="inlineStr">
        <is>
          <t>A</t>
        </is>
      </c>
      <c r="F115" t="n">
        <v>29.3</v>
      </c>
      <c r="G115" t="n">
        <v>1801</v>
      </c>
    </row>
    <row r="116">
      <c r="A116" t="inlineStr">
        <is>
          <t>H115</t>
        </is>
      </c>
      <c r="B116" t="inlineStr">
        <is>
          <t>SYN Forest &amp; Paper Products 05 Corp</t>
        </is>
      </c>
      <c r="C116" t="inlineStr">
        <is>
          <t>Forest &amp; Paper Products</t>
        </is>
      </c>
      <c r="D116" t="inlineStr">
        <is>
          <t>Public corporate bond</t>
        </is>
      </c>
      <c r="E116" t="inlineStr">
        <is>
          <t>A</t>
        </is>
      </c>
      <c r="F116" t="n">
        <v>71.2</v>
      </c>
      <c r="G116" t="n">
        <v>1974</v>
      </c>
    </row>
    <row r="117">
      <c r="A117" t="inlineStr">
        <is>
          <t>H116</t>
        </is>
      </c>
      <c r="B117" t="inlineStr">
        <is>
          <t>SYN Forest &amp; Paper Products 06 Corp</t>
        </is>
      </c>
      <c r="C117" t="inlineStr">
        <is>
          <t>Forest &amp; Paper Products</t>
        </is>
      </c>
      <c r="D117" t="inlineStr">
        <is>
          <t>Public corporate bond</t>
        </is>
      </c>
      <c r="E117" t="inlineStr">
        <is>
          <t>AA</t>
        </is>
      </c>
      <c r="F117" t="n">
        <v>35.6</v>
      </c>
      <c r="G117" t="n">
        <v>1617</v>
      </c>
    </row>
    <row r="118">
      <c r="A118" t="inlineStr">
        <is>
          <t>H117</t>
        </is>
      </c>
      <c r="B118" t="inlineStr">
        <is>
          <t>SYN Agriculture &amp; Food 01 Corp</t>
        </is>
      </c>
      <c r="C118" t="inlineStr">
        <is>
          <t>Agriculture &amp; Food</t>
        </is>
      </c>
      <c r="D118" t="inlineStr">
        <is>
          <t>Public corporate bond</t>
        </is>
      </c>
      <c r="E118" t="inlineStr">
        <is>
          <t>BBB</t>
        </is>
      </c>
      <c r="F118" t="n">
        <v>27.4</v>
      </c>
      <c r="G118" t="n">
        <v>1620</v>
      </c>
    </row>
    <row r="119">
      <c r="A119" t="inlineStr">
        <is>
          <t>H118</t>
        </is>
      </c>
      <c r="B119" t="inlineStr">
        <is>
          <t>SYN Agriculture &amp; Food 02 Corp</t>
        </is>
      </c>
      <c r="C119" t="inlineStr">
        <is>
          <t>Agriculture &amp; Food</t>
        </is>
      </c>
      <c r="D119" t="inlineStr">
        <is>
          <t>Public corporate bond</t>
        </is>
      </c>
      <c r="E119" t="inlineStr">
        <is>
          <t>AA</t>
        </is>
      </c>
      <c r="F119" t="n">
        <v>44.8</v>
      </c>
      <c r="G119" t="n">
        <v>1297</v>
      </c>
    </row>
    <row r="120">
      <c r="A120" t="inlineStr">
        <is>
          <t>H119</t>
        </is>
      </c>
      <c r="B120" t="inlineStr">
        <is>
          <t>SYN Agriculture &amp; Food 03 Corp</t>
        </is>
      </c>
      <c r="C120" t="inlineStr">
        <is>
          <t>Agriculture &amp; Food</t>
        </is>
      </c>
      <c r="D120" t="inlineStr">
        <is>
          <t>Public corporate bond</t>
        </is>
      </c>
      <c r="E120" t="inlineStr">
        <is>
          <t>A</t>
        </is>
      </c>
      <c r="F120" t="n">
        <v>22.9</v>
      </c>
      <c r="G120" t="n">
        <v>600</v>
      </c>
    </row>
    <row r="121">
      <c r="A121" t="inlineStr">
        <is>
          <t>H120</t>
        </is>
      </c>
      <c r="B121" t="inlineStr">
        <is>
          <t>SYN Agriculture &amp; Food 04 Corp</t>
        </is>
      </c>
      <c r="C121" t="inlineStr">
        <is>
          <t>Agriculture &amp; Food</t>
        </is>
      </c>
      <c r="D121" t="inlineStr">
        <is>
          <t>Infrastructure debt</t>
        </is>
      </c>
      <c r="E121" t="inlineStr">
        <is>
          <t>A</t>
        </is>
      </c>
      <c r="F121" t="n">
        <v>26.4</v>
      </c>
      <c r="G121" t="n">
        <v>1613</v>
      </c>
      <c r="H121" t="n">
        <v>1938</v>
      </c>
    </row>
    <row r="122">
      <c r="A122" t="inlineStr">
        <is>
          <t>H121</t>
        </is>
      </c>
      <c r="B122" t="inlineStr">
        <is>
          <t>SYN Agriculture &amp; Food 05 Corp</t>
        </is>
      </c>
      <c r="C122" t="inlineStr">
        <is>
          <t>Agriculture &amp; Food</t>
        </is>
      </c>
      <c r="D122" t="inlineStr">
        <is>
          <t>Private placement</t>
        </is>
      </c>
      <c r="E122" t="inlineStr">
        <is>
          <t>A</t>
        </is>
      </c>
      <c r="F122" t="n">
        <v>58.3</v>
      </c>
      <c r="G122" t="n">
        <v>5023</v>
      </c>
    </row>
    <row r="123">
      <c r="A123" t="inlineStr">
        <is>
          <t>H122</t>
        </is>
      </c>
      <c r="B123" t="inlineStr">
        <is>
          <t>SYN Agriculture &amp; Food 06 Corp</t>
        </is>
      </c>
      <c r="C123" t="inlineStr">
        <is>
          <t>Agriculture &amp; Food</t>
        </is>
      </c>
      <c r="D123" t="inlineStr">
        <is>
          <t>Public corporate bond</t>
        </is>
      </c>
      <c r="E123" t="inlineStr">
        <is>
          <t>BBB</t>
        </is>
      </c>
      <c r="F123" t="n">
        <v>51.7</v>
      </c>
      <c r="G123" t="n">
        <v>2647</v>
      </c>
    </row>
    <row r="124">
      <c r="A124" t="inlineStr">
        <is>
          <t>H123</t>
        </is>
      </c>
      <c r="B124" t="inlineStr">
        <is>
          <t>SYN Agriculture &amp; Food 07 Corp</t>
        </is>
      </c>
      <c r="C124" t="inlineStr">
        <is>
          <t>Agriculture &amp; Food</t>
        </is>
      </c>
      <c r="D124" t="inlineStr">
        <is>
          <t>Public corporate bond</t>
        </is>
      </c>
      <c r="E124" t="inlineStr">
        <is>
          <t>AA</t>
        </is>
      </c>
      <c r="F124" t="n">
        <v>36.8</v>
      </c>
      <c r="G124" t="n">
        <v>3972</v>
      </c>
    </row>
    <row r="125">
      <c r="A125" t="inlineStr">
        <is>
          <t>H124</t>
        </is>
      </c>
      <c r="B125" t="inlineStr">
        <is>
          <t>SYN Agriculture &amp; Food 08 Corp</t>
        </is>
      </c>
      <c r="C125" t="inlineStr">
        <is>
          <t>Agriculture &amp; Food</t>
        </is>
      </c>
      <c r="D125" t="inlineStr">
        <is>
          <t>Private placement</t>
        </is>
      </c>
      <c r="E125" t="inlineStr">
        <is>
          <t>AAA</t>
        </is>
      </c>
      <c r="F125" t="n">
        <v>47.1</v>
      </c>
      <c r="G125" t="n">
        <v>7451</v>
      </c>
    </row>
    <row r="126">
      <c r="A126" t="inlineStr">
        <is>
          <t>H125</t>
        </is>
      </c>
      <c r="B126" t="inlineStr">
        <is>
          <t>SYN Agriculture &amp; Food 09 Corp</t>
        </is>
      </c>
      <c r="C126" t="inlineStr">
        <is>
          <t>Agriculture &amp; Food</t>
        </is>
      </c>
      <c r="D126" t="inlineStr">
        <is>
          <t>Private placement</t>
        </is>
      </c>
      <c r="E126" t="inlineStr">
        <is>
          <t>BBB</t>
        </is>
      </c>
      <c r="F126" t="n">
        <v>44.6</v>
      </c>
      <c r="G126" t="n">
        <v>1297</v>
      </c>
      <c r="H126" t="n">
        <v>1378</v>
      </c>
    </row>
    <row r="127">
      <c r="A127" t="inlineStr">
        <is>
          <t>H126</t>
        </is>
      </c>
      <c r="B127" t="inlineStr">
        <is>
          <t>SYN Airlines 01 Corp</t>
        </is>
      </c>
      <c r="C127" t="inlineStr">
        <is>
          <t>Airlines</t>
        </is>
      </c>
      <c r="D127" t="inlineStr">
        <is>
          <t>Public corporate bond</t>
        </is>
      </c>
      <c r="E127" t="inlineStr">
        <is>
          <t>BBB</t>
        </is>
      </c>
      <c r="F127" t="n">
        <v>38.6</v>
      </c>
      <c r="G127" t="n">
        <v>2660</v>
      </c>
    </row>
    <row r="128">
      <c r="A128" t="inlineStr">
        <is>
          <t>H127</t>
        </is>
      </c>
      <c r="B128" t="inlineStr">
        <is>
          <t>SYN Airlines 02 Corp</t>
        </is>
      </c>
      <c r="C128" t="inlineStr">
        <is>
          <t>Airlines</t>
        </is>
      </c>
      <c r="D128" t="inlineStr">
        <is>
          <t>Public corporate bond</t>
        </is>
      </c>
      <c r="E128" t="inlineStr">
        <is>
          <t>AA</t>
        </is>
      </c>
      <c r="F128" t="n">
        <v>56.9</v>
      </c>
      <c r="G128" t="n">
        <v>1551</v>
      </c>
    </row>
    <row r="129">
      <c r="A129" t="inlineStr">
        <is>
          <t>H128</t>
        </is>
      </c>
      <c r="B129" t="inlineStr">
        <is>
          <t>SYN Airlines 03 Corp</t>
        </is>
      </c>
      <c r="C129" t="inlineStr">
        <is>
          <t>Airlines</t>
        </is>
      </c>
      <c r="D129" t="inlineStr">
        <is>
          <t>Private placement</t>
        </is>
      </c>
      <c r="E129" t="inlineStr">
        <is>
          <t>AAA</t>
        </is>
      </c>
      <c r="F129" t="n">
        <v>50.7</v>
      </c>
      <c r="G129" t="n">
        <v>5208</v>
      </c>
    </row>
    <row r="130">
      <c r="A130" t="inlineStr">
        <is>
          <t>H129</t>
        </is>
      </c>
      <c r="B130" t="inlineStr">
        <is>
          <t>SYN Airlines 04 Corp</t>
        </is>
      </c>
      <c r="C130" t="inlineStr">
        <is>
          <t>Airlines</t>
        </is>
      </c>
      <c r="D130" t="inlineStr">
        <is>
          <t>Private placement</t>
        </is>
      </c>
      <c r="E130" t="inlineStr">
        <is>
          <t>AA</t>
        </is>
      </c>
      <c r="F130" t="n">
        <v>33.8</v>
      </c>
      <c r="G130" t="n">
        <v>2039</v>
      </c>
    </row>
    <row r="131">
      <c r="A131" t="inlineStr">
        <is>
          <t>H130</t>
        </is>
      </c>
      <c r="B131" t="inlineStr">
        <is>
          <t>SYN Rail 01 Corp</t>
        </is>
      </c>
      <c r="C131" t="inlineStr">
        <is>
          <t>Rail</t>
        </is>
      </c>
      <c r="D131" t="inlineStr">
        <is>
          <t>Public corporate bond</t>
        </is>
      </c>
      <c r="E131" t="inlineStr">
        <is>
          <t>AA</t>
        </is>
      </c>
      <c r="F131" t="n">
        <v>74.09999999999999</v>
      </c>
      <c r="G131" t="n">
        <v>21354</v>
      </c>
    </row>
    <row r="132">
      <c r="A132" t="inlineStr">
        <is>
          <t>H131</t>
        </is>
      </c>
      <c r="B132" t="inlineStr">
        <is>
          <t>SYN Rail 02 Corp</t>
        </is>
      </c>
      <c r="C132" t="inlineStr">
        <is>
          <t>Rail</t>
        </is>
      </c>
      <c r="D132" t="inlineStr">
        <is>
          <t>Infrastructure debt</t>
        </is>
      </c>
      <c r="E132" t="inlineStr">
        <is>
          <t>BBB</t>
        </is>
      </c>
      <c r="F132" t="n">
        <v>38.1</v>
      </c>
      <c r="G132" t="n">
        <v>2007</v>
      </c>
    </row>
    <row r="133">
      <c r="A133" t="inlineStr">
        <is>
          <t>H132</t>
        </is>
      </c>
      <c r="B133" t="inlineStr">
        <is>
          <t>SYN Rail 03 Corp</t>
        </is>
      </c>
      <c r="C133" t="inlineStr">
        <is>
          <t>Rail</t>
        </is>
      </c>
      <c r="D133" t="inlineStr">
        <is>
          <t>Private placement</t>
        </is>
      </c>
      <c r="E133" t="inlineStr">
        <is>
          <t>AA</t>
        </is>
      </c>
      <c r="F133" t="n">
        <v>40.9</v>
      </c>
      <c r="G133" t="n">
        <v>1130</v>
      </c>
    </row>
    <row r="134">
      <c r="A134" t="inlineStr">
        <is>
          <t>H133</t>
        </is>
      </c>
      <c r="B134" t="inlineStr">
        <is>
          <t>SYN Rail 04 Corp</t>
        </is>
      </c>
      <c r="C134" t="inlineStr">
        <is>
          <t>Rail</t>
        </is>
      </c>
      <c r="D134" t="inlineStr">
        <is>
          <t>Public corporate bond</t>
        </is>
      </c>
      <c r="E134" t="inlineStr">
        <is>
          <t>BBB</t>
        </is>
      </c>
      <c r="F134" t="n">
        <v>47.5</v>
      </c>
      <c r="G134" t="n">
        <v>1210</v>
      </c>
    </row>
    <row r="135">
      <c r="A135" t="inlineStr">
        <is>
          <t>H134</t>
        </is>
      </c>
      <c r="B135" t="inlineStr">
        <is>
          <t>SYN Rail 05 Corp</t>
        </is>
      </c>
      <c r="C135" t="inlineStr">
        <is>
          <t>Rail</t>
        </is>
      </c>
      <c r="D135" t="inlineStr">
        <is>
          <t>Public corporate bond</t>
        </is>
      </c>
      <c r="E135" t="inlineStr">
        <is>
          <t>BBB</t>
        </is>
      </c>
      <c r="F135" t="n">
        <v>19.3</v>
      </c>
      <c r="G135" t="n">
        <v>943</v>
      </c>
    </row>
    <row r="136">
      <c r="A136" t="inlineStr">
        <is>
          <t>H135</t>
        </is>
      </c>
      <c r="B136" t="inlineStr">
        <is>
          <t>SYN Rail 06 Corp</t>
        </is>
      </c>
      <c r="C136" t="inlineStr">
        <is>
          <t>Rail</t>
        </is>
      </c>
      <c r="D136" t="inlineStr">
        <is>
          <t>Public corporate bond</t>
        </is>
      </c>
      <c r="E136" t="inlineStr">
        <is>
          <t>A</t>
        </is>
      </c>
      <c r="F136" t="n">
        <v>22.6</v>
      </c>
      <c r="G136" t="n">
        <v>779</v>
      </c>
    </row>
    <row r="137">
      <c r="A137" t="inlineStr">
        <is>
          <t>H136</t>
        </is>
      </c>
      <c r="B137" t="inlineStr">
        <is>
          <t>SYN Rail 07 Corp</t>
        </is>
      </c>
      <c r="C137" t="inlineStr">
        <is>
          <t>Rail</t>
        </is>
      </c>
      <c r="D137" t="inlineStr">
        <is>
          <t>Private placement</t>
        </is>
      </c>
      <c r="E137" t="inlineStr">
        <is>
          <t>AA</t>
        </is>
      </c>
      <c r="F137" t="n">
        <v>83.5</v>
      </c>
      <c r="G137" t="n">
        <v>9362</v>
      </c>
      <c r="H137" t="n">
        <v>1986</v>
      </c>
    </row>
    <row r="138">
      <c r="A138" t="inlineStr">
        <is>
          <t>H137</t>
        </is>
      </c>
      <c r="B138" t="inlineStr">
        <is>
          <t>SYN Rail 08 Corp</t>
        </is>
      </c>
      <c r="C138" t="inlineStr">
        <is>
          <t>Rail</t>
        </is>
      </c>
      <c r="D138" t="inlineStr">
        <is>
          <t>Private placement</t>
        </is>
      </c>
      <c r="E138" t="inlineStr">
        <is>
          <t>AAA</t>
        </is>
      </c>
      <c r="F138" t="n">
        <v>48.1</v>
      </c>
      <c r="G138" t="n">
        <v>1442</v>
      </c>
    </row>
    <row r="139">
      <c r="A139" t="inlineStr">
        <is>
          <t>H138</t>
        </is>
      </c>
      <c r="B139" t="inlineStr">
        <is>
          <t>SYN Rail 09 Corp</t>
        </is>
      </c>
      <c r="C139" t="inlineStr">
        <is>
          <t>Rail</t>
        </is>
      </c>
      <c r="D139" t="inlineStr">
        <is>
          <t>Public corporate bond</t>
        </is>
      </c>
      <c r="E139" t="inlineStr">
        <is>
          <t>BBB</t>
        </is>
      </c>
      <c r="F139" t="n">
        <v>12.9</v>
      </c>
      <c r="G139" t="n">
        <v>503</v>
      </c>
    </row>
    <row r="140">
      <c r="A140" t="inlineStr">
        <is>
          <t>H139</t>
        </is>
      </c>
      <c r="B140" t="inlineStr">
        <is>
          <t>SYN Rail 10 Corp</t>
        </is>
      </c>
      <c r="C140" t="inlineStr">
        <is>
          <t>Rail</t>
        </is>
      </c>
      <c r="D140" t="inlineStr">
        <is>
          <t>Public corporate bond</t>
        </is>
      </c>
      <c r="E140" t="inlineStr">
        <is>
          <t>BBB</t>
        </is>
      </c>
      <c r="F140" t="n">
        <v>31.1</v>
      </c>
      <c r="G140" t="n">
        <v>1687</v>
      </c>
    </row>
    <row r="141">
      <c r="A141" t="inlineStr">
        <is>
          <t>H140</t>
        </is>
      </c>
      <c r="B141" t="inlineStr">
        <is>
          <t>SYN Rail 11 Corp</t>
        </is>
      </c>
      <c r="C141" t="inlineStr">
        <is>
          <t>Rail</t>
        </is>
      </c>
      <c r="D141" t="inlineStr">
        <is>
          <t>Public corporate bond</t>
        </is>
      </c>
      <c r="E141" t="inlineStr">
        <is>
          <t>AA</t>
        </is>
      </c>
      <c r="F141" t="n">
        <v>12.4</v>
      </c>
      <c r="G141" t="n">
        <v>640</v>
      </c>
    </row>
    <row r="142">
      <c r="A142" t="inlineStr">
        <is>
          <t>H141</t>
        </is>
      </c>
      <c r="B142" t="inlineStr">
        <is>
          <t>SYN Rail 12 Corp</t>
        </is>
      </c>
      <c r="C142" t="inlineStr">
        <is>
          <t>Rail</t>
        </is>
      </c>
      <c r="D142" t="inlineStr">
        <is>
          <t>Public corporate bond</t>
        </is>
      </c>
      <c r="E142" t="inlineStr">
        <is>
          <t>BBB</t>
        </is>
      </c>
      <c r="F142" t="n">
        <v>49.5</v>
      </c>
      <c r="G142" t="n">
        <v>3416</v>
      </c>
      <c r="H142" t="n">
        <v>1044</v>
      </c>
    </row>
    <row r="143">
      <c r="A143" t="inlineStr">
        <is>
          <t>H142</t>
        </is>
      </c>
      <c r="B143" t="inlineStr">
        <is>
          <t>SYN Trucking, Marine &amp; Logistics 01 Corp</t>
        </is>
      </c>
      <c r="C143" t="inlineStr">
        <is>
          <t>Trucking, Marine &amp; Logistics</t>
        </is>
      </c>
      <c r="D143" t="inlineStr">
        <is>
          <t>Public corporate bond</t>
        </is>
      </c>
      <c r="E143" t="inlineStr">
        <is>
          <t>BBB</t>
        </is>
      </c>
      <c r="F143" t="n">
        <v>63</v>
      </c>
      <c r="G143" t="n">
        <v>1954</v>
      </c>
    </row>
    <row r="144">
      <c r="A144" t="inlineStr">
        <is>
          <t>H143</t>
        </is>
      </c>
      <c r="B144" t="inlineStr">
        <is>
          <t>SYN Trucking, Marine &amp; Logistics 02 Corp</t>
        </is>
      </c>
      <c r="C144" t="inlineStr">
        <is>
          <t>Trucking, Marine &amp; Logistics</t>
        </is>
      </c>
      <c r="D144" t="inlineStr">
        <is>
          <t>Private placement</t>
        </is>
      </c>
      <c r="E144" t="inlineStr">
        <is>
          <t>A</t>
        </is>
      </c>
      <c r="F144" t="n">
        <v>9.9</v>
      </c>
      <c r="G144" t="n">
        <v>548</v>
      </c>
    </row>
    <row r="145">
      <c r="A145" t="inlineStr">
        <is>
          <t>H144</t>
        </is>
      </c>
      <c r="B145" t="inlineStr">
        <is>
          <t>SYN Trucking, Marine &amp; Logistics 03 Corp</t>
        </is>
      </c>
      <c r="C145" t="inlineStr">
        <is>
          <t>Trucking, Marine &amp; Logistics</t>
        </is>
      </c>
      <c r="D145" t="inlineStr">
        <is>
          <t>Public corporate bond</t>
        </is>
      </c>
      <c r="E145" t="inlineStr">
        <is>
          <t>BBB</t>
        </is>
      </c>
      <c r="F145" t="n">
        <v>30.3</v>
      </c>
      <c r="G145" t="n">
        <v>1728</v>
      </c>
      <c r="H145" t="n">
        <v>1873</v>
      </c>
    </row>
    <row r="146">
      <c r="A146" t="inlineStr">
        <is>
          <t>H145</t>
        </is>
      </c>
      <c r="B146" t="inlineStr">
        <is>
          <t>SYN Trucking, Marine &amp; Logistics 04 Corp</t>
        </is>
      </c>
      <c r="C146" t="inlineStr">
        <is>
          <t>Trucking, Marine &amp; Logistics</t>
        </is>
      </c>
      <c r="D146" t="inlineStr">
        <is>
          <t>Public corporate bond</t>
        </is>
      </c>
      <c r="E146" t="inlineStr">
        <is>
          <t>BBB</t>
        </is>
      </c>
      <c r="F146" t="n">
        <v>21.7</v>
      </c>
      <c r="G146" t="n">
        <v>949</v>
      </c>
      <c r="H146" t="n">
        <v>646</v>
      </c>
    </row>
    <row r="147">
      <c r="A147" t="inlineStr">
        <is>
          <t>H146</t>
        </is>
      </c>
      <c r="B147" t="inlineStr">
        <is>
          <t>SYN Trucking, Marine &amp; Logistics 05 Corp</t>
        </is>
      </c>
      <c r="C147" t="inlineStr">
        <is>
          <t>Trucking, Marine &amp; Logistics</t>
        </is>
      </c>
      <c r="D147" t="inlineStr">
        <is>
          <t>Public corporate bond</t>
        </is>
      </c>
      <c r="E147" t="inlineStr">
        <is>
          <t>BBB</t>
        </is>
      </c>
      <c r="F147" t="n">
        <v>53.8</v>
      </c>
      <c r="G147" t="n">
        <v>1383</v>
      </c>
    </row>
    <row r="148">
      <c r="A148" t="inlineStr">
        <is>
          <t>H147</t>
        </is>
      </c>
      <c r="B148" t="inlineStr">
        <is>
          <t>SYN Trucking, Marine &amp; Logistics 06 Corp</t>
        </is>
      </c>
      <c r="C148" t="inlineStr">
        <is>
          <t>Trucking, Marine &amp; Logistics</t>
        </is>
      </c>
      <c r="D148" t="inlineStr">
        <is>
          <t>Private placement</t>
        </is>
      </c>
      <c r="E148" t="inlineStr">
        <is>
          <t>A</t>
        </is>
      </c>
      <c r="F148" t="n">
        <v>47.7</v>
      </c>
      <c r="G148" t="n">
        <v>1682</v>
      </c>
    </row>
    <row r="149">
      <c r="A149" t="inlineStr">
        <is>
          <t>H148</t>
        </is>
      </c>
      <c r="B149" t="inlineStr">
        <is>
          <t>SYN Trucking, Marine &amp; Logistics 07 Corp</t>
        </is>
      </c>
      <c r="C149" t="inlineStr">
        <is>
          <t>Trucking, Marine &amp; Logistics</t>
        </is>
      </c>
      <c r="D149" t="inlineStr">
        <is>
          <t>Private placement</t>
        </is>
      </c>
      <c r="E149" t="inlineStr">
        <is>
          <t>BBB</t>
        </is>
      </c>
      <c r="F149" t="n">
        <v>47.8</v>
      </c>
      <c r="G149" t="n">
        <v>1590</v>
      </c>
    </row>
    <row r="150">
      <c r="A150" t="inlineStr">
        <is>
          <t>H149</t>
        </is>
      </c>
      <c r="B150" t="inlineStr">
        <is>
          <t>SYN Trucking, Marine &amp; Logistics 08 Corp</t>
        </is>
      </c>
      <c r="C150" t="inlineStr">
        <is>
          <t>Trucking, Marine &amp; Logistics</t>
        </is>
      </c>
      <c r="D150" t="inlineStr">
        <is>
          <t>Private placement</t>
        </is>
      </c>
      <c r="E150" t="inlineStr">
        <is>
          <t>BBB</t>
        </is>
      </c>
      <c r="F150" t="n">
        <v>38.4</v>
      </c>
      <c r="G150" t="n">
        <v>1088</v>
      </c>
    </row>
    <row r="151">
      <c r="A151" t="inlineStr">
        <is>
          <t>H150</t>
        </is>
      </c>
      <c r="B151" t="inlineStr">
        <is>
          <t>SYN Trucking, Marine &amp; Logistics 09 Corp</t>
        </is>
      </c>
      <c r="C151" t="inlineStr">
        <is>
          <t>Trucking, Marine &amp; Logistics</t>
        </is>
      </c>
      <c r="D151" t="inlineStr">
        <is>
          <t>Public corporate bond</t>
        </is>
      </c>
      <c r="E151" t="inlineStr">
        <is>
          <t>A</t>
        </is>
      </c>
      <c r="F151" t="n">
        <v>47.3</v>
      </c>
      <c r="G151" t="n">
        <v>1203</v>
      </c>
    </row>
    <row r="152">
      <c r="A152" t="inlineStr">
        <is>
          <t>H151</t>
        </is>
      </c>
      <c r="B152" t="inlineStr">
        <is>
          <t>SYN Construction 01 Corp</t>
        </is>
      </c>
      <c r="C152" t="inlineStr">
        <is>
          <t>Construction</t>
        </is>
      </c>
      <c r="D152" t="inlineStr">
        <is>
          <t>Public corporate bond</t>
        </is>
      </c>
      <c r="E152" t="inlineStr">
        <is>
          <t>A</t>
        </is>
      </c>
      <c r="F152" t="n">
        <v>30.2</v>
      </c>
      <c r="G152" t="n">
        <v>858</v>
      </c>
    </row>
    <row r="153">
      <c r="A153" t="inlineStr">
        <is>
          <t>H152</t>
        </is>
      </c>
      <c r="B153" t="inlineStr">
        <is>
          <t>SYN Construction 02 Corp</t>
        </is>
      </c>
      <c r="C153" t="inlineStr">
        <is>
          <t>Construction</t>
        </is>
      </c>
      <c r="D153" t="inlineStr">
        <is>
          <t>Private placement</t>
        </is>
      </c>
      <c r="E153" t="inlineStr">
        <is>
          <t>A</t>
        </is>
      </c>
      <c r="F153" t="n">
        <v>70.40000000000001</v>
      </c>
      <c r="G153" t="n">
        <v>4950</v>
      </c>
      <c r="H153" t="n">
        <v>6484</v>
      </c>
    </row>
    <row r="154">
      <c r="A154" t="inlineStr">
        <is>
          <t>H153</t>
        </is>
      </c>
      <c r="B154" t="inlineStr">
        <is>
          <t>SYN Construction 03 Corp</t>
        </is>
      </c>
      <c r="C154" t="inlineStr">
        <is>
          <t>Construction</t>
        </is>
      </c>
      <c r="D154" t="inlineStr">
        <is>
          <t>Public corporate bond</t>
        </is>
      </c>
      <c r="E154" t="inlineStr">
        <is>
          <t>A</t>
        </is>
      </c>
      <c r="F154" t="n">
        <v>36.7</v>
      </c>
      <c r="G154" t="n">
        <v>1312</v>
      </c>
    </row>
    <row r="155">
      <c r="A155" t="inlineStr">
        <is>
          <t>H154</t>
        </is>
      </c>
      <c r="B155" t="inlineStr">
        <is>
          <t>SYN Construction 04 Corp</t>
        </is>
      </c>
      <c r="C155" t="inlineStr">
        <is>
          <t>Construction</t>
        </is>
      </c>
      <c r="D155" t="inlineStr">
        <is>
          <t>Public corporate bond</t>
        </is>
      </c>
      <c r="E155" t="inlineStr">
        <is>
          <t>AA</t>
        </is>
      </c>
      <c r="F155" t="n">
        <v>22.7</v>
      </c>
      <c r="G155" t="n">
        <v>807</v>
      </c>
    </row>
    <row r="156">
      <c r="A156" t="inlineStr">
        <is>
          <t>H155</t>
        </is>
      </c>
      <c r="B156" t="inlineStr">
        <is>
          <t>SYN Construction 05 Corp</t>
        </is>
      </c>
      <c r="C156" t="inlineStr">
        <is>
          <t>Construction</t>
        </is>
      </c>
      <c r="D156" t="inlineStr">
        <is>
          <t>Public corporate bond</t>
        </is>
      </c>
      <c r="E156" t="inlineStr">
        <is>
          <t>AA</t>
        </is>
      </c>
      <c r="F156" t="n">
        <v>36.6</v>
      </c>
      <c r="G156" t="n">
        <v>1363</v>
      </c>
      <c r="H156" t="n">
        <v>1889</v>
      </c>
    </row>
    <row r="157">
      <c r="A157" t="inlineStr">
        <is>
          <t>H156</t>
        </is>
      </c>
      <c r="B157" t="inlineStr">
        <is>
          <t>SYN Construction 06 Corp</t>
        </is>
      </c>
      <c r="C157" t="inlineStr">
        <is>
          <t>Construction</t>
        </is>
      </c>
      <c r="D157" t="inlineStr">
        <is>
          <t>Public corporate bond</t>
        </is>
      </c>
      <c r="E157" t="inlineStr">
        <is>
          <t>BBB</t>
        </is>
      </c>
      <c r="F157" t="n">
        <v>39.4</v>
      </c>
      <c r="G157" t="n">
        <v>1026</v>
      </c>
    </row>
    <row r="158">
      <c r="A158" t="inlineStr">
        <is>
          <t>H157</t>
        </is>
      </c>
      <c r="B158" t="inlineStr">
        <is>
          <t>SYN Construction 07 Corp</t>
        </is>
      </c>
      <c r="C158" t="inlineStr">
        <is>
          <t>Construction</t>
        </is>
      </c>
      <c r="D158" t="inlineStr">
        <is>
          <t>Infrastructure debt</t>
        </is>
      </c>
      <c r="E158" t="inlineStr">
        <is>
          <t>A</t>
        </is>
      </c>
      <c r="F158" t="n">
        <v>48.1</v>
      </c>
      <c r="G158" t="n">
        <v>3948</v>
      </c>
    </row>
    <row r="159">
      <c r="A159" t="inlineStr">
        <is>
          <t>H158</t>
        </is>
      </c>
      <c r="B159" t="inlineStr">
        <is>
          <t>SYN Construction 08 Corp</t>
        </is>
      </c>
      <c r="C159" t="inlineStr">
        <is>
          <t>Construction</t>
        </is>
      </c>
      <c r="D159" t="inlineStr">
        <is>
          <t>Infrastructure debt</t>
        </is>
      </c>
      <c r="E159" t="inlineStr">
        <is>
          <t>AA</t>
        </is>
      </c>
      <c r="F159" t="n">
        <v>17.9</v>
      </c>
      <c r="G159" t="n">
        <v>1124</v>
      </c>
    </row>
    <row r="160">
      <c r="A160" t="inlineStr">
        <is>
          <t>H159</t>
        </is>
      </c>
      <c r="B160" t="inlineStr">
        <is>
          <t>SYN Construction 09 Corp</t>
        </is>
      </c>
      <c r="C160" t="inlineStr">
        <is>
          <t>Construction</t>
        </is>
      </c>
      <c r="D160" t="inlineStr">
        <is>
          <t>Infrastructure debt</t>
        </is>
      </c>
      <c r="E160" t="inlineStr">
        <is>
          <t>BBB</t>
        </is>
      </c>
      <c r="F160" t="n">
        <v>58.2</v>
      </c>
      <c r="G160" t="n">
        <v>1826</v>
      </c>
      <c r="H160" t="n">
        <v>2337</v>
      </c>
    </row>
    <row r="161">
      <c r="A161" t="inlineStr">
        <is>
          <t>H160</t>
        </is>
      </c>
      <c r="B161" t="inlineStr">
        <is>
          <t>SYN Autos &amp; Transport Equipment 01 Corp</t>
        </is>
      </c>
      <c r="C161" t="inlineStr">
        <is>
          <t>Autos &amp; Transport Equipment</t>
        </is>
      </c>
      <c r="D161" t="inlineStr">
        <is>
          <t>Public corporate bond</t>
        </is>
      </c>
      <c r="E161" t="inlineStr">
        <is>
          <t>AAA</t>
        </is>
      </c>
      <c r="F161" t="n">
        <v>56.2</v>
      </c>
      <c r="G161" t="n">
        <v>2551</v>
      </c>
    </row>
    <row r="162">
      <c r="A162" t="inlineStr">
        <is>
          <t>H161</t>
        </is>
      </c>
      <c r="B162" t="inlineStr">
        <is>
          <t>SYN Autos &amp; Transport Equipment 02 Corp</t>
        </is>
      </c>
      <c r="C162" t="inlineStr">
        <is>
          <t>Autos &amp; Transport Equipment</t>
        </is>
      </c>
      <c r="D162" t="inlineStr">
        <is>
          <t>Public corporate bond</t>
        </is>
      </c>
      <c r="E162" t="inlineStr">
        <is>
          <t>AA</t>
        </is>
      </c>
      <c r="F162" t="n">
        <v>53.5</v>
      </c>
      <c r="G162" t="n">
        <v>2519</v>
      </c>
      <c r="H162" t="n">
        <v>2859</v>
      </c>
    </row>
    <row r="163">
      <c r="A163" t="inlineStr">
        <is>
          <t>H162</t>
        </is>
      </c>
      <c r="B163" t="inlineStr">
        <is>
          <t>SYN Autos &amp; Transport Equipment 03 Corp</t>
        </is>
      </c>
      <c r="C163" t="inlineStr">
        <is>
          <t>Autos &amp; Transport Equipment</t>
        </is>
      </c>
      <c r="D163" t="inlineStr">
        <is>
          <t>Infrastructure debt</t>
        </is>
      </c>
      <c r="E163" t="inlineStr">
        <is>
          <t>BBB</t>
        </is>
      </c>
      <c r="F163" t="n">
        <v>36.5</v>
      </c>
      <c r="G163" t="n">
        <v>1176</v>
      </c>
      <c r="H163" t="n">
        <v>1469</v>
      </c>
    </row>
    <row r="164">
      <c r="A164" t="inlineStr">
        <is>
          <t>H163</t>
        </is>
      </c>
      <c r="B164" t="inlineStr">
        <is>
          <t>SYN Autos &amp; Transport Equipment 04 Corp</t>
        </is>
      </c>
      <c r="C164" t="inlineStr">
        <is>
          <t>Autos &amp; Transport Equipment</t>
        </is>
      </c>
      <c r="D164" t="inlineStr">
        <is>
          <t>Public corporate bond</t>
        </is>
      </c>
      <c r="E164" t="inlineStr">
        <is>
          <t>A</t>
        </is>
      </c>
      <c r="F164" t="n">
        <v>61.2</v>
      </c>
      <c r="G164" t="n">
        <v>2512</v>
      </c>
    </row>
    <row r="165">
      <c r="A165" t="inlineStr">
        <is>
          <t>H164</t>
        </is>
      </c>
      <c r="B165" t="inlineStr">
        <is>
          <t>SYN Autos &amp; Transport Equipment 05 Corp</t>
        </is>
      </c>
      <c r="C165" t="inlineStr">
        <is>
          <t>Autos &amp; Transport Equipment</t>
        </is>
      </c>
      <c r="D165" t="inlineStr">
        <is>
          <t>Private placement</t>
        </is>
      </c>
      <c r="E165" t="inlineStr">
        <is>
          <t>AA</t>
        </is>
      </c>
      <c r="F165" t="n">
        <v>14.8</v>
      </c>
      <c r="G165" t="n">
        <v>1010</v>
      </c>
      <c r="H165" t="n">
        <v>1606</v>
      </c>
    </row>
    <row r="166">
      <c r="A166" t="inlineStr">
        <is>
          <t>H165</t>
        </is>
      </c>
      <c r="B166" t="inlineStr">
        <is>
          <t>SYN Autos &amp; Transport Equipment 06 Corp</t>
        </is>
      </c>
      <c r="C166" t="inlineStr">
        <is>
          <t>Autos &amp; Transport Equipment</t>
        </is>
      </c>
      <c r="D166" t="inlineStr">
        <is>
          <t>Private placement</t>
        </is>
      </c>
      <c r="E166" t="inlineStr">
        <is>
          <t>BBB</t>
        </is>
      </c>
      <c r="F166" t="n">
        <v>17.7</v>
      </c>
      <c r="G166" t="n">
        <v>1027</v>
      </c>
      <c r="H166" t="n">
        <v>797</v>
      </c>
    </row>
    <row r="167">
      <c r="A167" t="inlineStr">
        <is>
          <t>H166</t>
        </is>
      </c>
      <c r="B167" t="inlineStr">
        <is>
          <t>SYN Industrial &amp; Tech Manufacturing 01 Corp</t>
        </is>
      </c>
      <c r="C167" t="inlineStr">
        <is>
          <t>Industrial &amp; Tech Manufacturing</t>
        </is>
      </c>
      <c r="D167" t="inlineStr">
        <is>
          <t>Public corporate bond</t>
        </is>
      </c>
      <c r="E167" t="inlineStr">
        <is>
          <t>A</t>
        </is>
      </c>
      <c r="F167" t="n">
        <v>40.7</v>
      </c>
      <c r="G167" t="n">
        <v>1447</v>
      </c>
      <c r="H167" t="n">
        <v>890</v>
      </c>
    </row>
    <row r="168">
      <c r="A168" t="inlineStr">
        <is>
          <t>H167</t>
        </is>
      </c>
      <c r="B168" t="inlineStr">
        <is>
          <t>SYN Industrial &amp; Tech Manufacturing 02 Corp</t>
        </is>
      </c>
      <c r="C168" t="inlineStr">
        <is>
          <t>Industrial &amp; Tech Manufacturing</t>
        </is>
      </c>
      <c r="D168" t="inlineStr">
        <is>
          <t>Private placement</t>
        </is>
      </c>
      <c r="E168" t="inlineStr">
        <is>
          <t>AA</t>
        </is>
      </c>
      <c r="F168" t="n">
        <v>39.2</v>
      </c>
      <c r="G168" t="n">
        <v>1253</v>
      </c>
      <c r="H168" t="n">
        <v>1051</v>
      </c>
    </row>
    <row r="169">
      <c r="A169" t="inlineStr">
        <is>
          <t>H168</t>
        </is>
      </c>
      <c r="B169" t="inlineStr">
        <is>
          <t>SYN Industrial &amp; Tech Manufacturing 03 Corp</t>
        </is>
      </c>
      <c r="C169" t="inlineStr">
        <is>
          <t>Industrial &amp; Tech Manufacturing</t>
        </is>
      </c>
      <c r="D169" t="inlineStr">
        <is>
          <t>Private placement</t>
        </is>
      </c>
      <c r="E169" t="inlineStr">
        <is>
          <t>AA</t>
        </is>
      </c>
      <c r="F169" t="n">
        <v>36.7</v>
      </c>
      <c r="G169" t="n">
        <v>2803</v>
      </c>
    </row>
    <row r="170">
      <c r="A170" t="inlineStr">
        <is>
          <t>H169</t>
        </is>
      </c>
      <c r="B170" t="inlineStr">
        <is>
          <t>SYN Industrial &amp; Tech Manufacturing 04 Corp</t>
        </is>
      </c>
      <c r="C170" t="inlineStr">
        <is>
          <t>Industrial &amp; Tech Manufacturing</t>
        </is>
      </c>
      <c r="D170" t="inlineStr">
        <is>
          <t>Public corporate bond</t>
        </is>
      </c>
      <c r="E170" t="inlineStr">
        <is>
          <t>A</t>
        </is>
      </c>
      <c r="F170" t="n">
        <v>61.7</v>
      </c>
      <c r="G170" t="n">
        <v>5040</v>
      </c>
    </row>
    <row r="171">
      <c r="A171" t="inlineStr">
        <is>
          <t>H170</t>
        </is>
      </c>
      <c r="B171" t="inlineStr">
        <is>
          <t>SYN Industrial &amp; Tech Manufacturing 05 Corp</t>
        </is>
      </c>
      <c r="C171" t="inlineStr">
        <is>
          <t>Industrial &amp; Tech Manufacturing</t>
        </is>
      </c>
      <c r="D171" t="inlineStr">
        <is>
          <t>Public corporate bond</t>
        </is>
      </c>
      <c r="E171" t="inlineStr">
        <is>
          <t>BBB</t>
        </is>
      </c>
      <c r="F171" t="n">
        <v>62</v>
      </c>
      <c r="G171" t="n">
        <v>10349</v>
      </c>
    </row>
    <row r="172">
      <c r="A172" t="inlineStr">
        <is>
          <t>H171</t>
        </is>
      </c>
      <c r="B172" t="inlineStr">
        <is>
          <t>SYN Industrial &amp; Tech Manufacturing 06 Corp</t>
        </is>
      </c>
      <c r="C172" t="inlineStr">
        <is>
          <t>Industrial &amp; Tech Manufacturing</t>
        </is>
      </c>
      <c r="D172" t="inlineStr">
        <is>
          <t>Public corporate bond</t>
        </is>
      </c>
      <c r="E172" t="inlineStr">
        <is>
          <t>A</t>
        </is>
      </c>
      <c r="F172" t="n">
        <v>30.6</v>
      </c>
      <c r="G172" t="n">
        <v>6471</v>
      </c>
    </row>
    <row r="173">
      <c r="A173" t="inlineStr">
        <is>
          <t>H172</t>
        </is>
      </c>
      <c r="B173" t="inlineStr">
        <is>
          <t>SYN Industrial &amp; Tech Manufacturing 07 Corp</t>
        </is>
      </c>
      <c r="C173" t="inlineStr">
        <is>
          <t>Industrial &amp; Tech Manufacturing</t>
        </is>
      </c>
      <c r="D173" t="inlineStr">
        <is>
          <t>Private placement</t>
        </is>
      </c>
      <c r="E173" t="inlineStr">
        <is>
          <t>A</t>
        </is>
      </c>
      <c r="F173" t="n">
        <v>22.6</v>
      </c>
      <c r="G173" t="n">
        <v>2694</v>
      </c>
    </row>
    <row r="174">
      <c r="A174" t="inlineStr">
        <is>
          <t>H173</t>
        </is>
      </c>
      <c r="B174" t="inlineStr">
        <is>
          <t>SYN Industrial &amp; Tech Manufacturing 08 Corp</t>
        </is>
      </c>
      <c r="C174" t="inlineStr">
        <is>
          <t>Industrial &amp; Tech Manufacturing</t>
        </is>
      </c>
      <c r="D174" t="inlineStr">
        <is>
          <t>Infrastructure debt</t>
        </is>
      </c>
      <c r="E174" t="inlineStr">
        <is>
          <t>BBB</t>
        </is>
      </c>
      <c r="F174" t="n">
        <v>18</v>
      </c>
      <c r="G174" t="n">
        <v>637</v>
      </c>
    </row>
    <row r="175">
      <c r="A175" t="inlineStr">
        <is>
          <t>H174</t>
        </is>
      </c>
      <c r="B175" t="inlineStr">
        <is>
          <t>SYN Industrial &amp; Tech Manufacturing 09 Corp</t>
        </is>
      </c>
      <c r="C175" t="inlineStr">
        <is>
          <t>Industrial &amp; Tech Manufacturing</t>
        </is>
      </c>
      <c r="D175" t="inlineStr">
        <is>
          <t>Infrastructure debt</t>
        </is>
      </c>
      <c r="E175" t="inlineStr">
        <is>
          <t>BBB</t>
        </is>
      </c>
      <c r="F175" t="n">
        <v>48.4</v>
      </c>
      <c r="G175" t="n">
        <v>7291</v>
      </c>
      <c r="H175" t="n">
        <v>4347</v>
      </c>
    </row>
    <row r="176">
      <c r="A176" t="inlineStr">
        <is>
          <t>H175</t>
        </is>
      </c>
      <c r="B176" t="inlineStr">
        <is>
          <t>SYN Retail &amp; Wholesale 01 Corp</t>
        </is>
      </c>
      <c r="C176" t="inlineStr">
        <is>
          <t>Retail &amp; Wholesale</t>
        </is>
      </c>
      <c r="D176" t="inlineStr">
        <is>
          <t>Public corporate bond</t>
        </is>
      </c>
      <c r="E176" t="inlineStr">
        <is>
          <t>A</t>
        </is>
      </c>
      <c r="F176" t="n">
        <v>89.40000000000001</v>
      </c>
      <c r="G176" t="n">
        <v>2823</v>
      </c>
    </row>
    <row r="177">
      <c r="A177" t="inlineStr">
        <is>
          <t>H176</t>
        </is>
      </c>
      <c r="B177" t="inlineStr">
        <is>
          <t>SYN Retail &amp; Wholesale 02 Corp</t>
        </is>
      </c>
      <c r="C177" t="inlineStr">
        <is>
          <t>Retail &amp; Wholesale</t>
        </is>
      </c>
      <c r="D177" t="inlineStr">
        <is>
          <t>Public corporate bond</t>
        </is>
      </c>
      <c r="E177" t="inlineStr">
        <is>
          <t>AA</t>
        </is>
      </c>
      <c r="F177" t="n">
        <v>15.7</v>
      </c>
      <c r="G177" t="n">
        <v>4260</v>
      </c>
      <c r="H177" t="n">
        <v>5409</v>
      </c>
    </row>
    <row r="178">
      <c r="A178" t="inlineStr">
        <is>
          <t>H177</t>
        </is>
      </c>
      <c r="B178" t="inlineStr">
        <is>
          <t>SYN Retail &amp; Wholesale 03 Corp</t>
        </is>
      </c>
      <c r="C178" t="inlineStr">
        <is>
          <t>Retail &amp; Wholesale</t>
        </is>
      </c>
      <c r="D178" t="inlineStr">
        <is>
          <t>Public corporate bond</t>
        </is>
      </c>
      <c r="E178" t="inlineStr">
        <is>
          <t>AA</t>
        </is>
      </c>
      <c r="F178" t="n">
        <v>36.4</v>
      </c>
      <c r="G178" t="n">
        <v>10491</v>
      </c>
      <c r="H178" t="n">
        <v>16043</v>
      </c>
    </row>
    <row r="179">
      <c r="A179" t="inlineStr">
        <is>
          <t>H178</t>
        </is>
      </c>
      <c r="B179" t="inlineStr">
        <is>
          <t>SYN Retail &amp; Wholesale 04 Corp</t>
        </is>
      </c>
      <c r="C179" t="inlineStr">
        <is>
          <t>Retail &amp; Wholesale</t>
        </is>
      </c>
      <c r="D179" t="inlineStr">
        <is>
          <t>Public corporate bond</t>
        </is>
      </c>
      <c r="E179" t="inlineStr">
        <is>
          <t>A</t>
        </is>
      </c>
      <c r="F179" t="n">
        <v>12.5</v>
      </c>
      <c r="G179" t="n">
        <v>1263</v>
      </c>
      <c r="H179" t="n">
        <v>1573</v>
      </c>
    </row>
    <row r="180">
      <c r="A180" t="inlineStr">
        <is>
          <t>H179</t>
        </is>
      </c>
      <c r="B180" t="inlineStr">
        <is>
          <t>SYN Retail &amp; Wholesale 05 Corp</t>
        </is>
      </c>
      <c r="C180" t="inlineStr">
        <is>
          <t>Retail &amp; Wholesale</t>
        </is>
      </c>
      <c r="D180" t="inlineStr">
        <is>
          <t>Public corporate bond</t>
        </is>
      </c>
      <c r="E180" t="inlineStr">
        <is>
          <t>BBB</t>
        </is>
      </c>
      <c r="F180" t="n">
        <v>41.4</v>
      </c>
      <c r="G180" t="n">
        <v>6049</v>
      </c>
    </row>
    <row r="181">
      <c r="A181" t="inlineStr">
        <is>
          <t>H180</t>
        </is>
      </c>
      <c r="B181" t="inlineStr">
        <is>
          <t>SYN Retail &amp; Wholesale 06 Corp</t>
        </is>
      </c>
      <c r="C181" t="inlineStr">
        <is>
          <t>Retail &amp; Wholesale</t>
        </is>
      </c>
      <c r="D181" t="inlineStr">
        <is>
          <t>Public corporate bond</t>
        </is>
      </c>
      <c r="E181" t="inlineStr">
        <is>
          <t>BBB</t>
        </is>
      </c>
      <c r="F181" t="n">
        <v>59.1</v>
      </c>
      <c r="G181" t="n">
        <v>3422</v>
      </c>
    </row>
    <row r="182">
      <c r="A182" t="inlineStr">
        <is>
          <t>H181</t>
        </is>
      </c>
      <c r="B182" t="inlineStr">
        <is>
          <t>SYN Retail &amp; Wholesale 07 Corp</t>
        </is>
      </c>
      <c r="C182" t="inlineStr">
        <is>
          <t>Retail &amp; Wholesale</t>
        </is>
      </c>
      <c r="D182" t="inlineStr">
        <is>
          <t>Private placement</t>
        </is>
      </c>
      <c r="E182" t="inlineStr">
        <is>
          <t>BBB</t>
        </is>
      </c>
      <c r="F182" t="n">
        <v>24.3</v>
      </c>
      <c r="G182" t="n">
        <v>4252</v>
      </c>
    </row>
    <row r="183">
      <c r="A183" t="inlineStr">
        <is>
          <t>H182</t>
        </is>
      </c>
      <c r="B183" t="inlineStr">
        <is>
          <t>SYN Retail &amp; Wholesale 08 Corp</t>
        </is>
      </c>
      <c r="C183" t="inlineStr">
        <is>
          <t>Retail &amp; Wholesale</t>
        </is>
      </c>
      <c r="D183" t="inlineStr">
        <is>
          <t>Private placement</t>
        </is>
      </c>
      <c r="E183" t="inlineStr">
        <is>
          <t>A</t>
        </is>
      </c>
      <c r="F183" t="n">
        <v>23.2</v>
      </c>
      <c r="G183" t="n">
        <v>2070</v>
      </c>
    </row>
    <row r="184">
      <c r="A184" t="inlineStr">
        <is>
          <t>H183</t>
        </is>
      </c>
      <c r="B184" t="inlineStr">
        <is>
          <t>SYN Retail &amp; Wholesale 09 Corp</t>
        </is>
      </c>
      <c r="C184" t="inlineStr">
        <is>
          <t>Retail &amp; Wholesale</t>
        </is>
      </c>
      <c r="D184" t="inlineStr">
        <is>
          <t>Private placement</t>
        </is>
      </c>
      <c r="E184" t="inlineStr">
        <is>
          <t>BBB</t>
        </is>
      </c>
      <c r="F184" t="n">
        <v>34.4</v>
      </c>
      <c r="G184" t="n">
        <v>2626</v>
      </c>
    </row>
    <row r="185">
      <c r="A185" t="inlineStr">
        <is>
          <t>H184</t>
        </is>
      </c>
      <c r="B185" t="inlineStr">
        <is>
          <t>SYN Retail &amp; Wholesale 10 Corp</t>
        </is>
      </c>
      <c r="C185" t="inlineStr">
        <is>
          <t>Retail &amp; Wholesale</t>
        </is>
      </c>
      <c r="D185" t="inlineStr">
        <is>
          <t>Private placement</t>
        </is>
      </c>
      <c r="E185" t="inlineStr">
        <is>
          <t>BBB</t>
        </is>
      </c>
      <c r="F185" t="n">
        <v>22.7</v>
      </c>
      <c r="G185" t="n">
        <v>1069</v>
      </c>
      <c r="H185" t="n">
        <v>1375</v>
      </c>
    </row>
    <row r="186">
      <c r="A186" t="inlineStr">
        <is>
          <t>H185</t>
        </is>
      </c>
      <c r="B186" t="inlineStr">
        <is>
          <t>SYN Retail &amp; Wholesale 11 Corp</t>
        </is>
      </c>
      <c r="C186" t="inlineStr">
        <is>
          <t>Retail &amp; Wholesale</t>
        </is>
      </c>
      <c r="D186" t="inlineStr">
        <is>
          <t>Public corporate bond</t>
        </is>
      </c>
      <c r="E186" t="inlineStr">
        <is>
          <t>BBB</t>
        </is>
      </c>
      <c r="F186" t="n">
        <v>95</v>
      </c>
      <c r="G186" t="n">
        <v>5221</v>
      </c>
    </row>
    <row r="187">
      <c r="A187" t="inlineStr">
        <is>
          <t>H186</t>
        </is>
      </c>
      <c r="B187" t="inlineStr">
        <is>
          <t>SYN Retail &amp; Wholesale 12 Corp</t>
        </is>
      </c>
      <c r="C187" t="inlineStr">
        <is>
          <t>Retail &amp; Wholesale</t>
        </is>
      </c>
      <c r="D187" t="inlineStr">
        <is>
          <t>Public corporate bond</t>
        </is>
      </c>
      <c r="E187" t="inlineStr">
        <is>
          <t>A</t>
        </is>
      </c>
      <c r="F187" t="n">
        <v>59.5</v>
      </c>
      <c r="G187" t="n">
        <v>2064</v>
      </c>
      <c r="H187" t="n">
        <v>2674</v>
      </c>
    </row>
    <row r="188">
      <c r="A188" t="inlineStr">
        <is>
          <t>H187</t>
        </is>
      </c>
      <c r="B188" t="inlineStr">
        <is>
          <t>SYN Retail &amp; Wholesale 13 Corp</t>
        </is>
      </c>
      <c r="C188" t="inlineStr">
        <is>
          <t>Retail &amp; Wholesale</t>
        </is>
      </c>
      <c r="D188" t="inlineStr">
        <is>
          <t>Public corporate bond</t>
        </is>
      </c>
      <c r="E188" t="inlineStr">
        <is>
          <t>BBB</t>
        </is>
      </c>
      <c r="F188" t="n">
        <v>17.4</v>
      </c>
      <c r="G188" t="n">
        <v>584</v>
      </c>
    </row>
    <row r="189">
      <c r="A189" t="inlineStr">
        <is>
          <t>H188</t>
        </is>
      </c>
      <c r="B189" t="inlineStr">
        <is>
          <t>SYN Retail &amp; Wholesale 14 Corp</t>
        </is>
      </c>
      <c r="C189" t="inlineStr">
        <is>
          <t>Retail &amp; Wholesale</t>
        </is>
      </c>
      <c r="D189" t="inlineStr">
        <is>
          <t>Infrastructure debt</t>
        </is>
      </c>
      <c r="E189" t="inlineStr">
        <is>
          <t>AA</t>
        </is>
      </c>
      <c r="F189" t="n">
        <v>43.2</v>
      </c>
      <c r="G189" t="n">
        <v>2822</v>
      </c>
    </row>
    <row r="190">
      <c r="A190" t="inlineStr">
        <is>
          <t>H189</t>
        </is>
      </c>
      <c r="B190" t="inlineStr">
        <is>
          <t>SYN Retail &amp; Wholesale 15 Corp</t>
        </is>
      </c>
      <c r="C190" t="inlineStr">
        <is>
          <t>Retail &amp; Wholesale</t>
        </is>
      </c>
      <c r="D190" t="inlineStr">
        <is>
          <t>Private placement</t>
        </is>
      </c>
      <c r="E190" t="inlineStr">
        <is>
          <t>A</t>
        </is>
      </c>
      <c r="F190" t="n">
        <v>26</v>
      </c>
      <c r="G190" t="n">
        <v>3335</v>
      </c>
    </row>
    <row r="191">
      <c r="A191" t="inlineStr">
        <is>
          <t>H190</t>
        </is>
      </c>
      <c r="B191" t="inlineStr">
        <is>
          <t>SYN Telecom &amp; Media 01 Corp</t>
        </is>
      </c>
      <c r="C191" t="inlineStr">
        <is>
          <t>Telecom &amp; Media</t>
        </is>
      </c>
      <c r="D191" t="inlineStr">
        <is>
          <t>Public corporate bond</t>
        </is>
      </c>
      <c r="E191" t="inlineStr">
        <is>
          <t>BBB</t>
        </is>
      </c>
      <c r="F191" t="n">
        <v>70.3</v>
      </c>
      <c r="G191" t="n">
        <v>18715</v>
      </c>
    </row>
    <row r="192">
      <c r="A192" t="inlineStr">
        <is>
          <t>H191</t>
        </is>
      </c>
      <c r="B192" t="inlineStr">
        <is>
          <t>SYN Telecom &amp; Media 02 Corp</t>
        </is>
      </c>
      <c r="C192" t="inlineStr">
        <is>
          <t>Telecom &amp; Media</t>
        </is>
      </c>
      <c r="D192" t="inlineStr">
        <is>
          <t>Public corporate bond</t>
        </is>
      </c>
      <c r="E192" t="inlineStr">
        <is>
          <t>BBB</t>
        </is>
      </c>
      <c r="F192" t="n">
        <v>55.7</v>
      </c>
      <c r="G192" t="n">
        <v>1832</v>
      </c>
      <c r="H192" t="n">
        <v>926</v>
      </c>
    </row>
    <row r="193">
      <c r="A193" t="inlineStr">
        <is>
          <t>H192</t>
        </is>
      </c>
      <c r="B193" t="inlineStr">
        <is>
          <t>SYN Telecom &amp; Media 03 Corp</t>
        </is>
      </c>
      <c r="C193" t="inlineStr">
        <is>
          <t>Telecom &amp; Media</t>
        </is>
      </c>
      <c r="D193" t="inlineStr">
        <is>
          <t>Public corporate bond</t>
        </is>
      </c>
      <c r="E193" t="inlineStr">
        <is>
          <t>A</t>
        </is>
      </c>
      <c r="F193" t="n">
        <v>87.59999999999999</v>
      </c>
      <c r="G193" t="n">
        <v>3431</v>
      </c>
    </row>
    <row r="194">
      <c r="A194" t="inlineStr">
        <is>
          <t>H193</t>
        </is>
      </c>
      <c r="B194" t="inlineStr">
        <is>
          <t>SYN Telecom &amp; Media 04 Corp</t>
        </is>
      </c>
      <c r="C194" t="inlineStr">
        <is>
          <t>Telecom &amp; Media</t>
        </is>
      </c>
      <c r="D194" t="inlineStr">
        <is>
          <t>Public corporate bond</t>
        </is>
      </c>
      <c r="E194" t="inlineStr">
        <is>
          <t>BBB</t>
        </is>
      </c>
      <c r="F194" t="n">
        <v>69.8</v>
      </c>
      <c r="G194" t="n">
        <v>18259</v>
      </c>
    </row>
    <row r="195">
      <c r="A195" t="inlineStr">
        <is>
          <t>H194</t>
        </is>
      </c>
      <c r="B195" t="inlineStr">
        <is>
          <t>SYN Telecom &amp; Media 05 Corp</t>
        </is>
      </c>
      <c r="C195" t="inlineStr">
        <is>
          <t>Telecom &amp; Media</t>
        </is>
      </c>
      <c r="D195" t="inlineStr">
        <is>
          <t>Private placement</t>
        </is>
      </c>
      <c r="E195" t="inlineStr">
        <is>
          <t>BBB</t>
        </is>
      </c>
      <c r="F195" t="n">
        <v>19.7</v>
      </c>
      <c r="G195" t="n">
        <v>7022</v>
      </c>
      <c r="H195" t="n">
        <v>2404</v>
      </c>
    </row>
    <row r="196">
      <c r="A196" t="inlineStr">
        <is>
          <t>H195</t>
        </is>
      </c>
      <c r="B196" t="inlineStr">
        <is>
          <t>SYN Telecom &amp; Media 06 Corp</t>
        </is>
      </c>
      <c r="C196" t="inlineStr">
        <is>
          <t>Telecom &amp; Media</t>
        </is>
      </c>
      <c r="D196" t="inlineStr">
        <is>
          <t>Private placement</t>
        </is>
      </c>
      <c r="E196" t="inlineStr">
        <is>
          <t>A</t>
        </is>
      </c>
      <c r="F196" t="n">
        <v>42.6</v>
      </c>
      <c r="G196" t="n">
        <v>12948</v>
      </c>
    </row>
    <row r="197">
      <c r="A197" t="inlineStr">
        <is>
          <t>H196</t>
        </is>
      </c>
      <c r="B197" t="inlineStr">
        <is>
          <t>SYN Telecom &amp; Media 07 Corp</t>
        </is>
      </c>
      <c r="C197" t="inlineStr">
        <is>
          <t>Telecom &amp; Media</t>
        </is>
      </c>
      <c r="D197" t="inlineStr">
        <is>
          <t>Public corporate bond</t>
        </is>
      </c>
      <c r="E197" t="inlineStr">
        <is>
          <t>AA</t>
        </is>
      </c>
      <c r="F197" t="n">
        <v>26</v>
      </c>
      <c r="G197" t="n">
        <v>782</v>
      </c>
      <c r="H197" t="n">
        <v>344</v>
      </c>
    </row>
    <row r="198">
      <c r="A198" t="inlineStr">
        <is>
          <t>H197</t>
        </is>
      </c>
      <c r="B198" t="inlineStr">
        <is>
          <t>SYN Telecom &amp; Media 08 Corp</t>
        </is>
      </c>
      <c r="C198" t="inlineStr">
        <is>
          <t>Telecom &amp; Media</t>
        </is>
      </c>
      <c r="D198" t="inlineStr">
        <is>
          <t>Public corporate bond</t>
        </is>
      </c>
      <c r="E198" t="inlineStr">
        <is>
          <t>BBB</t>
        </is>
      </c>
      <c r="F198" t="n">
        <v>32.2</v>
      </c>
      <c r="G198" t="n">
        <v>822</v>
      </c>
    </row>
    <row r="199">
      <c r="A199" t="inlineStr">
        <is>
          <t>H198</t>
        </is>
      </c>
      <c r="B199" t="inlineStr">
        <is>
          <t>SYN Telecom &amp; Media 09 Corp</t>
        </is>
      </c>
      <c r="C199" t="inlineStr">
        <is>
          <t>Telecom &amp; Media</t>
        </is>
      </c>
      <c r="D199" t="inlineStr">
        <is>
          <t>Private placement</t>
        </is>
      </c>
      <c r="E199" t="inlineStr">
        <is>
          <t>AAA</t>
        </is>
      </c>
      <c r="F199" t="n">
        <v>19.7</v>
      </c>
      <c r="G199" t="n">
        <v>582</v>
      </c>
      <c r="H199" t="n">
        <v>219</v>
      </c>
    </row>
    <row r="200">
      <c r="A200" t="inlineStr">
        <is>
          <t>H199</t>
        </is>
      </c>
      <c r="B200" t="inlineStr">
        <is>
          <t>SYN Telecom &amp; Media 10 Corp</t>
        </is>
      </c>
      <c r="C200" t="inlineStr">
        <is>
          <t>Telecom &amp; Media</t>
        </is>
      </c>
      <c r="D200" t="inlineStr">
        <is>
          <t>Public corporate bond</t>
        </is>
      </c>
      <c r="E200" t="inlineStr">
        <is>
          <t>BBB</t>
        </is>
      </c>
      <c r="F200" t="n">
        <v>50.8</v>
      </c>
      <c r="G200" t="n">
        <v>1827</v>
      </c>
      <c r="H200" t="n">
        <v>1062</v>
      </c>
    </row>
    <row r="201">
      <c r="A201" t="inlineStr">
        <is>
          <t>H200</t>
        </is>
      </c>
      <c r="B201" t="inlineStr">
        <is>
          <t>SYN Telecom &amp; Media 11 Corp</t>
        </is>
      </c>
      <c r="C201" t="inlineStr">
        <is>
          <t>Telecom &amp; Media</t>
        </is>
      </c>
      <c r="D201" t="inlineStr">
        <is>
          <t>Private placement</t>
        </is>
      </c>
      <c r="E201" t="inlineStr">
        <is>
          <t>A</t>
        </is>
      </c>
      <c r="F201" t="n">
        <v>25.2</v>
      </c>
      <c r="G201" t="n">
        <v>1770</v>
      </c>
      <c r="H201" t="n">
        <v>610</v>
      </c>
    </row>
    <row r="202">
      <c r="A202" t="inlineStr">
        <is>
          <t>H201</t>
        </is>
      </c>
      <c r="B202" t="inlineStr">
        <is>
          <t>SYN Telecom &amp; Media 12 Corp</t>
        </is>
      </c>
      <c r="C202" t="inlineStr">
        <is>
          <t>Telecom &amp; Media</t>
        </is>
      </c>
      <c r="D202" t="inlineStr">
        <is>
          <t>Private placement</t>
        </is>
      </c>
      <c r="E202" t="inlineStr">
        <is>
          <t>BBB</t>
        </is>
      </c>
      <c r="F202" t="n">
        <v>76.7</v>
      </c>
      <c r="G202" t="n">
        <v>5103</v>
      </c>
    </row>
    <row r="203">
      <c r="A203" t="inlineStr">
        <is>
          <t>H202</t>
        </is>
      </c>
      <c r="B203" t="inlineStr">
        <is>
          <t>SYN Telecom &amp; Media 13 Corp</t>
        </is>
      </c>
      <c r="C203" t="inlineStr">
        <is>
          <t>Telecom &amp; Media</t>
        </is>
      </c>
      <c r="D203" t="inlineStr">
        <is>
          <t>Public corporate bond</t>
        </is>
      </c>
      <c r="E203" t="inlineStr">
        <is>
          <t>AA</t>
        </is>
      </c>
      <c r="F203" t="n">
        <v>5.4</v>
      </c>
      <c r="G203" t="n">
        <v>948</v>
      </c>
    </row>
    <row r="204">
      <c r="A204" t="inlineStr">
        <is>
          <t>H203</t>
        </is>
      </c>
      <c r="B204" t="inlineStr">
        <is>
          <t>SYN Telecom &amp; Media 14 Corp</t>
        </is>
      </c>
      <c r="C204" t="inlineStr">
        <is>
          <t>Telecom &amp; Media</t>
        </is>
      </c>
      <c r="D204" t="inlineStr">
        <is>
          <t>Public corporate bond</t>
        </is>
      </c>
      <c r="E204" t="inlineStr">
        <is>
          <t>BBB</t>
        </is>
      </c>
      <c r="F204" t="n">
        <v>19</v>
      </c>
      <c r="G204" t="n">
        <v>944</v>
      </c>
    </row>
    <row r="205">
      <c r="A205" t="inlineStr">
        <is>
          <t>H204</t>
        </is>
      </c>
      <c r="B205" t="inlineStr">
        <is>
          <t>SYN Telecom &amp; Media 15 Corp</t>
        </is>
      </c>
      <c r="C205" t="inlineStr">
        <is>
          <t>Telecom &amp; Media</t>
        </is>
      </c>
      <c r="D205" t="inlineStr">
        <is>
          <t>Public corporate bond</t>
        </is>
      </c>
      <c r="E205" t="inlineStr">
        <is>
          <t>A</t>
        </is>
      </c>
      <c r="F205" t="n">
        <v>14.6</v>
      </c>
      <c r="G205" t="n">
        <v>2234</v>
      </c>
      <c r="H205" t="n">
        <v>976</v>
      </c>
    </row>
    <row r="206">
      <c r="A206" t="inlineStr">
        <is>
          <t>H205</t>
        </is>
      </c>
      <c r="B206" t="inlineStr">
        <is>
          <t>SYN Telecom &amp; Media 16 Corp</t>
        </is>
      </c>
      <c r="C206" t="inlineStr">
        <is>
          <t>Telecom &amp; Media</t>
        </is>
      </c>
      <c r="D206" t="inlineStr">
        <is>
          <t>Private placement</t>
        </is>
      </c>
      <c r="E206" t="inlineStr">
        <is>
          <t>A</t>
        </is>
      </c>
      <c r="F206" t="n">
        <v>27.9</v>
      </c>
      <c r="G206" t="n">
        <v>2167</v>
      </c>
    </row>
    <row r="207">
      <c r="A207" t="inlineStr">
        <is>
          <t>H206</t>
        </is>
      </c>
      <c r="B207" t="inlineStr">
        <is>
          <t>SYN Telecom &amp; Media 17 Corp</t>
        </is>
      </c>
      <c r="C207" t="inlineStr">
        <is>
          <t>Telecom &amp; Media</t>
        </is>
      </c>
      <c r="D207" t="inlineStr">
        <is>
          <t>Private placement</t>
        </is>
      </c>
      <c r="E207" t="inlineStr">
        <is>
          <t>A</t>
        </is>
      </c>
      <c r="F207" t="n">
        <v>67.7</v>
      </c>
      <c r="G207" t="n">
        <v>3333</v>
      </c>
    </row>
    <row r="208">
      <c r="A208" t="inlineStr">
        <is>
          <t>H207</t>
        </is>
      </c>
      <c r="B208" t="inlineStr">
        <is>
          <t>SYN Telecom &amp; Media 18 Corp</t>
        </is>
      </c>
      <c r="C208" t="inlineStr">
        <is>
          <t>Telecom &amp; Media</t>
        </is>
      </c>
      <c r="D208" t="inlineStr">
        <is>
          <t>Private placement</t>
        </is>
      </c>
      <c r="E208" t="inlineStr">
        <is>
          <t>AA</t>
        </is>
      </c>
      <c r="F208" t="n">
        <v>37.9</v>
      </c>
      <c r="G208" t="n">
        <v>1194</v>
      </c>
    </row>
    <row r="209">
      <c r="A209" t="inlineStr">
        <is>
          <t>H208</t>
        </is>
      </c>
      <c r="B209" t="inlineStr">
        <is>
          <t>SYN Telecom &amp; Media 19 Corp</t>
        </is>
      </c>
      <c r="C209" t="inlineStr">
        <is>
          <t>Telecom &amp; Media</t>
        </is>
      </c>
      <c r="D209" t="inlineStr">
        <is>
          <t>Private placement</t>
        </is>
      </c>
      <c r="E209" t="inlineStr">
        <is>
          <t>A</t>
        </is>
      </c>
      <c r="F209" t="n">
        <v>12.9</v>
      </c>
      <c r="G209" t="n">
        <v>1989</v>
      </c>
    </row>
    <row r="210">
      <c r="A210" t="inlineStr">
        <is>
          <t>H209</t>
        </is>
      </c>
      <c r="B210" t="inlineStr">
        <is>
          <t>SYN Telecom &amp; Media 20 Corp</t>
        </is>
      </c>
      <c r="C210" t="inlineStr">
        <is>
          <t>Telecom &amp; Media</t>
        </is>
      </c>
      <c r="D210" t="inlineStr">
        <is>
          <t>Private placement</t>
        </is>
      </c>
      <c r="E210" t="inlineStr">
        <is>
          <t>A</t>
        </is>
      </c>
      <c r="F210" t="n">
        <v>54.5</v>
      </c>
      <c r="G210" t="n">
        <v>3244</v>
      </c>
    </row>
    <row r="211">
      <c r="A211" t="inlineStr">
        <is>
          <t>H210</t>
        </is>
      </c>
      <c r="B211" t="inlineStr">
        <is>
          <t>SYN Telecom &amp; Media 21 Corp</t>
        </is>
      </c>
      <c r="C211" t="inlineStr">
        <is>
          <t>Telecom &amp; Media</t>
        </is>
      </c>
      <c r="D211" t="inlineStr">
        <is>
          <t>Public corporate bond</t>
        </is>
      </c>
      <c r="E211" t="inlineStr">
        <is>
          <t>A</t>
        </is>
      </c>
      <c r="F211" t="n">
        <v>23.9</v>
      </c>
      <c r="G211" t="n">
        <v>1763</v>
      </c>
    </row>
    <row r="212">
      <c r="A212" t="inlineStr">
        <is>
          <t>H211</t>
        </is>
      </c>
      <c r="B212" t="inlineStr">
        <is>
          <t>SYN Banks &amp; Insurance 01 Corp</t>
        </is>
      </c>
      <c r="C212" t="inlineStr">
        <is>
          <t>Banks &amp; Insurance</t>
        </is>
      </c>
      <c r="D212" t="inlineStr">
        <is>
          <t>Public corporate bond</t>
        </is>
      </c>
      <c r="E212" t="inlineStr">
        <is>
          <t>A</t>
        </is>
      </c>
      <c r="F212" t="n">
        <v>44.4</v>
      </c>
      <c r="G212" t="n">
        <v>1334</v>
      </c>
    </row>
    <row r="213">
      <c r="A213" t="inlineStr">
        <is>
          <t>H212</t>
        </is>
      </c>
      <c r="B213" t="inlineStr">
        <is>
          <t>SYN Banks &amp; Insurance 02 Corp</t>
        </is>
      </c>
      <c r="C213" t="inlineStr">
        <is>
          <t>Banks &amp; Insurance</t>
        </is>
      </c>
      <c r="D213" t="inlineStr">
        <is>
          <t>Public corporate bond</t>
        </is>
      </c>
      <c r="E213" t="inlineStr">
        <is>
          <t>BBB</t>
        </is>
      </c>
      <c r="F213" t="n">
        <v>49.6</v>
      </c>
      <c r="G213" t="n">
        <v>3109</v>
      </c>
    </row>
    <row r="214">
      <c r="A214" t="inlineStr">
        <is>
          <t>H213</t>
        </is>
      </c>
      <c r="B214" t="inlineStr">
        <is>
          <t>SYN Banks &amp; Insurance 03 Corp</t>
        </is>
      </c>
      <c r="C214" t="inlineStr">
        <is>
          <t>Banks &amp; Insurance</t>
        </is>
      </c>
      <c r="D214" t="inlineStr">
        <is>
          <t>Private placement</t>
        </is>
      </c>
      <c r="E214" t="inlineStr">
        <is>
          <t>A</t>
        </is>
      </c>
      <c r="F214" t="n">
        <v>48.6</v>
      </c>
      <c r="G214" t="n">
        <v>2403</v>
      </c>
    </row>
    <row r="215">
      <c r="A215" t="inlineStr">
        <is>
          <t>H214</t>
        </is>
      </c>
      <c r="B215" t="inlineStr">
        <is>
          <t>SYN Banks &amp; Insurance 04 Corp</t>
        </is>
      </c>
      <c r="C215" t="inlineStr">
        <is>
          <t>Banks &amp; Insurance</t>
        </is>
      </c>
      <c r="D215" t="inlineStr">
        <is>
          <t>Public corporate bond</t>
        </is>
      </c>
      <c r="E215" t="inlineStr">
        <is>
          <t>A</t>
        </is>
      </c>
      <c r="F215" t="n">
        <v>137.2</v>
      </c>
      <c r="G215" t="n">
        <v>3529</v>
      </c>
    </row>
    <row r="216">
      <c r="A216" t="inlineStr">
        <is>
          <t>H215</t>
        </is>
      </c>
      <c r="B216" t="inlineStr">
        <is>
          <t>SYN Banks &amp; Insurance 05 Corp</t>
        </is>
      </c>
      <c r="C216" t="inlineStr">
        <is>
          <t>Banks &amp; Insurance</t>
        </is>
      </c>
      <c r="D216" t="inlineStr">
        <is>
          <t>Private placement</t>
        </is>
      </c>
      <c r="E216" t="inlineStr">
        <is>
          <t>AA</t>
        </is>
      </c>
      <c r="F216" t="n">
        <v>25</v>
      </c>
      <c r="G216" t="n">
        <v>1937</v>
      </c>
    </row>
    <row r="217">
      <c r="A217" t="inlineStr">
        <is>
          <t>H216</t>
        </is>
      </c>
      <c r="B217" t="inlineStr">
        <is>
          <t>SYN Banks &amp; Insurance 06 Corp</t>
        </is>
      </c>
      <c r="C217" t="inlineStr">
        <is>
          <t>Banks &amp; Insurance</t>
        </is>
      </c>
      <c r="D217" t="inlineStr">
        <is>
          <t>Private placement</t>
        </is>
      </c>
      <c r="E217" t="inlineStr">
        <is>
          <t>BBB</t>
        </is>
      </c>
      <c r="F217" t="n">
        <v>37.1</v>
      </c>
      <c r="G217" t="n">
        <v>981</v>
      </c>
      <c r="H217" t="n">
        <v>185</v>
      </c>
    </row>
    <row r="218">
      <c r="A218" t="inlineStr">
        <is>
          <t>H217</t>
        </is>
      </c>
      <c r="B218" t="inlineStr">
        <is>
          <t>SYN Banks &amp; Insurance 07 Corp</t>
        </is>
      </c>
      <c r="C218" t="inlineStr">
        <is>
          <t>Banks &amp; Insurance</t>
        </is>
      </c>
      <c r="D218" t="inlineStr">
        <is>
          <t>Public corporate bond</t>
        </is>
      </c>
      <c r="E218" t="inlineStr">
        <is>
          <t>BBB</t>
        </is>
      </c>
      <c r="F218" t="n">
        <v>17.8</v>
      </c>
      <c r="G218" t="n">
        <v>1268</v>
      </c>
    </row>
    <row r="219">
      <c r="A219" t="inlineStr">
        <is>
          <t>H218</t>
        </is>
      </c>
      <c r="B219" t="inlineStr">
        <is>
          <t>SYN Banks &amp; Insurance 08 Corp</t>
        </is>
      </c>
      <c r="C219" t="inlineStr">
        <is>
          <t>Banks &amp; Insurance</t>
        </is>
      </c>
      <c r="D219" t="inlineStr">
        <is>
          <t>Infrastructure debt</t>
        </is>
      </c>
      <c r="E219" t="inlineStr">
        <is>
          <t>A</t>
        </is>
      </c>
      <c r="F219" t="n">
        <v>40.3</v>
      </c>
      <c r="G219" t="n">
        <v>6869</v>
      </c>
    </row>
    <row r="220">
      <c r="A220" t="inlineStr">
        <is>
          <t>H219</t>
        </is>
      </c>
      <c r="B220" t="inlineStr">
        <is>
          <t>SYN Banks &amp; Insurance 09 Corp</t>
        </is>
      </c>
      <c r="C220" t="inlineStr">
        <is>
          <t>Banks &amp; Insurance</t>
        </is>
      </c>
      <c r="D220" t="inlineStr">
        <is>
          <t>Private placement</t>
        </is>
      </c>
      <c r="E220" t="inlineStr">
        <is>
          <t>BBB</t>
        </is>
      </c>
      <c r="F220" t="n">
        <v>42.9</v>
      </c>
      <c r="G220" t="n">
        <v>5133</v>
      </c>
      <c r="H220" t="n">
        <v>619</v>
      </c>
    </row>
    <row r="221">
      <c r="A221" t="inlineStr">
        <is>
          <t>H220</t>
        </is>
      </c>
      <c r="B221" t="inlineStr">
        <is>
          <t>SYN Banks &amp; Insurance 10 Corp</t>
        </is>
      </c>
      <c r="C221" t="inlineStr">
        <is>
          <t>Banks &amp; Insurance</t>
        </is>
      </c>
      <c r="D221" t="inlineStr">
        <is>
          <t>Public corporate bond</t>
        </is>
      </c>
      <c r="E221" t="inlineStr">
        <is>
          <t>AA</t>
        </is>
      </c>
      <c r="F221" t="n">
        <v>34.6</v>
      </c>
      <c r="G221" t="n">
        <v>2008</v>
      </c>
    </row>
    <row r="222">
      <c r="A222" t="inlineStr">
        <is>
          <t>H221</t>
        </is>
      </c>
      <c r="B222" t="inlineStr">
        <is>
          <t>SYN Banks &amp; Insurance 11 Corp</t>
        </is>
      </c>
      <c r="C222" t="inlineStr">
        <is>
          <t>Banks &amp; Insurance</t>
        </is>
      </c>
      <c r="D222" t="inlineStr">
        <is>
          <t>Public corporate bond</t>
        </is>
      </c>
      <c r="E222" t="inlineStr">
        <is>
          <t>BBB</t>
        </is>
      </c>
      <c r="F222" t="n">
        <v>48.3</v>
      </c>
      <c r="G222" t="n">
        <v>7923</v>
      </c>
      <c r="H222" t="n">
        <v>2400</v>
      </c>
    </row>
    <row r="223">
      <c r="A223" t="inlineStr">
        <is>
          <t>H222</t>
        </is>
      </c>
      <c r="B223" t="inlineStr">
        <is>
          <t>SYN Banks &amp; Insurance 12 Corp</t>
        </is>
      </c>
      <c r="C223" t="inlineStr">
        <is>
          <t>Banks &amp; Insurance</t>
        </is>
      </c>
      <c r="D223" t="inlineStr">
        <is>
          <t>Infrastructure debt</t>
        </is>
      </c>
      <c r="E223" t="inlineStr">
        <is>
          <t>BBB</t>
        </is>
      </c>
      <c r="F223" t="n">
        <v>38.5</v>
      </c>
      <c r="G223" t="n">
        <v>995</v>
      </c>
    </row>
    <row r="224">
      <c r="A224" t="inlineStr">
        <is>
          <t>H223</t>
        </is>
      </c>
      <c r="B224" t="inlineStr">
        <is>
          <t>SYN Banks &amp; Insurance 13 Corp</t>
        </is>
      </c>
      <c r="C224" t="inlineStr">
        <is>
          <t>Banks &amp; Insurance</t>
        </is>
      </c>
      <c r="D224" t="inlineStr">
        <is>
          <t>Public corporate bond</t>
        </is>
      </c>
      <c r="E224" t="inlineStr">
        <is>
          <t>BBB</t>
        </is>
      </c>
      <c r="F224" t="n">
        <v>68.40000000000001</v>
      </c>
      <c r="G224" t="n">
        <v>2831</v>
      </c>
      <c r="H224" t="n">
        <v>283</v>
      </c>
    </row>
    <row r="225">
      <c r="A225" t="inlineStr">
        <is>
          <t>H224</t>
        </is>
      </c>
      <c r="B225" t="inlineStr">
        <is>
          <t>SYN Banks &amp; Insurance 14 Corp</t>
        </is>
      </c>
      <c r="C225" t="inlineStr">
        <is>
          <t>Banks &amp; Insurance</t>
        </is>
      </c>
      <c r="D225" t="inlineStr">
        <is>
          <t>Private placement</t>
        </is>
      </c>
      <c r="E225" t="inlineStr">
        <is>
          <t>A</t>
        </is>
      </c>
      <c r="F225" t="n">
        <v>18.4</v>
      </c>
      <c r="G225" t="n">
        <v>1802</v>
      </c>
    </row>
    <row r="226">
      <c r="A226" t="inlineStr">
        <is>
          <t>H225</t>
        </is>
      </c>
      <c r="B226" t="inlineStr">
        <is>
          <t>SYN Banks &amp; Insurance 15 Corp</t>
        </is>
      </c>
      <c r="C226" t="inlineStr">
        <is>
          <t>Banks &amp; Insurance</t>
        </is>
      </c>
      <c r="D226" t="inlineStr">
        <is>
          <t>Public corporate bond</t>
        </is>
      </c>
      <c r="E226" t="inlineStr">
        <is>
          <t>BBB</t>
        </is>
      </c>
      <c r="F226" t="n">
        <v>7.2</v>
      </c>
      <c r="G226" t="n">
        <v>424</v>
      </c>
    </row>
    <row r="227">
      <c r="A227" t="inlineStr">
        <is>
          <t>H226</t>
        </is>
      </c>
      <c r="B227" t="inlineStr">
        <is>
          <t>SYN Banks &amp; Insurance 16 Corp</t>
        </is>
      </c>
      <c r="C227" t="inlineStr">
        <is>
          <t>Banks &amp; Insurance</t>
        </is>
      </c>
      <c r="D227" t="inlineStr">
        <is>
          <t>Public corporate bond</t>
        </is>
      </c>
      <c r="E227" t="inlineStr">
        <is>
          <t>A</t>
        </is>
      </c>
      <c r="F227" t="n">
        <v>34.6</v>
      </c>
      <c r="G227" t="n">
        <v>971</v>
      </c>
    </row>
    <row r="228">
      <c r="A228" t="inlineStr">
        <is>
          <t>H227</t>
        </is>
      </c>
      <c r="B228" t="inlineStr">
        <is>
          <t>SYN Banks &amp; Insurance 17 Corp</t>
        </is>
      </c>
      <c r="C228" t="inlineStr">
        <is>
          <t>Banks &amp; Insurance</t>
        </is>
      </c>
      <c r="D228" t="inlineStr">
        <is>
          <t>Public corporate bond</t>
        </is>
      </c>
      <c r="E228" t="inlineStr">
        <is>
          <t>A</t>
        </is>
      </c>
      <c r="F228" t="n">
        <v>62.6</v>
      </c>
      <c r="G228" t="n">
        <v>2102</v>
      </c>
    </row>
    <row r="229">
      <c r="A229" t="inlineStr">
        <is>
          <t>H228</t>
        </is>
      </c>
      <c r="B229" t="inlineStr">
        <is>
          <t>SYN Banks &amp; Insurance 18 Corp</t>
        </is>
      </c>
      <c r="C229" t="inlineStr">
        <is>
          <t>Banks &amp; Insurance</t>
        </is>
      </c>
      <c r="D229" t="inlineStr">
        <is>
          <t>Public corporate bond</t>
        </is>
      </c>
      <c r="E229" t="inlineStr">
        <is>
          <t>AA</t>
        </is>
      </c>
      <c r="F229" t="n">
        <v>69.2</v>
      </c>
      <c r="G229" t="n">
        <v>5619</v>
      </c>
      <c r="H229" t="n">
        <v>838</v>
      </c>
    </row>
    <row r="230">
      <c r="A230" t="inlineStr">
        <is>
          <t>H229</t>
        </is>
      </c>
      <c r="B230" t="inlineStr">
        <is>
          <t>SYN Banks &amp; Insurance 19 Corp</t>
        </is>
      </c>
      <c r="C230" t="inlineStr">
        <is>
          <t>Banks &amp; Insurance</t>
        </is>
      </c>
      <c r="D230" t="inlineStr">
        <is>
          <t>Public corporate bond</t>
        </is>
      </c>
      <c r="E230" t="inlineStr">
        <is>
          <t>A</t>
        </is>
      </c>
      <c r="F230" t="n">
        <v>10.5</v>
      </c>
      <c r="G230" t="n">
        <v>550</v>
      </c>
      <c r="H230" t="n">
        <v>93</v>
      </c>
    </row>
    <row r="231">
      <c r="A231" t="inlineStr">
        <is>
          <t>H230</t>
        </is>
      </c>
      <c r="B231" t="inlineStr">
        <is>
          <t>SYN Banks &amp; Insurance 20 Corp</t>
        </is>
      </c>
      <c r="C231" t="inlineStr">
        <is>
          <t>Banks &amp; Insurance</t>
        </is>
      </c>
      <c r="D231" t="inlineStr">
        <is>
          <t>Public corporate bond</t>
        </is>
      </c>
      <c r="E231" t="inlineStr">
        <is>
          <t>BBB</t>
        </is>
      </c>
      <c r="F231" t="n">
        <v>15.7</v>
      </c>
      <c r="G231" t="n">
        <v>1296</v>
      </c>
    </row>
    <row r="232">
      <c r="A232" t="inlineStr">
        <is>
          <t>H231</t>
        </is>
      </c>
      <c r="B232" t="inlineStr">
        <is>
          <t>SYN Banks &amp; Insurance 21 Corp</t>
        </is>
      </c>
      <c r="C232" t="inlineStr">
        <is>
          <t>Banks &amp; Insurance</t>
        </is>
      </c>
      <c r="D232" t="inlineStr">
        <is>
          <t>Public corporate bond</t>
        </is>
      </c>
      <c r="E232" t="inlineStr">
        <is>
          <t>BBB</t>
        </is>
      </c>
      <c r="F232" t="n">
        <v>101.7</v>
      </c>
      <c r="G232" t="n">
        <v>3196</v>
      </c>
    </row>
    <row r="233">
      <c r="A233" t="inlineStr">
        <is>
          <t>H232</t>
        </is>
      </c>
      <c r="B233" t="inlineStr">
        <is>
          <t>SYN Banks &amp; Insurance 22 Corp</t>
        </is>
      </c>
      <c r="C233" t="inlineStr">
        <is>
          <t>Banks &amp; Insurance</t>
        </is>
      </c>
      <c r="D233" t="inlineStr">
        <is>
          <t>Private placement</t>
        </is>
      </c>
      <c r="E233" t="inlineStr">
        <is>
          <t>BBB</t>
        </is>
      </c>
      <c r="F233" t="n">
        <v>83.7</v>
      </c>
      <c r="G233" t="n">
        <v>2887</v>
      </c>
    </row>
    <row r="234">
      <c r="A234" t="inlineStr">
        <is>
          <t>H233</t>
        </is>
      </c>
      <c r="B234" t="inlineStr">
        <is>
          <t>SYN Banks &amp; Insurance 23 Corp</t>
        </is>
      </c>
      <c r="C234" t="inlineStr">
        <is>
          <t>Banks &amp; Insurance</t>
        </is>
      </c>
      <c r="D234" t="inlineStr">
        <is>
          <t>Infrastructure debt</t>
        </is>
      </c>
      <c r="E234" t="inlineStr">
        <is>
          <t>BBB</t>
        </is>
      </c>
      <c r="F234" t="n">
        <v>54.9</v>
      </c>
      <c r="G234" t="n">
        <v>7586</v>
      </c>
      <c r="H234" t="n">
        <v>1092</v>
      </c>
    </row>
    <row r="235">
      <c r="A235" t="inlineStr">
        <is>
          <t>H234</t>
        </is>
      </c>
      <c r="B235" t="inlineStr">
        <is>
          <t>SYN Banks &amp; Insurance 24 Corp</t>
        </is>
      </c>
      <c r="C235" t="inlineStr">
        <is>
          <t>Banks &amp; Insurance</t>
        </is>
      </c>
      <c r="D235" t="inlineStr">
        <is>
          <t>Private placement</t>
        </is>
      </c>
      <c r="E235" t="inlineStr">
        <is>
          <t>A</t>
        </is>
      </c>
      <c r="F235" t="n">
        <v>38.6</v>
      </c>
      <c r="G235" t="n">
        <v>3421</v>
      </c>
      <c r="H235" t="n">
        <v>409</v>
      </c>
    </row>
    <row r="236">
      <c r="A236" t="inlineStr">
        <is>
          <t>H235</t>
        </is>
      </c>
      <c r="B236" t="inlineStr">
        <is>
          <t>SYN Banks &amp; Insurance 25 Corp</t>
        </is>
      </c>
      <c r="C236" t="inlineStr">
        <is>
          <t>Banks &amp; Insurance</t>
        </is>
      </c>
      <c r="D236" t="inlineStr">
        <is>
          <t>Private placement</t>
        </is>
      </c>
      <c r="E236" t="inlineStr">
        <is>
          <t>BBB</t>
        </is>
      </c>
      <c r="F236" t="n">
        <v>51.2</v>
      </c>
      <c r="G236" t="n">
        <v>7586</v>
      </c>
      <c r="H236" t="n">
        <v>1405</v>
      </c>
    </row>
    <row r="237">
      <c r="A237" t="inlineStr">
        <is>
          <t>H236</t>
        </is>
      </c>
      <c r="B237" t="inlineStr">
        <is>
          <t>SYN Banks &amp; Insurance 26 Corp</t>
        </is>
      </c>
      <c r="C237" t="inlineStr">
        <is>
          <t>Banks &amp; Insurance</t>
        </is>
      </c>
      <c r="D237" t="inlineStr">
        <is>
          <t>Private placement</t>
        </is>
      </c>
      <c r="E237" t="inlineStr">
        <is>
          <t>AA</t>
        </is>
      </c>
      <c r="F237" t="n">
        <v>12.4</v>
      </c>
      <c r="G237" t="n">
        <v>4595</v>
      </c>
    </row>
    <row r="238">
      <c r="A238" t="inlineStr">
        <is>
          <t>H237</t>
        </is>
      </c>
      <c r="B238" t="inlineStr">
        <is>
          <t>SYN Banks &amp; Insurance 27 Corp</t>
        </is>
      </c>
      <c r="C238" t="inlineStr">
        <is>
          <t>Banks &amp; Insurance</t>
        </is>
      </c>
      <c r="D238" t="inlineStr">
        <is>
          <t>Infrastructure debt</t>
        </is>
      </c>
      <c r="E238" t="inlineStr">
        <is>
          <t>BBB</t>
        </is>
      </c>
      <c r="F238" t="n">
        <v>36.4</v>
      </c>
      <c r="G238" t="n">
        <v>945</v>
      </c>
      <c r="H238" t="n">
        <v>150</v>
      </c>
    </row>
    <row r="239">
      <c r="A239" t="inlineStr">
        <is>
          <t>H238</t>
        </is>
      </c>
      <c r="B239" t="inlineStr">
        <is>
          <t>SYN Banks &amp; Insurance 28 Corp</t>
        </is>
      </c>
      <c r="C239" t="inlineStr">
        <is>
          <t>Banks &amp; Insurance</t>
        </is>
      </c>
      <c r="D239" t="inlineStr">
        <is>
          <t>Public corporate bond</t>
        </is>
      </c>
      <c r="E239" t="inlineStr">
        <is>
          <t>A</t>
        </is>
      </c>
      <c r="F239" t="n">
        <v>17.8</v>
      </c>
      <c r="G239" t="n">
        <v>979</v>
      </c>
    </row>
    <row r="240">
      <c r="A240" t="inlineStr">
        <is>
          <t>H239</t>
        </is>
      </c>
      <c r="B240" t="inlineStr">
        <is>
          <t>SYN Banks &amp; Insurance 29 Corp</t>
        </is>
      </c>
      <c r="C240" t="inlineStr">
        <is>
          <t>Banks &amp; Insurance</t>
        </is>
      </c>
      <c r="D240" t="inlineStr">
        <is>
          <t>Public corporate bond</t>
        </is>
      </c>
      <c r="E240" t="inlineStr">
        <is>
          <t>A</t>
        </is>
      </c>
      <c r="F240" t="n">
        <v>37.5</v>
      </c>
      <c r="G240" t="n">
        <v>1509</v>
      </c>
    </row>
    <row r="241">
      <c r="A241" t="inlineStr">
        <is>
          <t>H240</t>
        </is>
      </c>
      <c r="B241" t="inlineStr">
        <is>
          <t>SYN Banks &amp; Insurance 30 Corp</t>
        </is>
      </c>
      <c r="C241" t="inlineStr">
        <is>
          <t>Banks &amp; Insurance</t>
        </is>
      </c>
      <c r="D241" t="inlineStr">
        <is>
          <t>Public corporate bond</t>
        </is>
      </c>
      <c r="E241" t="inlineStr">
        <is>
          <t>A</t>
        </is>
      </c>
      <c r="F241" t="n">
        <v>21.4</v>
      </c>
      <c r="G241" t="n">
        <v>1273</v>
      </c>
      <c r="H241" t="n">
        <v>221</v>
      </c>
    </row>
    <row r="242">
      <c r="A242" t="inlineStr">
        <is>
          <t>H241</t>
        </is>
      </c>
      <c r="B242" t="inlineStr">
        <is>
          <t>SYN Banks &amp; Insurance 31 Corp</t>
        </is>
      </c>
      <c r="C242" t="inlineStr">
        <is>
          <t>Banks &amp; Insurance</t>
        </is>
      </c>
      <c r="D242" t="inlineStr">
        <is>
          <t>Public corporate bond</t>
        </is>
      </c>
      <c r="E242" t="inlineStr">
        <is>
          <t>BBB</t>
        </is>
      </c>
      <c r="F242" t="n">
        <v>38.3</v>
      </c>
      <c r="G242" t="n">
        <v>2510</v>
      </c>
      <c r="H242" t="n">
        <v>331</v>
      </c>
    </row>
    <row r="243">
      <c r="A243" t="inlineStr">
        <is>
          <t>H242</t>
        </is>
      </c>
      <c r="B243" t="inlineStr">
        <is>
          <t>SYN Banks &amp; Insurance 32 Corp</t>
        </is>
      </c>
      <c r="C243" t="inlineStr">
        <is>
          <t>Banks &amp; Insurance</t>
        </is>
      </c>
      <c r="D243" t="inlineStr">
        <is>
          <t>Private placement</t>
        </is>
      </c>
      <c r="E243" t="inlineStr">
        <is>
          <t>BBB</t>
        </is>
      </c>
      <c r="F243" t="n">
        <v>18.1</v>
      </c>
      <c r="G243" t="n">
        <v>984</v>
      </c>
    </row>
    <row r="244">
      <c r="A244" t="inlineStr">
        <is>
          <t>H243</t>
        </is>
      </c>
      <c r="B244" t="inlineStr">
        <is>
          <t>SYN Banks &amp; Insurance 33 Corp</t>
        </is>
      </c>
      <c r="C244" t="inlineStr">
        <is>
          <t>Banks &amp; Insurance</t>
        </is>
      </c>
      <c r="D244" t="inlineStr">
        <is>
          <t>Public corporate bond</t>
        </is>
      </c>
      <c r="E244" t="inlineStr">
        <is>
          <t>AAA</t>
        </is>
      </c>
      <c r="F244" t="n">
        <v>40.4</v>
      </c>
      <c r="G244" t="n">
        <v>1169</v>
      </c>
      <c r="H244" t="n">
        <v>303</v>
      </c>
    </row>
    <row r="245">
      <c r="A245" t="inlineStr">
        <is>
          <t>H244</t>
        </is>
      </c>
      <c r="B245" t="inlineStr">
        <is>
          <t>SYN Banks &amp; Insurance 34 Corp</t>
        </is>
      </c>
      <c r="C245" t="inlineStr">
        <is>
          <t>Banks &amp; Insurance</t>
        </is>
      </c>
      <c r="D245" t="inlineStr">
        <is>
          <t>Public corporate bond</t>
        </is>
      </c>
      <c r="E245" t="inlineStr">
        <is>
          <t>A</t>
        </is>
      </c>
      <c r="F245" t="n">
        <v>16.7</v>
      </c>
      <c r="G245" t="n">
        <v>1113</v>
      </c>
    </row>
    <row r="246">
      <c r="A246" t="inlineStr">
        <is>
          <t>H245</t>
        </is>
      </c>
      <c r="B246" t="inlineStr">
        <is>
          <t>SYN Banks &amp; Insurance 35 Corp</t>
        </is>
      </c>
      <c r="C246" t="inlineStr">
        <is>
          <t>Banks &amp; Insurance</t>
        </is>
      </c>
      <c r="D246" t="inlineStr">
        <is>
          <t>Private placement</t>
        </is>
      </c>
      <c r="E246" t="inlineStr">
        <is>
          <t>BBB</t>
        </is>
      </c>
      <c r="F246" t="n">
        <v>22</v>
      </c>
      <c r="G246" t="n">
        <v>736</v>
      </c>
    </row>
    <row r="247">
      <c r="A247" t="inlineStr">
        <is>
          <t>H246</t>
        </is>
      </c>
      <c r="B247" t="inlineStr">
        <is>
          <t>SYN Banks &amp; Insurance 36 Corp</t>
        </is>
      </c>
      <c r="C247" t="inlineStr">
        <is>
          <t>Banks &amp; Insurance</t>
        </is>
      </c>
      <c r="D247" t="inlineStr">
        <is>
          <t>Private placement</t>
        </is>
      </c>
      <c r="E247" t="inlineStr">
        <is>
          <t>BBB</t>
        </is>
      </c>
      <c r="F247" t="n">
        <v>29.1</v>
      </c>
      <c r="G247" t="n">
        <v>4699</v>
      </c>
    </row>
    <row r="248">
      <c r="A248" t="inlineStr">
        <is>
          <t>H247</t>
        </is>
      </c>
      <c r="B248" t="inlineStr">
        <is>
          <t>SYN Banks &amp; Insurance 37 Corp</t>
        </is>
      </c>
      <c r="C248" t="inlineStr">
        <is>
          <t>Banks &amp; Insurance</t>
        </is>
      </c>
      <c r="D248" t="inlineStr">
        <is>
          <t>Private placement</t>
        </is>
      </c>
      <c r="E248" t="inlineStr">
        <is>
          <t>AA</t>
        </is>
      </c>
      <c r="F248" t="n">
        <v>44.7</v>
      </c>
      <c r="G248" t="n">
        <v>9507</v>
      </c>
    </row>
    <row r="249">
      <c r="A249" t="inlineStr">
        <is>
          <t>H248</t>
        </is>
      </c>
      <c r="B249" t="inlineStr">
        <is>
          <t>SYN Banks &amp; Insurance 38 Corp</t>
        </is>
      </c>
      <c r="C249" t="inlineStr">
        <is>
          <t>Banks &amp; Insurance</t>
        </is>
      </c>
      <c r="D249" t="inlineStr">
        <is>
          <t>Public corporate bond</t>
        </is>
      </c>
      <c r="E249" t="inlineStr">
        <is>
          <t>AAA</t>
        </is>
      </c>
      <c r="F249" t="n">
        <v>15.8</v>
      </c>
      <c r="G249" t="n">
        <v>518</v>
      </c>
      <c r="H249" t="n">
        <v>77</v>
      </c>
    </row>
    <row r="250">
      <c r="A250" t="inlineStr">
        <is>
          <t>H249</t>
        </is>
      </c>
      <c r="B250" t="inlineStr">
        <is>
          <t>SYN Banks &amp; Insurance 39 Corp</t>
        </is>
      </c>
      <c r="C250" t="inlineStr">
        <is>
          <t>Banks &amp; Insurance</t>
        </is>
      </c>
      <c r="D250" t="inlineStr">
        <is>
          <t>Public corporate bond</t>
        </is>
      </c>
      <c r="E250" t="inlineStr">
        <is>
          <t>BBB</t>
        </is>
      </c>
      <c r="F250" t="n">
        <v>72.8</v>
      </c>
      <c r="G250" t="n">
        <v>7053</v>
      </c>
      <c r="H250" t="n">
        <v>877</v>
      </c>
    </row>
    <row r="251">
      <c r="A251" t="inlineStr">
        <is>
          <t>H250</t>
        </is>
      </c>
      <c r="B251" t="inlineStr">
        <is>
          <t>SYN Banks &amp; Insurance 40 Corp</t>
        </is>
      </c>
      <c r="C251" t="inlineStr">
        <is>
          <t>Banks &amp; Insurance</t>
        </is>
      </c>
      <c r="D251" t="inlineStr">
        <is>
          <t>Private placement</t>
        </is>
      </c>
      <c r="E251" t="inlineStr">
        <is>
          <t>AA</t>
        </is>
      </c>
      <c r="F251" t="n">
        <v>30.4</v>
      </c>
      <c r="G251" t="n">
        <v>781</v>
      </c>
    </row>
    <row r="252">
      <c r="A252" t="inlineStr">
        <is>
          <t>H251</t>
        </is>
      </c>
      <c r="B252" t="inlineStr">
        <is>
          <t>SYN Banks &amp; Insurance 41 Corp</t>
        </is>
      </c>
      <c r="C252" t="inlineStr">
        <is>
          <t>Banks &amp; Insurance</t>
        </is>
      </c>
      <c r="D252" t="inlineStr">
        <is>
          <t>Private placement</t>
        </is>
      </c>
      <c r="E252" t="inlineStr">
        <is>
          <t>BBB</t>
        </is>
      </c>
      <c r="F252" t="n">
        <v>12.4</v>
      </c>
      <c r="G252" t="n">
        <v>387</v>
      </c>
    </row>
    <row r="253">
      <c r="A253" t="inlineStr">
        <is>
          <t>H252</t>
        </is>
      </c>
      <c r="B253" t="inlineStr">
        <is>
          <t>SYN Banks &amp; Insurance 42 Corp</t>
        </is>
      </c>
      <c r="C253" t="inlineStr">
        <is>
          <t>Banks &amp; Insurance</t>
        </is>
      </c>
      <c r="D253" t="inlineStr">
        <is>
          <t>Public corporate bond</t>
        </is>
      </c>
      <c r="E253" t="inlineStr">
        <is>
          <t>AA</t>
        </is>
      </c>
      <c r="F253" t="n">
        <v>48.1</v>
      </c>
      <c r="G253" t="n">
        <v>1728</v>
      </c>
    </row>
    <row r="254">
      <c r="A254" t="inlineStr">
        <is>
          <t>H253</t>
        </is>
      </c>
      <c r="B254" t="inlineStr">
        <is>
          <t>SYN Banks &amp; Insurance 43 Corp</t>
        </is>
      </c>
      <c r="C254" t="inlineStr">
        <is>
          <t>Banks &amp; Insurance</t>
        </is>
      </c>
      <c r="D254" t="inlineStr">
        <is>
          <t>Private placement</t>
        </is>
      </c>
      <c r="E254" t="inlineStr">
        <is>
          <t>AA</t>
        </is>
      </c>
      <c r="F254" t="n">
        <v>15.1</v>
      </c>
      <c r="G254" t="n">
        <v>1109</v>
      </c>
      <c r="H254" t="n">
        <v>126</v>
      </c>
    </row>
    <row r="255">
      <c r="A255" t="inlineStr">
        <is>
          <t>H254</t>
        </is>
      </c>
      <c r="B255" t="inlineStr">
        <is>
          <t>SYN Banks &amp; Insurance 44 Corp</t>
        </is>
      </c>
      <c r="C255" t="inlineStr">
        <is>
          <t>Banks &amp; Insurance</t>
        </is>
      </c>
      <c r="D255" t="inlineStr">
        <is>
          <t>Public corporate bond</t>
        </is>
      </c>
      <c r="E255" t="inlineStr">
        <is>
          <t>BBB</t>
        </is>
      </c>
      <c r="F255" t="n">
        <v>6.6</v>
      </c>
      <c r="G255" t="n">
        <v>179</v>
      </c>
      <c r="H255" t="n">
        <v>31</v>
      </c>
    </row>
    <row r="256">
      <c r="A256" t="inlineStr">
        <is>
          <t>H255</t>
        </is>
      </c>
      <c r="B256" t="inlineStr">
        <is>
          <t>SYN Banks &amp; Insurance 45 Corp</t>
        </is>
      </c>
      <c r="C256" t="inlineStr">
        <is>
          <t>Banks &amp; Insurance</t>
        </is>
      </c>
      <c r="D256" t="inlineStr">
        <is>
          <t>Infrastructure debt</t>
        </is>
      </c>
      <c r="E256" t="inlineStr">
        <is>
          <t>AA</t>
        </is>
      </c>
      <c r="F256" t="n">
        <v>65.90000000000001</v>
      </c>
      <c r="G256" t="n">
        <v>1995</v>
      </c>
    </row>
    <row r="257">
      <c r="A257" t="inlineStr">
        <is>
          <t>H256</t>
        </is>
      </c>
      <c r="B257" t="inlineStr">
        <is>
          <t>SYN Banks &amp; Insurance 46 Corp</t>
        </is>
      </c>
      <c r="C257" t="inlineStr">
        <is>
          <t>Banks &amp; Insurance</t>
        </is>
      </c>
      <c r="D257" t="inlineStr">
        <is>
          <t>Public corporate bond</t>
        </is>
      </c>
      <c r="E257" t="inlineStr">
        <is>
          <t>BBB</t>
        </is>
      </c>
      <c r="F257" t="n">
        <v>77.5</v>
      </c>
      <c r="G257" t="n">
        <v>3546</v>
      </c>
    </row>
    <row r="258">
      <c r="A258" t="inlineStr">
        <is>
          <t>H257</t>
        </is>
      </c>
      <c r="B258" t="inlineStr">
        <is>
          <t>SYN Banks &amp; Insurance 47 Corp</t>
        </is>
      </c>
      <c r="C258" t="inlineStr">
        <is>
          <t>Banks &amp; Insurance</t>
        </is>
      </c>
      <c r="D258" t="inlineStr">
        <is>
          <t>Public corporate bond</t>
        </is>
      </c>
      <c r="E258" t="inlineStr">
        <is>
          <t>A</t>
        </is>
      </c>
      <c r="F258" t="n">
        <v>24</v>
      </c>
      <c r="G258" t="n">
        <v>1283</v>
      </c>
    </row>
    <row r="259">
      <c r="A259" t="inlineStr">
        <is>
          <t>H258</t>
        </is>
      </c>
      <c r="B259" t="inlineStr">
        <is>
          <t>SYN Banks &amp; Insurance 48 Corp</t>
        </is>
      </c>
      <c r="C259" t="inlineStr">
        <is>
          <t>Banks &amp; Insurance</t>
        </is>
      </c>
      <c r="D259" t="inlineStr">
        <is>
          <t>Public corporate bond</t>
        </is>
      </c>
      <c r="E259" t="inlineStr">
        <is>
          <t>AA</t>
        </is>
      </c>
      <c r="F259" t="n">
        <v>35.6</v>
      </c>
      <c r="G259" t="n">
        <v>1339</v>
      </c>
    </row>
    <row r="260">
      <c r="A260" t="inlineStr">
        <is>
          <t>H259</t>
        </is>
      </c>
      <c r="B260" t="inlineStr">
        <is>
          <t>SYN Real Estate 01 Corp</t>
        </is>
      </c>
      <c r="C260" t="inlineStr">
        <is>
          <t>Real Estate</t>
        </is>
      </c>
      <c r="D260" t="inlineStr">
        <is>
          <t>Infrastructure debt</t>
        </is>
      </c>
      <c r="E260" t="inlineStr">
        <is>
          <t>BBB</t>
        </is>
      </c>
      <c r="F260" t="n">
        <v>18</v>
      </c>
      <c r="G260" t="n">
        <v>643</v>
      </c>
    </row>
    <row r="261">
      <c r="A261" t="inlineStr">
        <is>
          <t>H260</t>
        </is>
      </c>
      <c r="B261" t="inlineStr">
        <is>
          <t>SYN Real Estate 02 Corp</t>
        </is>
      </c>
      <c r="C261" t="inlineStr">
        <is>
          <t>Real Estate</t>
        </is>
      </c>
      <c r="D261" t="inlineStr">
        <is>
          <t>Private placement</t>
        </is>
      </c>
      <c r="E261" t="inlineStr">
        <is>
          <t>BBB</t>
        </is>
      </c>
      <c r="F261" t="n">
        <v>18</v>
      </c>
      <c r="G261" t="n">
        <v>629</v>
      </c>
    </row>
    <row r="262">
      <c r="A262" t="inlineStr">
        <is>
          <t>H261</t>
        </is>
      </c>
      <c r="B262" t="inlineStr">
        <is>
          <t>SYN Real Estate 03 Corp</t>
        </is>
      </c>
      <c r="C262" t="inlineStr">
        <is>
          <t>Real Estate</t>
        </is>
      </c>
      <c r="D262" t="inlineStr">
        <is>
          <t>Public corporate bond</t>
        </is>
      </c>
      <c r="E262" t="inlineStr">
        <is>
          <t>AA</t>
        </is>
      </c>
      <c r="F262" t="n">
        <v>34.6</v>
      </c>
      <c r="G262" t="n">
        <v>1712</v>
      </c>
      <c r="H262" t="n">
        <v>205</v>
      </c>
    </row>
    <row r="263">
      <c r="A263" t="inlineStr">
        <is>
          <t>H262</t>
        </is>
      </c>
      <c r="B263" t="inlineStr">
        <is>
          <t>SYN Real Estate 04 Corp</t>
        </is>
      </c>
      <c r="C263" t="inlineStr">
        <is>
          <t>Real Estate</t>
        </is>
      </c>
      <c r="D263" t="inlineStr">
        <is>
          <t>Private placement</t>
        </is>
      </c>
      <c r="E263" t="inlineStr">
        <is>
          <t>BBB</t>
        </is>
      </c>
      <c r="F263" t="n">
        <v>14.5</v>
      </c>
      <c r="G263" t="n">
        <v>1067</v>
      </c>
    </row>
    <row r="264">
      <c r="A264" t="inlineStr">
        <is>
          <t>H263</t>
        </is>
      </c>
      <c r="B264" t="inlineStr">
        <is>
          <t>SYN Real Estate 05 Corp</t>
        </is>
      </c>
      <c r="C264" t="inlineStr">
        <is>
          <t>Real Estate</t>
        </is>
      </c>
      <c r="D264" t="inlineStr">
        <is>
          <t>Public corporate bond</t>
        </is>
      </c>
      <c r="E264" t="inlineStr">
        <is>
          <t>BBB</t>
        </is>
      </c>
      <c r="F264" t="n">
        <v>12.2</v>
      </c>
      <c r="G264" t="n">
        <v>805</v>
      </c>
    </row>
    <row r="265">
      <c r="A265" t="inlineStr">
        <is>
          <t>H264</t>
        </is>
      </c>
      <c r="B265" t="inlineStr">
        <is>
          <t>SYN Real Estate 06 Corp</t>
        </is>
      </c>
      <c r="C265" t="inlineStr">
        <is>
          <t>Real Estate</t>
        </is>
      </c>
      <c r="D265" t="inlineStr">
        <is>
          <t>Public corporate bond</t>
        </is>
      </c>
      <c r="E265" t="inlineStr">
        <is>
          <t>AA</t>
        </is>
      </c>
      <c r="F265" t="n">
        <v>45.7</v>
      </c>
      <c r="G265" t="n">
        <v>1497</v>
      </c>
    </row>
    <row r="266">
      <c r="A266" t="inlineStr">
        <is>
          <t>H265</t>
        </is>
      </c>
      <c r="B266" t="inlineStr">
        <is>
          <t>SYN Real Estate 07 Corp</t>
        </is>
      </c>
      <c r="C266" t="inlineStr">
        <is>
          <t>Real Estate</t>
        </is>
      </c>
      <c r="D266" t="inlineStr">
        <is>
          <t>Public corporate bond</t>
        </is>
      </c>
      <c r="E266" t="inlineStr">
        <is>
          <t>AA</t>
        </is>
      </c>
      <c r="F266" t="n">
        <v>54.1</v>
      </c>
      <c r="G266" t="n">
        <v>1361</v>
      </c>
      <c r="H266" t="n">
        <v>174</v>
      </c>
    </row>
    <row r="267">
      <c r="A267" t="inlineStr">
        <is>
          <t>H266</t>
        </is>
      </c>
      <c r="B267" t="inlineStr">
        <is>
          <t>SYN Real Estate 08 Corp</t>
        </is>
      </c>
      <c r="C267" t="inlineStr">
        <is>
          <t>Real Estate</t>
        </is>
      </c>
      <c r="D267" t="inlineStr">
        <is>
          <t>Public corporate bond</t>
        </is>
      </c>
      <c r="E267" t="inlineStr">
        <is>
          <t>BBB</t>
        </is>
      </c>
      <c r="F267" t="n">
        <v>33.7</v>
      </c>
      <c r="G267" t="n">
        <v>1031</v>
      </c>
    </row>
    <row r="268">
      <c r="A268" t="inlineStr">
        <is>
          <t>H267</t>
        </is>
      </c>
      <c r="B268" t="inlineStr">
        <is>
          <t>SYN Real Estate 09 Corp</t>
        </is>
      </c>
      <c r="C268" t="inlineStr">
        <is>
          <t>Real Estate</t>
        </is>
      </c>
      <c r="D268" t="inlineStr">
        <is>
          <t>Public corporate bond</t>
        </is>
      </c>
      <c r="E268" t="inlineStr">
        <is>
          <t>BBB</t>
        </is>
      </c>
      <c r="F268" t="n">
        <v>27.6</v>
      </c>
      <c r="G268" t="n">
        <v>2155</v>
      </c>
    </row>
    <row r="269">
      <c r="A269" t="inlineStr">
        <is>
          <t>H268</t>
        </is>
      </c>
      <c r="B269" t="inlineStr">
        <is>
          <t>SYN Real Estate 10 Corp</t>
        </is>
      </c>
      <c r="C269" t="inlineStr">
        <is>
          <t>Real Estate</t>
        </is>
      </c>
      <c r="D269" t="inlineStr">
        <is>
          <t>Public corporate bond</t>
        </is>
      </c>
      <c r="E269" t="inlineStr">
        <is>
          <t>AA</t>
        </is>
      </c>
      <c r="F269" t="n">
        <v>13</v>
      </c>
      <c r="G269" t="n">
        <v>1028</v>
      </c>
    </row>
    <row r="270">
      <c r="A270" t="inlineStr">
        <is>
          <t>H269</t>
        </is>
      </c>
      <c r="B270" t="inlineStr">
        <is>
          <t>SYN Real Estate 11 Corp</t>
        </is>
      </c>
      <c r="C270" t="inlineStr">
        <is>
          <t>Real Estate</t>
        </is>
      </c>
      <c r="D270" t="inlineStr">
        <is>
          <t>Infrastructure debt</t>
        </is>
      </c>
      <c r="E270" t="inlineStr">
        <is>
          <t>A</t>
        </is>
      </c>
      <c r="F270" t="n">
        <v>44.3</v>
      </c>
      <c r="G270" t="n">
        <v>3190</v>
      </c>
    </row>
    <row r="271">
      <c r="A271" t="inlineStr">
        <is>
          <t>H270</t>
        </is>
      </c>
      <c r="B271" t="inlineStr">
        <is>
          <t>SYN Real Estate 12 Corp</t>
        </is>
      </c>
      <c r="C271" t="inlineStr">
        <is>
          <t>Real Estate</t>
        </is>
      </c>
      <c r="D271" t="inlineStr">
        <is>
          <t>Public corporate bond</t>
        </is>
      </c>
      <c r="E271" t="inlineStr">
        <is>
          <t>A</t>
        </is>
      </c>
      <c r="F271" t="n">
        <v>30</v>
      </c>
      <c r="G271" t="n">
        <v>1219</v>
      </c>
      <c r="H271" t="n">
        <v>195</v>
      </c>
    </row>
    <row r="272">
      <c r="A272" t="inlineStr">
        <is>
          <t>H271</t>
        </is>
      </c>
      <c r="B272" t="inlineStr">
        <is>
          <t>SYN Real Estate 13 Corp</t>
        </is>
      </c>
      <c r="C272" t="inlineStr">
        <is>
          <t>Real Estate</t>
        </is>
      </c>
      <c r="D272" t="inlineStr">
        <is>
          <t>Public corporate bond</t>
        </is>
      </c>
      <c r="E272" t="inlineStr">
        <is>
          <t>AA</t>
        </is>
      </c>
      <c r="F272" t="n">
        <v>65.90000000000001</v>
      </c>
      <c r="G272" t="n">
        <v>2396</v>
      </c>
      <c r="H272" t="n">
        <v>279</v>
      </c>
    </row>
    <row r="273">
      <c r="A273" t="inlineStr">
        <is>
          <t>H272</t>
        </is>
      </c>
      <c r="B273" t="inlineStr">
        <is>
          <t>SYN Real Estate 14 Corp</t>
        </is>
      </c>
      <c r="C273" t="inlineStr">
        <is>
          <t>Real Estate</t>
        </is>
      </c>
      <c r="D273" t="inlineStr">
        <is>
          <t>Public corporate bond</t>
        </is>
      </c>
      <c r="E273" t="inlineStr">
        <is>
          <t>BBB</t>
        </is>
      </c>
      <c r="F273" t="n">
        <v>47.9</v>
      </c>
      <c r="G273" t="n">
        <v>1474</v>
      </c>
    </row>
    <row r="274">
      <c r="A274" t="inlineStr">
        <is>
          <t>H273</t>
        </is>
      </c>
      <c r="B274" t="inlineStr">
        <is>
          <t>SYN Real Estate 15 Corp</t>
        </is>
      </c>
      <c r="C274" t="inlineStr">
        <is>
          <t>Real Estate</t>
        </is>
      </c>
      <c r="D274" t="inlineStr">
        <is>
          <t>Private placement</t>
        </is>
      </c>
      <c r="E274" t="inlineStr">
        <is>
          <t>BBB</t>
        </is>
      </c>
      <c r="F274" t="n">
        <v>100.2</v>
      </c>
      <c r="G274" t="n">
        <v>3823</v>
      </c>
    </row>
    <row r="275">
      <c r="A275" t="inlineStr">
        <is>
          <t>H274</t>
        </is>
      </c>
      <c r="B275" t="inlineStr">
        <is>
          <t>SYN Real Estate 16 Corp</t>
        </is>
      </c>
      <c r="C275" t="inlineStr">
        <is>
          <t>Real Estate</t>
        </is>
      </c>
      <c r="D275" t="inlineStr">
        <is>
          <t>Public corporate bond</t>
        </is>
      </c>
      <c r="E275" t="inlineStr">
        <is>
          <t>BBB</t>
        </is>
      </c>
      <c r="F275" t="n">
        <v>60.8</v>
      </c>
      <c r="G275" t="n">
        <v>2567</v>
      </c>
      <c r="H275" t="n">
        <v>236</v>
      </c>
    </row>
    <row r="276">
      <c r="A276" t="inlineStr">
        <is>
          <t>H275</t>
        </is>
      </c>
      <c r="B276" t="inlineStr">
        <is>
          <t>SYN Real Estate 17 Corp</t>
        </is>
      </c>
      <c r="C276" t="inlineStr">
        <is>
          <t>Real Estate</t>
        </is>
      </c>
      <c r="D276" t="inlineStr">
        <is>
          <t>Private placement</t>
        </is>
      </c>
      <c r="E276" t="inlineStr">
        <is>
          <t>BBB</t>
        </is>
      </c>
      <c r="F276" t="n">
        <v>81.7</v>
      </c>
      <c r="G276" t="n">
        <v>3766</v>
      </c>
      <c r="H276" t="n">
        <v>399</v>
      </c>
    </row>
    <row r="277">
      <c r="A277" t="inlineStr">
        <is>
          <t>H276</t>
        </is>
      </c>
      <c r="B277" t="inlineStr">
        <is>
          <t>SYN Real Estate 18 Corp</t>
        </is>
      </c>
      <c r="C277" t="inlineStr">
        <is>
          <t>Real Estate</t>
        </is>
      </c>
      <c r="D277" t="inlineStr">
        <is>
          <t>Public corporate bond</t>
        </is>
      </c>
      <c r="E277" t="inlineStr">
        <is>
          <t>A</t>
        </is>
      </c>
      <c r="F277" t="n">
        <v>76.59999999999999</v>
      </c>
      <c r="G277" t="n">
        <v>2142</v>
      </c>
    </row>
    <row r="278">
      <c r="A278" t="inlineStr">
        <is>
          <t>H277</t>
        </is>
      </c>
      <c r="B278" t="inlineStr">
        <is>
          <t>SYN Real Estate 19 Corp</t>
        </is>
      </c>
      <c r="C278" t="inlineStr">
        <is>
          <t>Real Estate</t>
        </is>
      </c>
      <c r="D278" t="inlineStr">
        <is>
          <t>Public corporate bond</t>
        </is>
      </c>
      <c r="E278" t="inlineStr">
        <is>
          <t>A</t>
        </is>
      </c>
      <c r="F278" t="n">
        <v>24.3</v>
      </c>
      <c r="G278" t="n">
        <v>7382</v>
      </c>
    </row>
    <row r="279">
      <c r="A279" t="inlineStr">
        <is>
          <t>H278</t>
        </is>
      </c>
      <c r="B279" t="inlineStr">
        <is>
          <t>SYN Real Estate 20 Corp</t>
        </is>
      </c>
      <c r="C279" t="inlineStr">
        <is>
          <t>Real Estate</t>
        </is>
      </c>
      <c r="D279" t="inlineStr">
        <is>
          <t>Public corporate bond</t>
        </is>
      </c>
      <c r="E279" t="inlineStr">
        <is>
          <t>AA</t>
        </is>
      </c>
      <c r="F279" t="n">
        <v>18.1</v>
      </c>
      <c r="G279" t="n">
        <v>856</v>
      </c>
    </row>
    <row r="280">
      <c r="A280" t="inlineStr">
        <is>
          <t>H279</t>
        </is>
      </c>
      <c r="B280" t="inlineStr">
        <is>
          <t>SYN Real Estate 21 Corp</t>
        </is>
      </c>
      <c r="C280" t="inlineStr">
        <is>
          <t>Real Estate</t>
        </is>
      </c>
      <c r="D280" t="inlineStr">
        <is>
          <t>Public corporate bond</t>
        </is>
      </c>
      <c r="E280" t="inlineStr">
        <is>
          <t>BBB</t>
        </is>
      </c>
      <c r="F280" t="n">
        <v>81.90000000000001</v>
      </c>
      <c r="G280" t="n">
        <v>7535</v>
      </c>
    </row>
    <row r="281">
      <c r="A281" t="inlineStr">
        <is>
          <t>H280</t>
        </is>
      </c>
      <c r="B281" t="inlineStr">
        <is>
          <t>SYN Real Estate 22 Corp</t>
        </is>
      </c>
      <c r="C281" t="inlineStr">
        <is>
          <t>Real Estate</t>
        </is>
      </c>
      <c r="D281" t="inlineStr">
        <is>
          <t>Public corporate bond</t>
        </is>
      </c>
      <c r="E281" t="inlineStr">
        <is>
          <t>A</t>
        </is>
      </c>
      <c r="F281" t="n">
        <v>12.5</v>
      </c>
      <c r="G281" t="n">
        <v>618</v>
      </c>
    </row>
    <row r="282">
      <c r="A282" t="inlineStr">
        <is>
          <t>H281</t>
        </is>
      </c>
      <c r="B282" t="inlineStr">
        <is>
          <t>SYN Real Estate 23 Corp</t>
        </is>
      </c>
      <c r="C282" t="inlineStr">
        <is>
          <t>Real Estate</t>
        </is>
      </c>
      <c r="D282" t="inlineStr">
        <is>
          <t>Public corporate bond</t>
        </is>
      </c>
      <c r="E282" t="inlineStr">
        <is>
          <t>AA</t>
        </is>
      </c>
      <c r="F282" t="n">
        <v>27.7</v>
      </c>
      <c r="G282" t="n">
        <v>705</v>
      </c>
    </row>
    <row r="283">
      <c r="A283" t="inlineStr">
        <is>
          <t>H282</t>
        </is>
      </c>
      <c r="B283" t="inlineStr">
        <is>
          <t>SYN Real Estate 24 Corp</t>
        </is>
      </c>
      <c r="C283" t="inlineStr">
        <is>
          <t>Real Estate</t>
        </is>
      </c>
      <c r="D283" t="inlineStr">
        <is>
          <t>Public corporate bond</t>
        </is>
      </c>
      <c r="E283" t="inlineStr">
        <is>
          <t>BBB</t>
        </is>
      </c>
      <c r="F283" t="n">
        <v>16.7</v>
      </c>
      <c r="G283" t="n">
        <v>608</v>
      </c>
      <c r="H283" t="n">
        <v>100</v>
      </c>
    </row>
    <row r="284">
      <c r="A284" t="inlineStr">
        <is>
          <t>H283</t>
        </is>
      </c>
      <c r="B284" t="inlineStr">
        <is>
          <t>SYN Business &amp; Consumer Services 01 Corp</t>
        </is>
      </c>
      <c r="C284" t="inlineStr">
        <is>
          <t>Business &amp; Consumer Services</t>
        </is>
      </c>
      <c r="D284" t="inlineStr">
        <is>
          <t>Public corporate bond</t>
        </is>
      </c>
      <c r="E284" t="inlineStr">
        <is>
          <t>A</t>
        </is>
      </c>
      <c r="F284" t="n">
        <v>84.8</v>
      </c>
      <c r="G284" t="n">
        <v>2474</v>
      </c>
      <c r="H284" t="n">
        <v>2031</v>
      </c>
    </row>
    <row r="285">
      <c r="A285" t="inlineStr">
        <is>
          <t>H284</t>
        </is>
      </c>
      <c r="B285" t="inlineStr">
        <is>
          <t>SYN Business &amp; Consumer Services 02 Corp</t>
        </is>
      </c>
      <c r="C285" t="inlineStr">
        <is>
          <t>Business &amp; Consumer Services</t>
        </is>
      </c>
      <c r="D285" t="inlineStr">
        <is>
          <t>Public corporate bond</t>
        </is>
      </c>
      <c r="E285" t="inlineStr">
        <is>
          <t>A</t>
        </is>
      </c>
      <c r="F285" t="n">
        <v>39.1</v>
      </c>
      <c r="G285" t="n">
        <v>1861</v>
      </c>
      <c r="H285" t="n">
        <v>1112</v>
      </c>
    </row>
    <row r="286">
      <c r="A286" t="inlineStr">
        <is>
          <t>H285</t>
        </is>
      </c>
      <c r="B286" t="inlineStr">
        <is>
          <t>SYN Business &amp; Consumer Services 03 Corp</t>
        </is>
      </c>
      <c r="C286" t="inlineStr">
        <is>
          <t>Business &amp; Consumer Services</t>
        </is>
      </c>
      <c r="D286" t="inlineStr">
        <is>
          <t>Public corporate bond</t>
        </is>
      </c>
      <c r="E286" t="inlineStr">
        <is>
          <t>AA</t>
        </is>
      </c>
      <c r="F286" t="n">
        <v>17</v>
      </c>
      <c r="G286" t="n">
        <v>1242</v>
      </c>
      <c r="H286" t="n">
        <v>749</v>
      </c>
    </row>
    <row r="287">
      <c r="A287" t="inlineStr">
        <is>
          <t>H286</t>
        </is>
      </c>
      <c r="B287" t="inlineStr">
        <is>
          <t>SYN Business &amp; Consumer Services 04 Corp</t>
        </is>
      </c>
      <c r="C287" t="inlineStr">
        <is>
          <t>Business &amp; Consumer Services</t>
        </is>
      </c>
      <c r="D287" t="inlineStr">
        <is>
          <t>Private placement</t>
        </is>
      </c>
      <c r="E287" t="inlineStr">
        <is>
          <t>BBB</t>
        </is>
      </c>
      <c r="F287" t="n">
        <v>48.8</v>
      </c>
      <c r="G287" t="n">
        <v>1414</v>
      </c>
      <c r="H287" t="n">
        <v>1046</v>
      </c>
    </row>
    <row r="288">
      <c r="A288" t="inlineStr">
        <is>
          <t>H287</t>
        </is>
      </c>
      <c r="B288" t="inlineStr">
        <is>
          <t>SYN Business &amp; Consumer Services 05 Corp</t>
        </is>
      </c>
      <c r="C288" t="inlineStr">
        <is>
          <t>Business &amp; Consumer Services</t>
        </is>
      </c>
      <c r="D288" t="inlineStr">
        <is>
          <t>Private placement</t>
        </is>
      </c>
      <c r="E288" t="inlineStr">
        <is>
          <t>BBB</t>
        </is>
      </c>
      <c r="F288" t="n">
        <v>15.8</v>
      </c>
      <c r="G288" t="n">
        <v>818</v>
      </c>
      <c r="H288" t="n">
        <v>470</v>
      </c>
    </row>
    <row r="289">
      <c r="A289" t="inlineStr">
        <is>
          <t>H288</t>
        </is>
      </c>
      <c r="B289" t="inlineStr">
        <is>
          <t>SYN Business &amp; Consumer Services 06 Corp</t>
        </is>
      </c>
      <c r="C289" t="inlineStr">
        <is>
          <t>Business &amp; Consumer Services</t>
        </is>
      </c>
      <c r="D289" t="inlineStr">
        <is>
          <t>Public corporate bond</t>
        </is>
      </c>
      <c r="E289" t="inlineStr">
        <is>
          <t>A</t>
        </is>
      </c>
      <c r="F289" t="n">
        <v>54.6</v>
      </c>
      <c r="G289" t="n">
        <v>6412</v>
      </c>
    </row>
    <row r="290">
      <c r="A290" t="inlineStr">
        <is>
          <t>H289</t>
        </is>
      </c>
      <c r="B290" t="inlineStr">
        <is>
          <t>SYN Business &amp; Consumer Services 07 Corp</t>
        </is>
      </c>
      <c r="C290" t="inlineStr">
        <is>
          <t>Business &amp; Consumer Services</t>
        </is>
      </c>
      <c r="D290" t="inlineStr">
        <is>
          <t>Private placement</t>
        </is>
      </c>
      <c r="E290" t="inlineStr">
        <is>
          <t>AA</t>
        </is>
      </c>
      <c r="F290" t="n">
        <v>19.2</v>
      </c>
      <c r="G290" t="n">
        <v>1564</v>
      </c>
    </row>
    <row r="291">
      <c r="A291" t="inlineStr">
        <is>
          <t>H290</t>
        </is>
      </c>
      <c r="B291" t="inlineStr">
        <is>
          <t>SYN Business &amp; Consumer Services 08 Corp</t>
        </is>
      </c>
      <c r="C291" t="inlineStr">
        <is>
          <t>Business &amp; Consumer Services</t>
        </is>
      </c>
      <c r="D291" t="inlineStr">
        <is>
          <t>Public corporate bond</t>
        </is>
      </c>
      <c r="E291" t="inlineStr">
        <is>
          <t>AA</t>
        </is>
      </c>
      <c r="F291" t="n">
        <v>19.1</v>
      </c>
      <c r="G291" t="n">
        <v>3427</v>
      </c>
      <c r="H291" t="n">
        <v>2284</v>
      </c>
    </row>
    <row r="292">
      <c r="A292" t="inlineStr">
        <is>
          <t>H291</t>
        </is>
      </c>
      <c r="B292" t="inlineStr">
        <is>
          <t>SYN Business &amp; Consumer Services 09 Corp</t>
        </is>
      </c>
      <c r="C292" t="inlineStr">
        <is>
          <t>Business &amp; Consumer Services</t>
        </is>
      </c>
      <c r="D292" t="inlineStr">
        <is>
          <t>Public corporate bond</t>
        </is>
      </c>
      <c r="E292" t="inlineStr">
        <is>
          <t>AAA</t>
        </is>
      </c>
      <c r="F292" t="n">
        <v>20.6</v>
      </c>
      <c r="G292" t="n">
        <v>2021</v>
      </c>
    </row>
    <row r="293">
      <c r="A293" t="inlineStr">
        <is>
          <t>H292</t>
        </is>
      </c>
      <c r="B293" t="inlineStr">
        <is>
          <t>SYN Business &amp; Consumer Services 10 Corp</t>
        </is>
      </c>
      <c r="C293" t="inlineStr">
        <is>
          <t>Business &amp; Consumer Services</t>
        </is>
      </c>
      <c r="D293" t="inlineStr">
        <is>
          <t>Public corporate bond</t>
        </is>
      </c>
      <c r="E293" t="inlineStr">
        <is>
          <t>BBB</t>
        </is>
      </c>
      <c r="F293" t="n">
        <v>20.7</v>
      </c>
      <c r="G293" t="n">
        <v>2539</v>
      </c>
      <c r="H293" t="n">
        <v>1207</v>
      </c>
    </row>
    <row r="294">
      <c r="A294" t="inlineStr">
        <is>
          <t>H293</t>
        </is>
      </c>
      <c r="B294" t="inlineStr">
        <is>
          <t>SYN Business &amp; Consumer Services 11 Corp</t>
        </is>
      </c>
      <c r="C294" t="inlineStr">
        <is>
          <t>Business &amp; Consumer Services</t>
        </is>
      </c>
      <c r="D294" t="inlineStr">
        <is>
          <t>Infrastructure debt</t>
        </is>
      </c>
      <c r="E294" t="inlineStr">
        <is>
          <t>BBB</t>
        </is>
      </c>
      <c r="F294" t="n">
        <v>28.6</v>
      </c>
      <c r="G294" t="n">
        <v>2852</v>
      </c>
    </row>
    <row r="295">
      <c r="A295" t="inlineStr">
        <is>
          <t>H294</t>
        </is>
      </c>
      <c r="B295" t="inlineStr">
        <is>
          <t>SYN Business &amp; Consumer Services 12 Corp</t>
        </is>
      </c>
      <c r="C295" t="inlineStr">
        <is>
          <t>Business &amp; Consumer Services</t>
        </is>
      </c>
      <c r="D295" t="inlineStr">
        <is>
          <t>Public corporate bond</t>
        </is>
      </c>
      <c r="E295" t="inlineStr">
        <is>
          <t>AAA</t>
        </is>
      </c>
      <c r="F295" t="n">
        <v>182.4</v>
      </c>
      <c r="G295" t="n">
        <v>26250</v>
      </c>
    </row>
    <row r="296">
      <c r="A296" t="inlineStr">
        <is>
          <t>H295</t>
        </is>
      </c>
      <c r="B296" t="inlineStr">
        <is>
          <t>SYN Business &amp; Consumer Services 13 Corp</t>
        </is>
      </c>
      <c r="C296" t="inlineStr">
        <is>
          <t>Business &amp; Consumer Services</t>
        </is>
      </c>
      <c r="D296" t="inlineStr">
        <is>
          <t>Public corporate bond</t>
        </is>
      </c>
      <c r="E296" t="inlineStr">
        <is>
          <t>A</t>
        </is>
      </c>
      <c r="F296" t="n">
        <v>20</v>
      </c>
      <c r="G296" t="n">
        <v>625</v>
      </c>
    </row>
    <row r="297">
      <c r="A297" t="inlineStr">
        <is>
          <t>H296</t>
        </is>
      </c>
      <c r="B297" t="inlineStr">
        <is>
          <t>SYN Business &amp; Consumer Services 14 Corp</t>
        </is>
      </c>
      <c r="C297" t="inlineStr">
        <is>
          <t>Business &amp; Consumer Services</t>
        </is>
      </c>
      <c r="D297" t="inlineStr">
        <is>
          <t>Public corporate bond</t>
        </is>
      </c>
      <c r="E297" t="inlineStr">
        <is>
          <t>AA</t>
        </is>
      </c>
      <c r="F297" t="n">
        <v>14.8</v>
      </c>
      <c r="G297" t="n">
        <v>413</v>
      </c>
    </row>
    <row r="298">
      <c r="A298" t="inlineStr">
        <is>
          <t>H297</t>
        </is>
      </c>
      <c r="B298" t="inlineStr">
        <is>
          <t>SYN Business &amp; Consumer Services 15 Corp</t>
        </is>
      </c>
      <c r="C298" t="inlineStr">
        <is>
          <t>Business &amp; Consumer Services</t>
        </is>
      </c>
      <c r="D298" t="inlineStr">
        <is>
          <t>Infrastructure debt</t>
        </is>
      </c>
      <c r="E298" t="inlineStr">
        <is>
          <t>A</t>
        </is>
      </c>
      <c r="F298" t="n">
        <v>65.2</v>
      </c>
      <c r="G298" t="n">
        <v>10242</v>
      </c>
      <c r="H298" t="n">
        <v>5701</v>
      </c>
    </row>
    <row r="299">
      <c r="A299" t="inlineStr">
        <is>
          <t>H298</t>
        </is>
      </c>
      <c r="B299" t="inlineStr">
        <is>
          <t>SYN Business &amp; Consumer Services 16 Corp</t>
        </is>
      </c>
      <c r="C299" t="inlineStr">
        <is>
          <t>Business &amp; Consumer Services</t>
        </is>
      </c>
      <c r="D299" t="inlineStr">
        <is>
          <t>Private placement</t>
        </is>
      </c>
      <c r="E299" t="inlineStr">
        <is>
          <t>AA</t>
        </is>
      </c>
      <c r="F299" t="n">
        <v>15.1</v>
      </c>
      <c r="G299" t="n">
        <v>878</v>
      </c>
      <c r="H299" t="n">
        <v>496</v>
      </c>
    </row>
    <row r="300">
      <c r="A300" t="inlineStr">
        <is>
          <t>H299</t>
        </is>
      </c>
      <c r="B300" t="inlineStr">
        <is>
          <t>SYN Business &amp; Consumer Services 17 Corp</t>
        </is>
      </c>
      <c r="C300" t="inlineStr">
        <is>
          <t>Business &amp; Consumer Services</t>
        </is>
      </c>
      <c r="D300" t="inlineStr">
        <is>
          <t>Public corporate bond</t>
        </is>
      </c>
      <c r="E300" t="inlineStr">
        <is>
          <t>BBB</t>
        </is>
      </c>
      <c r="F300" t="n">
        <v>39.3</v>
      </c>
      <c r="G300" t="n">
        <v>3465</v>
      </c>
    </row>
    <row r="301">
      <c r="A301" t="inlineStr">
        <is>
          <t>H300</t>
        </is>
      </c>
      <c r="B301" t="inlineStr">
        <is>
          <t>SYN Business &amp; Consumer Services 18 Corp</t>
        </is>
      </c>
      <c r="C301" t="inlineStr">
        <is>
          <t>Business &amp; Consumer Services</t>
        </is>
      </c>
      <c r="D301" t="inlineStr">
        <is>
          <t>Infrastructure debt</t>
        </is>
      </c>
      <c r="E301" t="inlineStr">
        <is>
          <t>A</t>
        </is>
      </c>
      <c r="F301" t="n">
        <v>14.2</v>
      </c>
      <c r="G301" t="n">
        <v>584</v>
      </c>
      <c r="H301" t="n">
        <v>248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0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32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PCAF financed emissions - corporate bonds, sector-based emission factors</t>
        </is>
      </c>
    </row>
    <row r="2">
      <c r="A2" s="2" t="inlineStr">
        <is>
          <t>Financed emissions = (outstanding / EVIC) x revenue x sector EF. PCAF score 4 = reported revenue, 5 = revenue estimated from the sector revenue/EVIC proxy.</t>
        </is>
      </c>
    </row>
    <row r="4">
      <c r="A4" s="8" t="inlineStr">
        <is>
          <t>Holding ID</t>
        </is>
      </c>
      <c r="B4" s="8" t="inlineStr">
        <is>
          <t>Portfolio sector</t>
        </is>
      </c>
      <c r="C4" s="8" t="inlineStr">
        <is>
          <t>Outstanding ($M)</t>
        </is>
      </c>
      <c r="D4" s="8" t="inlineStr">
        <is>
          <t>EVIC ($M)</t>
        </is>
      </c>
      <c r="E4" s="8" t="inlineStr">
        <is>
          <t>Attribution factor</t>
        </is>
      </c>
      <c r="F4" s="8" t="inlineStr">
        <is>
          <t>Revenue basis</t>
        </is>
      </c>
      <c r="G4" s="8" t="inlineStr">
        <is>
          <t>Revenue used ($M)</t>
        </is>
      </c>
      <c r="H4" s="8" t="inlineStr">
        <is>
          <t>Sector EF (t/$M)</t>
        </is>
      </c>
      <c r="I4" s="8" t="inlineStr">
        <is>
          <t>Financed emissions (tCO2e)</t>
        </is>
      </c>
      <c r="J4" s="8" t="inlineStr">
        <is>
          <t>PCAF data-quality score</t>
        </is>
      </c>
      <c r="K4" s="8" t="inlineStr">
        <is>
          <t>Portfolio weight</t>
        </is>
      </c>
      <c r="L4" s="8" t="inlineStr">
        <is>
          <t>WACI contribution (t/$M)</t>
        </is>
      </c>
      <c r="N4" s="8" t="inlineStr">
        <is>
          <t>Portfolio sector</t>
        </is>
      </c>
      <c r="O4" s="8" t="inlineStr">
        <is>
          <t>Holdings</t>
        </is>
      </c>
      <c r="P4" s="8" t="inlineStr">
        <is>
          <t>Outstanding ($M)</t>
        </is>
      </c>
      <c r="Q4" s="8" t="inlineStr">
        <is>
          <t>Financed emissions (tCO2e)</t>
        </is>
      </c>
      <c r="R4" s="8" t="inlineStr">
        <is>
          <t>Share of financed emissions</t>
        </is>
      </c>
      <c r="S4" s="8" t="inlineStr">
        <is>
          <t>Weighted PCAF score</t>
        </is>
      </c>
      <c r="T4" s="8" t="inlineStr">
        <is>
          <t>Carbon footprint (t/$M invested)</t>
        </is>
      </c>
    </row>
    <row r="5">
      <c r="A5">
        <f>Holdings!A2</f>
        <v/>
      </c>
      <c r="B5">
        <f>Holdings!C2</f>
        <v/>
      </c>
      <c r="C5">
        <f>Holdings!F2</f>
        <v/>
      </c>
      <c r="D5">
        <f>Holdings!G2</f>
        <v/>
      </c>
      <c r="E5" s="14">
        <f>C5/D5</f>
        <v/>
      </c>
      <c r="F5">
        <f>IF(ISBLANK(Holdings!H2),"Sector proxy","Reported")</f>
        <v/>
      </c>
      <c r="G5" s="5">
        <f>IF(ISBLANK(Holdings!H2),D5*VLOOKUP(B5,Inputs!$A$15:$B$36,2,FALSE),Holdings!H2)</f>
        <v/>
      </c>
      <c r="H5" s="5">
        <f>_xlfn.XLOOKUP(B5,'Emission Factors'!$G$5:$G$26,'Emission Factors'!$H$5:$H$26)</f>
        <v/>
      </c>
      <c r="I5" s="5">
        <f>E5*G5*H5</f>
        <v/>
      </c>
      <c r="J5">
        <f>IF(ISBLANK(Holdings!H2),5,4)</f>
        <v/>
      </c>
      <c r="K5" s="10">
        <f>C5/SUM($C$5:$C$304)</f>
        <v/>
      </c>
      <c r="L5" s="7">
        <f>K5*H5</f>
        <v/>
      </c>
      <c r="N5" t="inlineStr">
        <is>
          <t>Oil &amp; Gas Producers</t>
        </is>
      </c>
      <c r="O5">
        <f>COUNTIF($B$5:$B$304,N5)</f>
        <v/>
      </c>
      <c r="P5" s="5">
        <f>SUMIFS($C$5:$C$304,$B$5:$B$304,N5)</f>
        <v/>
      </c>
      <c r="Q5" s="5">
        <f>SUMIFS($I$5:$I$304,$B$5:$B$304,N5)</f>
        <v/>
      </c>
      <c r="R5" s="6">
        <f>Q5/SUM($Q$5:$Q$26)</f>
        <v/>
      </c>
      <c r="S5" s="7">
        <f>SUMPRODUCT(($B$5:$B$304=N5)*$C$5:$C$304*$J$5:$J$304)/P5</f>
        <v/>
      </c>
      <c r="T5" s="7">
        <f>Q5/P5</f>
        <v/>
      </c>
    </row>
    <row r="6">
      <c r="A6">
        <f>Holdings!A3</f>
        <v/>
      </c>
      <c r="B6">
        <f>Holdings!C3</f>
        <v/>
      </c>
      <c r="C6">
        <f>Holdings!F3</f>
        <v/>
      </c>
      <c r="D6">
        <f>Holdings!G3</f>
        <v/>
      </c>
      <c r="E6" s="14">
        <f>C6/D6</f>
        <v/>
      </c>
      <c r="F6">
        <f>IF(ISBLANK(Holdings!H3),"Sector proxy","Reported")</f>
        <v/>
      </c>
      <c r="G6" s="5">
        <f>IF(ISBLANK(Holdings!H3),D6*VLOOKUP(B6,Inputs!$A$15:$B$36,2,FALSE),Holdings!H3)</f>
        <v/>
      </c>
      <c r="H6" s="5">
        <f>_xlfn.XLOOKUP(B6,'Emission Factors'!$G$5:$G$26,'Emission Factors'!$H$5:$H$26)</f>
        <v/>
      </c>
      <c r="I6" s="5">
        <f>E6*G6*H6</f>
        <v/>
      </c>
      <c r="J6">
        <f>IF(ISBLANK(Holdings!H3),5,4)</f>
        <v/>
      </c>
      <c r="K6" s="10">
        <f>C6/SUM($C$5:$C$304)</f>
        <v/>
      </c>
      <c r="L6" s="7">
        <f>K6*H6</f>
        <v/>
      </c>
      <c r="N6" t="inlineStr">
        <is>
          <t>Petroleum Refining</t>
        </is>
      </c>
      <c r="O6">
        <f>COUNTIF($B$5:$B$304,N6)</f>
        <v/>
      </c>
      <c r="P6" s="5">
        <f>SUMIFS($C$5:$C$304,$B$5:$B$304,N6)</f>
        <v/>
      </c>
      <c r="Q6" s="5">
        <f>SUMIFS($I$5:$I$304,$B$5:$B$304,N6)</f>
        <v/>
      </c>
      <c r="R6" s="6">
        <f>Q6/SUM($Q$5:$Q$26)</f>
        <v/>
      </c>
      <c r="S6" s="7">
        <f>SUMPRODUCT(($B$5:$B$304=N6)*$C$5:$C$304*$J$5:$J$304)/P6</f>
        <v/>
      </c>
      <c r="T6" s="7">
        <f>Q6/P6</f>
        <v/>
      </c>
    </row>
    <row r="7">
      <c r="A7">
        <f>Holdings!A4</f>
        <v/>
      </c>
      <c r="B7">
        <f>Holdings!C4</f>
        <v/>
      </c>
      <c r="C7">
        <f>Holdings!F4</f>
        <v/>
      </c>
      <c r="D7">
        <f>Holdings!G4</f>
        <v/>
      </c>
      <c r="E7" s="14">
        <f>C7/D7</f>
        <v/>
      </c>
      <c r="F7">
        <f>IF(ISBLANK(Holdings!H4),"Sector proxy","Reported")</f>
        <v/>
      </c>
      <c r="G7" s="5">
        <f>IF(ISBLANK(Holdings!H4),D7*VLOOKUP(B7,Inputs!$A$15:$B$36,2,FALSE),Holdings!H4)</f>
        <v/>
      </c>
      <c r="H7" s="5">
        <f>_xlfn.XLOOKUP(B7,'Emission Factors'!$G$5:$G$26,'Emission Factors'!$H$5:$H$26)</f>
        <v/>
      </c>
      <c r="I7" s="5">
        <f>E7*G7*H7</f>
        <v/>
      </c>
      <c r="J7">
        <f>IF(ISBLANK(Holdings!H4),5,4)</f>
        <v/>
      </c>
      <c r="K7" s="10">
        <f>C7/SUM($C$5:$C$304)</f>
        <v/>
      </c>
      <c r="L7" s="7">
        <f>K7*H7</f>
        <v/>
      </c>
      <c r="N7" t="inlineStr">
        <is>
          <t>Pipelines</t>
        </is>
      </c>
      <c r="O7">
        <f>COUNTIF($B$5:$B$304,N7)</f>
        <v/>
      </c>
      <c r="P7" s="5">
        <f>SUMIFS($C$5:$C$304,$B$5:$B$304,N7)</f>
        <v/>
      </c>
      <c r="Q7" s="5">
        <f>SUMIFS($I$5:$I$304,$B$5:$B$304,N7)</f>
        <v/>
      </c>
      <c r="R7" s="6">
        <f>Q7/SUM($Q$5:$Q$26)</f>
        <v/>
      </c>
      <c r="S7" s="7">
        <f>SUMPRODUCT(($B$5:$B$304=N7)*$C$5:$C$304*$J$5:$J$304)/P7</f>
        <v/>
      </c>
      <c r="T7" s="7">
        <f>Q7/P7</f>
        <v/>
      </c>
    </row>
    <row r="8">
      <c r="A8">
        <f>Holdings!A5</f>
        <v/>
      </c>
      <c r="B8">
        <f>Holdings!C5</f>
        <v/>
      </c>
      <c r="C8">
        <f>Holdings!F5</f>
        <v/>
      </c>
      <c r="D8">
        <f>Holdings!G5</f>
        <v/>
      </c>
      <c r="E8" s="14">
        <f>C8/D8</f>
        <v/>
      </c>
      <c r="F8">
        <f>IF(ISBLANK(Holdings!H5),"Sector proxy","Reported")</f>
        <v/>
      </c>
      <c r="G8" s="5">
        <f>IF(ISBLANK(Holdings!H5),D8*VLOOKUP(B8,Inputs!$A$15:$B$36,2,FALSE),Holdings!H5)</f>
        <v/>
      </c>
      <c r="H8" s="5">
        <f>_xlfn.XLOOKUP(B8,'Emission Factors'!$G$5:$G$26,'Emission Factors'!$H$5:$H$26)</f>
        <v/>
      </c>
      <c r="I8" s="5">
        <f>E8*G8*H8</f>
        <v/>
      </c>
      <c r="J8">
        <f>IF(ISBLANK(Holdings!H5),5,4)</f>
        <v/>
      </c>
      <c r="K8" s="10">
        <f>C8/SUM($C$5:$C$304)</f>
        <v/>
      </c>
      <c r="L8" s="7">
        <f>K8*H8</f>
        <v/>
      </c>
      <c r="N8" t="inlineStr">
        <is>
          <t>Electric Utilities</t>
        </is>
      </c>
      <c r="O8">
        <f>COUNTIF($B$5:$B$304,N8)</f>
        <v/>
      </c>
      <c r="P8" s="5">
        <f>SUMIFS($C$5:$C$304,$B$5:$B$304,N8)</f>
        <v/>
      </c>
      <c r="Q8" s="5">
        <f>SUMIFS($I$5:$I$304,$B$5:$B$304,N8)</f>
        <v/>
      </c>
      <c r="R8" s="6">
        <f>Q8/SUM($Q$5:$Q$26)</f>
        <v/>
      </c>
      <c r="S8" s="7">
        <f>SUMPRODUCT(($B$5:$B$304=N8)*$C$5:$C$304*$J$5:$J$304)/P8</f>
        <v/>
      </c>
      <c r="T8" s="7">
        <f>Q8/P8</f>
        <v/>
      </c>
    </row>
    <row r="9">
      <c r="A9">
        <f>Holdings!A6</f>
        <v/>
      </c>
      <c r="B9">
        <f>Holdings!C6</f>
        <v/>
      </c>
      <c r="C9">
        <f>Holdings!F6</f>
        <v/>
      </c>
      <c r="D9">
        <f>Holdings!G6</f>
        <v/>
      </c>
      <c r="E9" s="14">
        <f>C9/D9</f>
        <v/>
      </c>
      <c r="F9">
        <f>IF(ISBLANK(Holdings!H6),"Sector proxy","Reported")</f>
        <v/>
      </c>
      <c r="G9" s="5">
        <f>IF(ISBLANK(Holdings!H6),D9*VLOOKUP(B9,Inputs!$A$15:$B$36,2,FALSE),Holdings!H6)</f>
        <v/>
      </c>
      <c r="H9" s="5">
        <f>_xlfn.XLOOKUP(B9,'Emission Factors'!$G$5:$G$26,'Emission Factors'!$H$5:$H$26)</f>
        <v/>
      </c>
      <c r="I9" s="5">
        <f>E9*G9*H9</f>
        <v/>
      </c>
      <c r="J9">
        <f>IF(ISBLANK(Holdings!H6),5,4)</f>
        <v/>
      </c>
      <c r="K9" s="10">
        <f>C9/SUM($C$5:$C$304)</f>
        <v/>
      </c>
      <c r="L9" s="7">
        <f>K9*H9</f>
        <v/>
      </c>
      <c r="N9" t="inlineStr">
        <is>
          <t>Gas Distribution &amp; Water</t>
        </is>
      </c>
      <c r="O9">
        <f>COUNTIF($B$5:$B$304,N9)</f>
        <v/>
      </c>
      <c r="P9" s="5">
        <f>SUMIFS($C$5:$C$304,$B$5:$B$304,N9)</f>
        <v/>
      </c>
      <c r="Q9" s="5">
        <f>SUMIFS($I$5:$I$304,$B$5:$B$304,N9)</f>
        <v/>
      </c>
      <c r="R9" s="6">
        <f>Q9/SUM($Q$5:$Q$26)</f>
        <v/>
      </c>
      <c r="S9" s="7">
        <f>SUMPRODUCT(($B$5:$B$304=N9)*$C$5:$C$304*$J$5:$J$304)/P9</f>
        <v/>
      </c>
      <c r="T9" s="7">
        <f>Q9/P9</f>
        <v/>
      </c>
    </row>
    <row r="10">
      <c r="A10">
        <f>Holdings!A7</f>
        <v/>
      </c>
      <c r="B10">
        <f>Holdings!C7</f>
        <v/>
      </c>
      <c r="C10">
        <f>Holdings!F7</f>
        <v/>
      </c>
      <c r="D10">
        <f>Holdings!G7</f>
        <v/>
      </c>
      <c r="E10" s="14">
        <f>C10/D10</f>
        <v/>
      </c>
      <c r="F10">
        <f>IF(ISBLANK(Holdings!H7),"Sector proxy","Reported")</f>
        <v/>
      </c>
      <c r="G10" s="5">
        <f>IF(ISBLANK(Holdings!H7),D10*VLOOKUP(B10,Inputs!$A$15:$B$36,2,FALSE),Holdings!H7)</f>
        <v/>
      </c>
      <c r="H10" s="5">
        <f>_xlfn.XLOOKUP(B10,'Emission Factors'!$G$5:$G$26,'Emission Factors'!$H$5:$H$26)</f>
        <v/>
      </c>
      <c r="I10" s="5">
        <f>E10*G10*H10</f>
        <v/>
      </c>
      <c r="J10">
        <f>IF(ISBLANK(Holdings!H7),5,4)</f>
        <v/>
      </c>
      <c r="K10" s="10">
        <f>C10/SUM($C$5:$C$304)</f>
        <v/>
      </c>
      <c r="L10" s="7">
        <f>K10*H10</f>
        <v/>
      </c>
      <c r="N10" t="inlineStr">
        <is>
          <t>Mining &amp; Quarrying</t>
        </is>
      </c>
      <c r="O10">
        <f>COUNTIF($B$5:$B$304,N10)</f>
        <v/>
      </c>
      <c r="P10" s="5">
        <f>SUMIFS($C$5:$C$304,$B$5:$B$304,N10)</f>
        <v/>
      </c>
      <c r="Q10" s="5">
        <f>SUMIFS($I$5:$I$304,$B$5:$B$304,N10)</f>
        <v/>
      </c>
      <c r="R10" s="6">
        <f>Q10/SUM($Q$5:$Q$26)</f>
        <v/>
      </c>
      <c r="S10" s="7">
        <f>SUMPRODUCT(($B$5:$B$304=N10)*$C$5:$C$304*$J$5:$J$304)/P10</f>
        <v/>
      </c>
      <c r="T10" s="7">
        <f>Q10/P10</f>
        <v/>
      </c>
    </row>
    <row r="11">
      <c r="A11">
        <f>Holdings!A8</f>
        <v/>
      </c>
      <c r="B11">
        <f>Holdings!C8</f>
        <v/>
      </c>
      <c r="C11">
        <f>Holdings!F8</f>
        <v/>
      </c>
      <c r="D11">
        <f>Holdings!G8</f>
        <v/>
      </c>
      <c r="E11" s="14">
        <f>C11/D11</f>
        <v/>
      </c>
      <c r="F11">
        <f>IF(ISBLANK(Holdings!H8),"Sector proxy","Reported")</f>
        <v/>
      </c>
      <c r="G11" s="5">
        <f>IF(ISBLANK(Holdings!H8),D11*VLOOKUP(B11,Inputs!$A$15:$B$36,2,FALSE),Holdings!H8)</f>
        <v/>
      </c>
      <c r="H11" s="5">
        <f>_xlfn.XLOOKUP(B11,'Emission Factors'!$G$5:$G$26,'Emission Factors'!$H$5:$H$26)</f>
        <v/>
      </c>
      <c r="I11" s="5">
        <f>E11*G11*H11</f>
        <v/>
      </c>
      <c r="J11">
        <f>IF(ISBLANK(Holdings!H8),5,4)</f>
        <v/>
      </c>
      <c r="K11" s="10">
        <f>C11/SUM($C$5:$C$304)</f>
        <v/>
      </c>
      <c r="L11" s="7">
        <f>K11*H11</f>
        <v/>
      </c>
      <c r="N11" t="inlineStr">
        <is>
          <t>Cement &amp; Building Materials</t>
        </is>
      </c>
      <c r="O11">
        <f>COUNTIF($B$5:$B$304,N11)</f>
        <v/>
      </c>
      <c r="P11" s="5">
        <f>SUMIFS($C$5:$C$304,$B$5:$B$304,N11)</f>
        <v/>
      </c>
      <c r="Q11" s="5">
        <f>SUMIFS($I$5:$I$304,$B$5:$B$304,N11)</f>
        <v/>
      </c>
      <c r="R11" s="6">
        <f>Q11/SUM($Q$5:$Q$26)</f>
        <v/>
      </c>
      <c r="S11" s="7">
        <f>SUMPRODUCT(($B$5:$B$304=N11)*$C$5:$C$304*$J$5:$J$304)/P11</f>
        <v/>
      </c>
      <c r="T11" s="7">
        <f>Q11/P11</f>
        <v/>
      </c>
    </row>
    <row r="12">
      <c r="A12">
        <f>Holdings!A9</f>
        <v/>
      </c>
      <c r="B12">
        <f>Holdings!C9</f>
        <v/>
      </c>
      <c r="C12">
        <f>Holdings!F9</f>
        <v/>
      </c>
      <c r="D12">
        <f>Holdings!G9</f>
        <v/>
      </c>
      <c r="E12" s="14">
        <f>C12/D12</f>
        <v/>
      </c>
      <c r="F12">
        <f>IF(ISBLANK(Holdings!H9),"Sector proxy","Reported")</f>
        <v/>
      </c>
      <c r="G12" s="5">
        <f>IF(ISBLANK(Holdings!H9),D12*VLOOKUP(B12,Inputs!$A$15:$B$36,2,FALSE),Holdings!H9)</f>
        <v/>
      </c>
      <c r="H12" s="5">
        <f>_xlfn.XLOOKUP(B12,'Emission Factors'!$G$5:$G$26,'Emission Factors'!$H$5:$H$26)</f>
        <v/>
      </c>
      <c r="I12" s="5">
        <f>E12*G12*H12</f>
        <v/>
      </c>
      <c r="J12">
        <f>IF(ISBLANK(Holdings!H9),5,4)</f>
        <v/>
      </c>
      <c r="K12" s="10">
        <f>C12/SUM($C$5:$C$304)</f>
        <v/>
      </c>
      <c r="L12" s="7">
        <f>K12*H12</f>
        <v/>
      </c>
      <c r="N12" t="inlineStr">
        <is>
          <t>Metals &amp; Steel</t>
        </is>
      </c>
      <c r="O12">
        <f>COUNTIF($B$5:$B$304,N12)</f>
        <v/>
      </c>
      <c r="P12" s="5">
        <f>SUMIFS($C$5:$C$304,$B$5:$B$304,N12)</f>
        <v/>
      </c>
      <c r="Q12" s="5">
        <f>SUMIFS($I$5:$I$304,$B$5:$B$304,N12)</f>
        <v/>
      </c>
      <c r="R12" s="6">
        <f>Q12/SUM($Q$5:$Q$26)</f>
        <v/>
      </c>
      <c r="S12" s="7">
        <f>SUMPRODUCT(($B$5:$B$304=N12)*$C$5:$C$304*$J$5:$J$304)/P12</f>
        <v/>
      </c>
      <c r="T12" s="7">
        <f>Q12/P12</f>
        <v/>
      </c>
    </row>
    <row r="13">
      <c r="A13">
        <f>Holdings!A10</f>
        <v/>
      </c>
      <c r="B13">
        <f>Holdings!C10</f>
        <v/>
      </c>
      <c r="C13">
        <f>Holdings!F10</f>
        <v/>
      </c>
      <c r="D13">
        <f>Holdings!G10</f>
        <v/>
      </c>
      <c r="E13" s="14">
        <f>C13/D13</f>
        <v/>
      </c>
      <c r="F13">
        <f>IF(ISBLANK(Holdings!H10),"Sector proxy","Reported")</f>
        <v/>
      </c>
      <c r="G13" s="5">
        <f>IF(ISBLANK(Holdings!H10),D13*VLOOKUP(B13,Inputs!$A$15:$B$36,2,FALSE),Holdings!H10)</f>
        <v/>
      </c>
      <c r="H13" s="5">
        <f>_xlfn.XLOOKUP(B13,'Emission Factors'!$G$5:$G$26,'Emission Factors'!$H$5:$H$26)</f>
        <v/>
      </c>
      <c r="I13" s="5">
        <f>E13*G13*H13</f>
        <v/>
      </c>
      <c r="J13">
        <f>IF(ISBLANK(Holdings!H10),5,4)</f>
        <v/>
      </c>
      <c r="K13" s="10">
        <f>C13/SUM($C$5:$C$304)</f>
        <v/>
      </c>
      <c r="L13" s="7">
        <f>K13*H13</f>
        <v/>
      </c>
      <c r="N13" t="inlineStr">
        <is>
          <t>Chemicals &amp; Plastics</t>
        </is>
      </c>
      <c r="O13">
        <f>COUNTIF($B$5:$B$304,N13)</f>
        <v/>
      </c>
      <c r="P13" s="5">
        <f>SUMIFS($C$5:$C$304,$B$5:$B$304,N13)</f>
        <v/>
      </c>
      <c r="Q13" s="5">
        <f>SUMIFS($I$5:$I$304,$B$5:$B$304,N13)</f>
        <v/>
      </c>
      <c r="R13" s="6">
        <f>Q13/SUM($Q$5:$Q$26)</f>
        <v/>
      </c>
      <c r="S13" s="7">
        <f>SUMPRODUCT(($B$5:$B$304=N13)*$C$5:$C$304*$J$5:$J$304)/P13</f>
        <v/>
      </c>
      <c r="T13" s="7">
        <f>Q13/P13</f>
        <v/>
      </c>
    </row>
    <row r="14">
      <c r="A14">
        <f>Holdings!A11</f>
        <v/>
      </c>
      <c r="B14">
        <f>Holdings!C11</f>
        <v/>
      </c>
      <c r="C14">
        <f>Holdings!F11</f>
        <v/>
      </c>
      <c r="D14">
        <f>Holdings!G11</f>
        <v/>
      </c>
      <c r="E14" s="14">
        <f>C14/D14</f>
        <v/>
      </c>
      <c r="F14">
        <f>IF(ISBLANK(Holdings!H11),"Sector proxy","Reported")</f>
        <v/>
      </c>
      <c r="G14" s="5">
        <f>IF(ISBLANK(Holdings!H11),D14*VLOOKUP(B14,Inputs!$A$15:$B$36,2,FALSE),Holdings!H11)</f>
        <v/>
      </c>
      <c r="H14" s="5">
        <f>_xlfn.XLOOKUP(B14,'Emission Factors'!$G$5:$G$26,'Emission Factors'!$H$5:$H$26)</f>
        <v/>
      </c>
      <c r="I14" s="5">
        <f>E14*G14*H14</f>
        <v/>
      </c>
      <c r="J14">
        <f>IF(ISBLANK(Holdings!H11),5,4)</f>
        <v/>
      </c>
      <c r="K14" s="10">
        <f>C14/SUM($C$5:$C$304)</f>
        <v/>
      </c>
      <c r="L14" s="7">
        <f>K14*H14</f>
        <v/>
      </c>
      <c r="N14" t="inlineStr">
        <is>
          <t>Forest &amp; Paper Products</t>
        </is>
      </c>
      <c r="O14">
        <f>COUNTIF($B$5:$B$304,N14)</f>
        <v/>
      </c>
      <c r="P14" s="5">
        <f>SUMIFS($C$5:$C$304,$B$5:$B$304,N14)</f>
        <v/>
      </c>
      <c r="Q14" s="5">
        <f>SUMIFS($I$5:$I$304,$B$5:$B$304,N14)</f>
        <v/>
      </c>
      <c r="R14" s="6">
        <f>Q14/SUM($Q$5:$Q$26)</f>
        <v/>
      </c>
      <c r="S14" s="7">
        <f>SUMPRODUCT(($B$5:$B$304=N14)*$C$5:$C$304*$J$5:$J$304)/P14</f>
        <v/>
      </c>
      <c r="T14" s="7">
        <f>Q14/P14</f>
        <v/>
      </c>
    </row>
    <row r="15">
      <c r="A15">
        <f>Holdings!A12</f>
        <v/>
      </c>
      <c r="B15">
        <f>Holdings!C12</f>
        <v/>
      </c>
      <c r="C15">
        <f>Holdings!F12</f>
        <v/>
      </c>
      <c r="D15">
        <f>Holdings!G12</f>
        <v/>
      </c>
      <c r="E15" s="14">
        <f>C15/D15</f>
        <v/>
      </c>
      <c r="F15">
        <f>IF(ISBLANK(Holdings!H12),"Sector proxy","Reported")</f>
        <v/>
      </c>
      <c r="G15" s="5">
        <f>IF(ISBLANK(Holdings!H12),D15*VLOOKUP(B15,Inputs!$A$15:$B$36,2,FALSE),Holdings!H12)</f>
        <v/>
      </c>
      <c r="H15" s="5">
        <f>_xlfn.XLOOKUP(B15,'Emission Factors'!$G$5:$G$26,'Emission Factors'!$H$5:$H$26)</f>
        <v/>
      </c>
      <c r="I15" s="5">
        <f>E15*G15*H15</f>
        <v/>
      </c>
      <c r="J15">
        <f>IF(ISBLANK(Holdings!H12),5,4)</f>
        <v/>
      </c>
      <c r="K15" s="10">
        <f>C15/SUM($C$5:$C$304)</f>
        <v/>
      </c>
      <c r="L15" s="7">
        <f>K15*H15</f>
        <v/>
      </c>
      <c r="N15" t="inlineStr">
        <is>
          <t>Agriculture &amp; Food</t>
        </is>
      </c>
      <c r="O15">
        <f>COUNTIF($B$5:$B$304,N15)</f>
        <v/>
      </c>
      <c r="P15" s="5">
        <f>SUMIFS($C$5:$C$304,$B$5:$B$304,N15)</f>
        <v/>
      </c>
      <c r="Q15" s="5">
        <f>SUMIFS($I$5:$I$304,$B$5:$B$304,N15)</f>
        <v/>
      </c>
      <c r="R15" s="6">
        <f>Q15/SUM($Q$5:$Q$26)</f>
        <v/>
      </c>
      <c r="S15" s="7">
        <f>SUMPRODUCT(($B$5:$B$304=N15)*$C$5:$C$304*$J$5:$J$304)/P15</f>
        <v/>
      </c>
      <c r="T15" s="7">
        <f>Q15/P15</f>
        <v/>
      </c>
    </row>
    <row r="16">
      <c r="A16">
        <f>Holdings!A13</f>
        <v/>
      </c>
      <c r="B16">
        <f>Holdings!C13</f>
        <v/>
      </c>
      <c r="C16">
        <f>Holdings!F13</f>
        <v/>
      </c>
      <c r="D16">
        <f>Holdings!G13</f>
        <v/>
      </c>
      <c r="E16" s="14">
        <f>C16/D16</f>
        <v/>
      </c>
      <c r="F16">
        <f>IF(ISBLANK(Holdings!H13),"Sector proxy","Reported")</f>
        <v/>
      </c>
      <c r="G16" s="5">
        <f>IF(ISBLANK(Holdings!H13),D16*VLOOKUP(B16,Inputs!$A$15:$B$36,2,FALSE),Holdings!H13)</f>
        <v/>
      </c>
      <c r="H16" s="5">
        <f>_xlfn.XLOOKUP(B16,'Emission Factors'!$G$5:$G$26,'Emission Factors'!$H$5:$H$26)</f>
        <v/>
      </c>
      <c r="I16" s="5">
        <f>E16*G16*H16</f>
        <v/>
      </c>
      <c r="J16">
        <f>IF(ISBLANK(Holdings!H13),5,4)</f>
        <v/>
      </c>
      <c r="K16" s="10">
        <f>C16/SUM($C$5:$C$304)</f>
        <v/>
      </c>
      <c r="L16" s="7">
        <f>K16*H16</f>
        <v/>
      </c>
      <c r="N16" t="inlineStr">
        <is>
          <t>Airlines</t>
        </is>
      </c>
      <c r="O16">
        <f>COUNTIF($B$5:$B$304,N16)</f>
        <v/>
      </c>
      <c r="P16" s="5">
        <f>SUMIFS($C$5:$C$304,$B$5:$B$304,N16)</f>
        <v/>
      </c>
      <c r="Q16" s="5">
        <f>SUMIFS($I$5:$I$304,$B$5:$B$304,N16)</f>
        <v/>
      </c>
      <c r="R16" s="6">
        <f>Q16/SUM($Q$5:$Q$26)</f>
        <v/>
      </c>
      <c r="S16" s="7">
        <f>SUMPRODUCT(($B$5:$B$304=N16)*$C$5:$C$304*$J$5:$J$304)/P16</f>
        <v/>
      </c>
      <c r="T16" s="7">
        <f>Q16/P16</f>
        <v/>
      </c>
    </row>
    <row r="17">
      <c r="A17">
        <f>Holdings!A14</f>
        <v/>
      </c>
      <c r="B17">
        <f>Holdings!C14</f>
        <v/>
      </c>
      <c r="C17">
        <f>Holdings!F14</f>
        <v/>
      </c>
      <c r="D17">
        <f>Holdings!G14</f>
        <v/>
      </c>
      <c r="E17" s="14">
        <f>C17/D17</f>
        <v/>
      </c>
      <c r="F17">
        <f>IF(ISBLANK(Holdings!H14),"Sector proxy","Reported")</f>
        <v/>
      </c>
      <c r="G17" s="5">
        <f>IF(ISBLANK(Holdings!H14),D17*VLOOKUP(B17,Inputs!$A$15:$B$36,2,FALSE),Holdings!H14)</f>
        <v/>
      </c>
      <c r="H17" s="5">
        <f>_xlfn.XLOOKUP(B17,'Emission Factors'!$G$5:$G$26,'Emission Factors'!$H$5:$H$26)</f>
        <v/>
      </c>
      <c r="I17" s="5">
        <f>E17*G17*H17</f>
        <v/>
      </c>
      <c r="J17">
        <f>IF(ISBLANK(Holdings!H14),5,4)</f>
        <v/>
      </c>
      <c r="K17" s="10">
        <f>C17/SUM($C$5:$C$304)</f>
        <v/>
      </c>
      <c r="L17" s="7">
        <f>K17*H17</f>
        <v/>
      </c>
      <c r="N17" t="inlineStr">
        <is>
          <t>Rail</t>
        </is>
      </c>
      <c r="O17">
        <f>COUNTIF($B$5:$B$304,N17)</f>
        <v/>
      </c>
      <c r="P17" s="5">
        <f>SUMIFS($C$5:$C$304,$B$5:$B$304,N17)</f>
        <v/>
      </c>
      <c r="Q17" s="5">
        <f>SUMIFS($I$5:$I$304,$B$5:$B$304,N17)</f>
        <v/>
      </c>
      <c r="R17" s="6">
        <f>Q17/SUM($Q$5:$Q$26)</f>
        <v/>
      </c>
      <c r="S17" s="7">
        <f>SUMPRODUCT(($B$5:$B$304=N17)*$C$5:$C$304*$J$5:$J$304)/P17</f>
        <v/>
      </c>
      <c r="T17" s="7">
        <f>Q17/P17</f>
        <v/>
      </c>
    </row>
    <row r="18">
      <c r="A18">
        <f>Holdings!A15</f>
        <v/>
      </c>
      <c r="B18">
        <f>Holdings!C15</f>
        <v/>
      </c>
      <c r="C18">
        <f>Holdings!F15</f>
        <v/>
      </c>
      <c r="D18">
        <f>Holdings!G15</f>
        <v/>
      </c>
      <c r="E18" s="14">
        <f>C18/D18</f>
        <v/>
      </c>
      <c r="F18">
        <f>IF(ISBLANK(Holdings!H15),"Sector proxy","Reported")</f>
        <v/>
      </c>
      <c r="G18" s="5">
        <f>IF(ISBLANK(Holdings!H15),D18*VLOOKUP(B18,Inputs!$A$15:$B$36,2,FALSE),Holdings!H15)</f>
        <v/>
      </c>
      <c r="H18" s="5">
        <f>_xlfn.XLOOKUP(B18,'Emission Factors'!$G$5:$G$26,'Emission Factors'!$H$5:$H$26)</f>
        <v/>
      </c>
      <c r="I18" s="5">
        <f>E18*G18*H18</f>
        <v/>
      </c>
      <c r="J18">
        <f>IF(ISBLANK(Holdings!H15),5,4)</f>
        <v/>
      </c>
      <c r="K18" s="10">
        <f>C18/SUM($C$5:$C$304)</f>
        <v/>
      </c>
      <c r="L18" s="7">
        <f>K18*H18</f>
        <v/>
      </c>
      <c r="N18" t="inlineStr">
        <is>
          <t>Trucking, Marine &amp; Logistics</t>
        </is>
      </c>
      <c r="O18">
        <f>COUNTIF($B$5:$B$304,N18)</f>
        <v/>
      </c>
      <c r="P18" s="5">
        <f>SUMIFS($C$5:$C$304,$B$5:$B$304,N18)</f>
        <v/>
      </c>
      <c r="Q18" s="5">
        <f>SUMIFS($I$5:$I$304,$B$5:$B$304,N18)</f>
        <v/>
      </c>
      <c r="R18" s="6">
        <f>Q18/SUM($Q$5:$Q$26)</f>
        <v/>
      </c>
      <c r="S18" s="7">
        <f>SUMPRODUCT(($B$5:$B$304=N18)*$C$5:$C$304*$J$5:$J$304)/P18</f>
        <v/>
      </c>
      <c r="T18" s="7">
        <f>Q18/P18</f>
        <v/>
      </c>
    </row>
    <row r="19">
      <c r="A19">
        <f>Holdings!A16</f>
        <v/>
      </c>
      <c r="B19">
        <f>Holdings!C16</f>
        <v/>
      </c>
      <c r="C19">
        <f>Holdings!F16</f>
        <v/>
      </c>
      <c r="D19">
        <f>Holdings!G16</f>
        <v/>
      </c>
      <c r="E19" s="14">
        <f>C19/D19</f>
        <v/>
      </c>
      <c r="F19">
        <f>IF(ISBLANK(Holdings!H16),"Sector proxy","Reported")</f>
        <v/>
      </c>
      <c r="G19" s="5">
        <f>IF(ISBLANK(Holdings!H16),D19*VLOOKUP(B19,Inputs!$A$15:$B$36,2,FALSE),Holdings!H16)</f>
        <v/>
      </c>
      <c r="H19" s="5">
        <f>_xlfn.XLOOKUP(B19,'Emission Factors'!$G$5:$G$26,'Emission Factors'!$H$5:$H$26)</f>
        <v/>
      </c>
      <c r="I19" s="5">
        <f>E19*G19*H19</f>
        <v/>
      </c>
      <c r="J19">
        <f>IF(ISBLANK(Holdings!H16),5,4)</f>
        <v/>
      </c>
      <c r="K19" s="10">
        <f>C19/SUM($C$5:$C$304)</f>
        <v/>
      </c>
      <c r="L19" s="7">
        <f>K19*H19</f>
        <v/>
      </c>
      <c r="N19" t="inlineStr">
        <is>
          <t>Construction</t>
        </is>
      </c>
      <c r="O19">
        <f>COUNTIF($B$5:$B$304,N19)</f>
        <v/>
      </c>
      <c r="P19" s="5">
        <f>SUMIFS($C$5:$C$304,$B$5:$B$304,N19)</f>
        <v/>
      </c>
      <c r="Q19" s="5">
        <f>SUMIFS($I$5:$I$304,$B$5:$B$304,N19)</f>
        <v/>
      </c>
      <c r="R19" s="6">
        <f>Q19/SUM($Q$5:$Q$26)</f>
        <v/>
      </c>
      <c r="S19" s="7">
        <f>SUMPRODUCT(($B$5:$B$304=N19)*$C$5:$C$304*$J$5:$J$304)/P19</f>
        <v/>
      </c>
      <c r="T19" s="7">
        <f>Q19/P19</f>
        <v/>
      </c>
    </row>
    <row r="20">
      <c r="A20">
        <f>Holdings!A17</f>
        <v/>
      </c>
      <c r="B20">
        <f>Holdings!C17</f>
        <v/>
      </c>
      <c r="C20">
        <f>Holdings!F17</f>
        <v/>
      </c>
      <c r="D20">
        <f>Holdings!G17</f>
        <v/>
      </c>
      <c r="E20" s="14">
        <f>C20/D20</f>
        <v/>
      </c>
      <c r="F20">
        <f>IF(ISBLANK(Holdings!H17),"Sector proxy","Reported")</f>
        <v/>
      </c>
      <c r="G20" s="5">
        <f>IF(ISBLANK(Holdings!H17),D20*VLOOKUP(B20,Inputs!$A$15:$B$36,2,FALSE),Holdings!H17)</f>
        <v/>
      </c>
      <c r="H20" s="5">
        <f>_xlfn.XLOOKUP(B20,'Emission Factors'!$G$5:$G$26,'Emission Factors'!$H$5:$H$26)</f>
        <v/>
      </c>
      <c r="I20" s="5">
        <f>E20*G20*H20</f>
        <v/>
      </c>
      <c r="J20">
        <f>IF(ISBLANK(Holdings!H17),5,4)</f>
        <v/>
      </c>
      <c r="K20" s="10">
        <f>C20/SUM($C$5:$C$304)</f>
        <v/>
      </c>
      <c r="L20" s="7">
        <f>K20*H20</f>
        <v/>
      </c>
      <c r="N20" t="inlineStr">
        <is>
          <t>Autos &amp; Transport Equipment</t>
        </is>
      </c>
      <c r="O20">
        <f>COUNTIF($B$5:$B$304,N20)</f>
        <v/>
      </c>
      <c r="P20" s="5">
        <f>SUMIFS($C$5:$C$304,$B$5:$B$304,N20)</f>
        <v/>
      </c>
      <c r="Q20" s="5">
        <f>SUMIFS($I$5:$I$304,$B$5:$B$304,N20)</f>
        <v/>
      </c>
      <c r="R20" s="6">
        <f>Q20/SUM($Q$5:$Q$26)</f>
        <v/>
      </c>
      <c r="S20" s="7">
        <f>SUMPRODUCT(($B$5:$B$304=N20)*$C$5:$C$304*$J$5:$J$304)/P20</f>
        <v/>
      </c>
      <c r="T20" s="7">
        <f>Q20/P20</f>
        <v/>
      </c>
    </row>
    <row r="21">
      <c r="A21">
        <f>Holdings!A18</f>
        <v/>
      </c>
      <c r="B21">
        <f>Holdings!C18</f>
        <v/>
      </c>
      <c r="C21">
        <f>Holdings!F18</f>
        <v/>
      </c>
      <c r="D21">
        <f>Holdings!G18</f>
        <v/>
      </c>
      <c r="E21" s="14">
        <f>C21/D21</f>
        <v/>
      </c>
      <c r="F21">
        <f>IF(ISBLANK(Holdings!H18),"Sector proxy","Reported")</f>
        <v/>
      </c>
      <c r="G21" s="5">
        <f>IF(ISBLANK(Holdings!H18),D21*VLOOKUP(B21,Inputs!$A$15:$B$36,2,FALSE),Holdings!H18)</f>
        <v/>
      </c>
      <c r="H21" s="5">
        <f>_xlfn.XLOOKUP(B21,'Emission Factors'!$G$5:$G$26,'Emission Factors'!$H$5:$H$26)</f>
        <v/>
      </c>
      <c r="I21" s="5">
        <f>E21*G21*H21</f>
        <v/>
      </c>
      <c r="J21">
        <f>IF(ISBLANK(Holdings!H18),5,4)</f>
        <v/>
      </c>
      <c r="K21" s="10">
        <f>C21/SUM($C$5:$C$304)</f>
        <v/>
      </c>
      <c r="L21" s="7">
        <f>K21*H21</f>
        <v/>
      </c>
      <c r="N21" t="inlineStr">
        <is>
          <t>Industrial &amp; Tech Manufacturing</t>
        </is>
      </c>
      <c r="O21">
        <f>COUNTIF($B$5:$B$304,N21)</f>
        <v/>
      </c>
      <c r="P21" s="5">
        <f>SUMIFS($C$5:$C$304,$B$5:$B$304,N21)</f>
        <v/>
      </c>
      <c r="Q21" s="5">
        <f>SUMIFS($I$5:$I$304,$B$5:$B$304,N21)</f>
        <v/>
      </c>
      <c r="R21" s="6">
        <f>Q21/SUM($Q$5:$Q$26)</f>
        <v/>
      </c>
      <c r="S21" s="7">
        <f>SUMPRODUCT(($B$5:$B$304=N21)*$C$5:$C$304*$J$5:$J$304)/P21</f>
        <v/>
      </c>
      <c r="T21" s="7">
        <f>Q21/P21</f>
        <v/>
      </c>
    </row>
    <row r="22">
      <c r="A22">
        <f>Holdings!A19</f>
        <v/>
      </c>
      <c r="B22">
        <f>Holdings!C19</f>
        <v/>
      </c>
      <c r="C22">
        <f>Holdings!F19</f>
        <v/>
      </c>
      <c r="D22">
        <f>Holdings!G19</f>
        <v/>
      </c>
      <c r="E22" s="14">
        <f>C22/D22</f>
        <v/>
      </c>
      <c r="F22">
        <f>IF(ISBLANK(Holdings!H19),"Sector proxy","Reported")</f>
        <v/>
      </c>
      <c r="G22" s="5">
        <f>IF(ISBLANK(Holdings!H19),D22*VLOOKUP(B22,Inputs!$A$15:$B$36,2,FALSE),Holdings!H19)</f>
        <v/>
      </c>
      <c r="H22" s="5">
        <f>_xlfn.XLOOKUP(B22,'Emission Factors'!$G$5:$G$26,'Emission Factors'!$H$5:$H$26)</f>
        <v/>
      </c>
      <c r="I22" s="5">
        <f>E22*G22*H22</f>
        <v/>
      </c>
      <c r="J22">
        <f>IF(ISBLANK(Holdings!H19),5,4)</f>
        <v/>
      </c>
      <c r="K22" s="10">
        <f>C22/SUM($C$5:$C$304)</f>
        <v/>
      </c>
      <c r="L22" s="7">
        <f>K22*H22</f>
        <v/>
      </c>
      <c r="N22" t="inlineStr">
        <is>
          <t>Retail &amp; Wholesale</t>
        </is>
      </c>
      <c r="O22">
        <f>COUNTIF($B$5:$B$304,N22)</f>
        <v/>
      </c>
      <c r="P22" s="5">
        <f>SUMIFS($C$5:$C$304,$B$5:$B$304,N22)</f>
        <v/>
      </c>
      <c r="Q22" s="5">
        <f>SUMIFS($I$5:$I$304,$B$5:$B$304,N22)</f>
        <v/>
      </c>
      <c r="R22" s="6">
        <f>Q22/SUM($Q$5:$Q$26)</f>
        <v/>
      </c>
      <c r="S22" s="7">
        <f>SUMPRODUCT(($B$5:$B$304=N22)*$C$5:$C$304*$J$5:$J$304)/P22</f>
        <v/>
      </c>
      <c r="T22" s="7">
        <f>Q22/P22</f>
        <v/>
      </c>
    </row>
    <row r="23">
      <c r="A23">
        <f>Holdings!A20</f>
        <v/>
      </c>
      <c r="B23">
        <f>Holdings!C20</f>
        <v/>
      </c>
      <c r="C23">
        <f>Holdings!F20</f>
        <v/>
      </c>
      <c r="D23">
        <f>Holdings!G20</f>
        <v/>
      </c>
      <c r="E23" s="14">
        <f>C23/D23</f>
        <v/>
      </c>
      <c r="F23">
        <f>IF(ISBLANK(Holdings!H20),"Sector proxy","Reported")</f>
        <v/>
      </c>
      <c r="G23" s="5">
        <f>IF(ISBLANK(Holdings!H20),D23*VLOOKUP(B23,Inputs!$A$15:$B$36,2,FALSE),Holdings!H20)</f>
        <v/>
      </c>
      <c r="H23" s="5">
        <f>_xlfn.XLOOKUP(B23,'Emission Factors'!$G$5:$G$26,'Emission Factors'!$H$5:$H$26)</f>
        <v/>
      </c>
      <c r="I23" s="5">
        <f>E23*G23*H23</f>
        <v/>
      </c>
      <c r="J23">
        <f>IF(ISBLANK(Holdings!H20),5,4)</f>
        <v/>
      </c>
      <c r="K23" s="10">
        <f>C23/SUM($C$5:$C$304)</f>
        <v/>
      </c>
      <c r="L23" s="7">
        <f>K23*H23</f>
        <v/>
      </c>
      <c r="N23" t="inlineStr">
        <is>
          <t>Telecom &amp; Media</t>
        </is>
      </c>
      <c r="O23">
        <f>COUNTIF($B$5:$B$304,N23)</f>
        <v/>
      </c>
      <c r="P23" s="5">
        <f>SUMIFS($C$5:$C$304,$B$5:$B$304,N23)</f>
        <v/>
      </c>
      <c r="Q23" s="5">
        <f>SUMIFS($I$5:$I$304,$B$5:$B$304,N23)</f>
        <v/>
      </c>
      <c r="R23" s="6">
        <f>Q23/SUM($Q$5:$Q$26)</f>
        <v/>
      </c>
      <c r="S23" s="7">
        <f>SUMPRODUCT(($B$5:$B$304=N23)*$C$5:$C$304*$J$5:$J$304)/P23</f>
        <v/>
      </c>
      <c r="T23" s="7">
        <f>Q23/P23</f>
        <v/>
      </c>
    </row>
    <row r="24">
      <c r="A24">
        <f>Holdings!A21</f>
        <v/>
      </c>
      <c r="B24">
        <f>Holdings!C21</f>
        <v/>
      </c>
      <c r="C24">
        <f>Holdings!F21</f>
        <v/>
      </c>
      <c r="D24">
        <f>Holdings!G21</f>
        <v/>
      </c>
      <c r="E24" s="14">
        <f>C24/D24</f>
        <v/>
      </c>
      <c r="F24">
        <f>IF(ISBLANK(Holdings!H21),"Sector proxy","Reported")</f>
        <v/>
      </c>
      <c r="G24" s="5">
        <f>IF(ISBLANK(Holdings!H21),D24*VLOOKUP(B24,Inputs!$A$15:$B$36,2,FALSE),Holdings!H21)</f>
        <v/>
      </c>
      <c r="H24" s="5">
        <f>_xlfn.XLOOKUP(B24,'Emission Factors'!$G$5:$G$26,'Emission Factors'!$H$5:$H$26)</f>
        <v/>
      </c>
      <c r="I24" s="5">
        <f>E24*G24*H24</f>
        <v/>
      </c>
      <c r="J24">
        <f>IF(ISBLANK(Holdings!H21),5,4)</f>
        <v/>
      </c>
      <c r="K24" s="10">
        <f>C24/SUM($C$5:$C$304)</f>
        <v/>
      </c>
      <c r="L24" s="7">
        <f>K24*H24</f>
        <v/>
      </c>
      <c r="N24" t="inlineStr">
        <is>
          <t>Banks &amp; Insurance</t>
        </is>
      </c>
      <c r="O24">
        <f>COUNTIF($B$5:$B$304,N24)</f>
        <v/>
      </c>
      <c r="P24" s="5">
        <f>SUMIFS($C$5:$C$304,$B$5:$B$304,N24)</f>
        <v/>
      </c>
      <c r="Q24" s="5">
        <f>SUMIFS($I$5:$I$304,$B$5:$B$304,N24)</f>
        <v/>
      </c>
      <c r="R24" s="6">
        <f>Q24/SUM($Q$5:$Q$26)</f>
        <v/>
      </c>
      <c r="S24" s="7">
        <f>SUMPRODUCT(($B$5:$B$304=N24)*$C$5:$C$304*$J$5:$J$304)/P24</f>
        <v/>
      </c>
      <c r="T24" s="7">
        <f>Q24/P24</f>
        <v/>
      </c>
    </row>
    <row r="25">
      <c r="A25">
        <f>Holdings!A22</f>
        <v/>
      </c>
      <c r="B25">
        <f>Holdings!C22</f>
        <v/>
      </c>
      <c r="C25">
        <f>Holdings!F22</f>
        <v/>
      </c>
      <c r="D25">
        <f>Holdings!G22</f>
        <v/>
      </c>
      <c r="E25" s="14">
        <f>C25/D25</f>
        <v/>
      </c>
      <c r="F25">
        <f>IF(ISBLANK(Holdings!H22),"Sector proxy","Reported")</f>
        <v/>
      </c>
      <c r="G25" s="5">
        <f>IF(ISBLANK(Holdings!H22),D25*VLOOKUP(B25,Inputs!$A$15:$B$36,2,FALSE),Holdings!H22)</f>
        <v/>
      </c>
      <c r="H25" s="5">
        <f>_xlfn.XLOOKUP(B25,'Emission Factors'!$G$5:$G$26,'Emission Factors'!$H$5:$H$26)</f>
        <v/>
      </c>
      <c r="I25" s="5">
        <f>E25*G25*H25</f>
        <v/>
      </c>
      <c r="J25">
        <f>IF(ISBLANK(Holdings!H22),5,4)</f>
        <v/>
      </c>
      <c r="K25" s="10">
        <f>C25/SUM($C$5:$C$304)</f>
        <v/>
      </c>
      <c r="L25" s="7">
        <f>K25*H25</f>
        <v/>
      </c>
      <c r="N25" t="inlineStr">
        <is>
          <t>Real Estate</t>
        </is>
      </c>
      <c r="O25">
        <f>COUNTIF($B$5:$B$304,N25)</f>
        <v/>
      </c>
      <c r="P25" s="5">
        <f>SUMIFS($C$5:$C$304,$B$5:$B$304,N25)</f>
        <v/>
      </c>
      <c r="Q25" s="5">
        <f>SUMIFS($I$5:$I$304,$B$5:$B$304,N25)</f>
        <v/>
      </c>
      <c r="R25" s="6">
        <f>Q25/SUM($Q$5:$Q$26)</f>
        <v/>
      </c>
      <c r="S25" s="7">
        <f>SUMPRODUCT(($B$5:$B$304=N25)*$C$5:$C$304*$J$5:$J$304)/P25</f>
        <v/>
      </c>
      <c r="T25" s="7">
        <f>Q25/P25</f>
        <v/>
      </c>
    </row>
    <row r="26">
      <c r="A26">
        <f>Holdings!A23</f>
        <v/>
      </c>
      <c r="B26">
        <f>Holdings!C23</f>
        <v/>
      </c>
      <c r="C26">
        <f>Holdings!F23</f>
        <v/>
      </c>
      <c r="D26">
        <f>Holdings!G23</f>
        <v/>
      </c>
      <c r="E26" s="14">
        <f>C26/D26</f>
        <v/>
      </c>
      <c r="F26">
        <f>IF(ISBLANK(Holdings!H23),"Sector proxy","Reported")</f>
        <v/>
      </c>
      <c r="G26" s="5">
        <f>IF(ISBLANK(Holdings!H23),D26*VLOOKUP(B26,Inputs!$A$15:$B$36,2,FALSE),Holdings!H23)</f>
        <v/>
      </c>
      <c r="H26" s="5">
        <f>_xlfn.XLOOKUP(B26,'Emission Factors'!$G$5:$G$26,'Emission Factors'!$H$5:$H$26)</f>
        <v/>
      </c>
      <c r="I26" s="5">
        <f>E26*G26*H26</f>
        <v/>
      </c>
      <c r="J26">
        <f>IF(ISBLANK(Holdings!H23),5,4)</f>
        <v/>
      </c>
      <c r="K26" s="10">
        <f>C26/SUM($C$5:$C$304)</f>
        <v/>
      </c>
      <c r="L26" s="7">
        <f>K26*H26</f>
        <v/>
      </c>
      <c r="N26" t="inlineStr">
        <is>
          <t>Business &amp; Consumer Services</t>
        </is>
      </c>
      <c r="O26">
        <f>COUNTIF($B$5:$B$304,N26)</f>
        <v/>
      </c>
      <c r="P26" s="5">
        <f>SUMIFS($C$5:$C$304,$B$5:$B$304,N26)</f>
        <v/>
      </c>
      <c r="Q26" s="5">
        <f>SUMIFS($I$5:$I$304,$B$5:$B$304,N26)</f>
        <v/>
      </c>
      <c r="R26" s="6">
        <f>Q26/SUM($Q$5:$Q$26)</f>
        <v/>
      </c>
      <c r="S26" s="7">
        <f>SUMPRODUCT(($B$5:$B$304=N26)*$C$5:$C$304*$J$5:$J$304)/P26</f>
        <v/>
      </c>
      <c r="T26" s="7">
        <f>Q26/P26</f>
        <v/>
      </c>
    </row>
    <row r="27">
      <c r="A27">
        <f>Holdings!A24</f>
        <v/>
      </c>
      <c r="B27">
        <f>Holdings!C24</f>
        <v/>
      </c>
      <c r="C27">
        <f>Holdings!F24</f>
        <v/>
      </c>
      <c r="D27">
        <f>Holdings!G24</f>
        <v/>
      </c>
      <c r="E27" s="14">
        <f>C27/D27</f>
        <v/>
      </c>
      <c r="F27">
        <f>IF(ISBLANK(Holdings!H24),"Sector proxy","Reported")</f>
        <v/>
      </c>
      <c r="G27" s="5">
        <f>IF(ISBLANK(Holdings!H24),D27*VLOOKUP(B27,Inputs!$A$15:$B$36,2,FALSE),Holdings!H24)</f>
        <v/>
      </c>
      <c r="H27" s="5">
        <f>_xlfn.XLOOKUP(B27,'Emission Factors'!$G$5:$G$26,'Emission Factors'!$H$5:$H$26)</f>
        <v/>
      </c>
      <c r="I27" s="5">
        <f>E27*G27*H27</f>
        <v/>
      </c>
      <c r="J27">
        <f>IF(ISBLANK(Holdings!H24),5,4)</f>
        <v/>
      </c>
      <c r="K27" s="10">
        <f>C27/SUM($C$5:$C$304)</f>
        <v/>
      </c>
      <c r="L27" s="7">
        <f>K27*H27</f>
        <v/>
      </c>
      <c r="N27" s="12" t="inlineStr">
        <is>
          <t>Total portfolio</t>
        </is>
      </c>
      <c r="O27">
        <f>SUM(O5:O26)</f>
        <v/>
      </c>
      <c r="P27" s="5">
        <f>SUM(P5:P26)</f>
        <v/>
      </c>
      <c r="Q27" s="5">
        <f>SUM(Q5:Q26)</f>
        <v/>
      </c>
      <c r="R27" s="6">
        <f>SUM(R5:R26)</f>
        <v/>
      </c>
      <c r="S27" s="7">
        <f>SUMPRODUCT($C$5:$C$304,$J$5:$J$304)/SUM($C$5:$C$304)</f>
        <v/>
      </c>
      <c r="T27" s="7">
        <f>Q27/P27</f>
        <v/>
      </c>
    </row>
    <row r="28">
      <c r="A28">
        <f>Holdings!A25</f>
        <v/>
      </c>
      <c r="B28">
        <f>Holdings!C25</f>
        <v/>
      </c>
      <c r="C28">
        <f>Holdings!F25</f>
        <v/>
      </c>
      <c r="D28">
        <f>Holdings!G25</f>
        <v/>
      </c>
      <c r="E28" s="14">
        <f>C28/D28</f>
        <v/>
      </c>
      <c r="F28">
        <f>IF(ISBLANK(Holdings!H25),"Sector proxy","Reported")</f>
        <v/>
      </c>
      <c r="G28" s="5">
        <f>IF(ISBLANK(Holdings!H25),D28*VLOOKUP(B28,Inputs!$A$15:$B$36,2,FALSE),Holdings!H25)</f>
        <v/>
      </c>
      <c r="H28" s="5">
        <f>_xlfn.XLOOKUP(B28,'Emission Factors'!$G$5:$G$26,'Emission Factors'!$H$5:$H$26)</f>
        <v/>
      </c>
      <c r="I28" s="5">
        <f>E28*G28*H28</f>
        <v/>
      </c>
      <c r="J28">
        <f>IF(ISBLANK(Holdings!H25),5,4)</f>
        <v/>
      </c>
      <c r="K28" s="10">
        <f>C28/SUM($C$5:$C$304)</f>
        <v/>
      </c>
      <c r="L28" s="7">
        <f>K28*H28</f>
        <v/>
      </c>
    </row>
    <row r="29">
      <c r="A29">
        <f>Holdings!A26</f>
        <v/>
      </c>
      <c r="B29">
        <f>Holdings!C26</f>
        <v/>
      </c>
      <c r="C29">
        <f>Holdings!F26</f>
        <v/>
      </c>
      <c r="D29">
        <f>Holdings!G26</f>
        <v/>
      </c>
      <c r="E29" s="14">
        <f>C29/D29</f>
        <v/>
      </c>
      <c r="F29">
        <f>IF(ISBLANK(Holdings!H26),"Sector proxy","Reported")</f>
        <v/>
      </c>
      <c r="G29" s="5">
        <f>IF(ISBLANK(Holdings!H26),D29*VLOOKUP(B29,Inputs!$A$15:$B$36,2,FALSE),Holdings!H26)</f>
        <v/>
      </c>
      <c r="H29" s="5">
        <f>_xlfn.XLOOKUP(B29,'Emission Factors'!$G$5:$G$26,'Emission Factors'!$H$5:$H$26)</f>
        <v/>
      </c>
      <c r="I29" s="5">
        <f>E29*G29*H29</f>
        <v/>
      </c>
      <c r="J29">
        <f>IF(ISBLANK(Holdings!H26),5,4)</f>
        <v/>
      </c>
      <c r="K29" s="10">
        <f>C29/SUM($C$5:$C$304)</f>
        <v/>
      </c>
      <c r="L29" s="7">
        <f>K29*H29</f>
        <v/>
      </c>
    </row>
    <row r="30">
      <c r="A30">
        <f>Holdings!A27</f>
        <v/>
      </c>
      <c r="B30">
        <f>Holdings!C27</f>
        <v/>
      </c>
      <c r="C30">
        <f>Holdings!F27</f>
        <v/>
      </c>
      <c r="D30">
        <f>Holdings!G27</f>
        <v/>
      </c>
      <c r="E30" s="14">
        <f>C30/D30</f>
        <v/>
      </c>
      <c r="F30">
        <f>IF(ISBLANK(Holdings!H27),"Sector proxy","Reported")</f>
        <v/>
      </c>
      <c r="G30" s="5">
        <f>IF(ISBLANK(Holdings!H27),D30*VLOOKUP(B30,Inputs!$A$15:$B$36,2,FALSE),Holdings!H27)</f>
        <v/>
      </c>
      <c r="H30" s="5">
        <f>_xlfn.XLOOKUP(B30,'Emission Factors'!$G$5:$G$26,'Emission Factors'!$H$5:$H$26)</f>
        <v/>
      </c>
      <c r="I30" s="5">
        <f>E30*G30*H30</f>
        <v/>
      </c>
      <c r="J30">
        <f>IF(ISBLANK(Holdings!H27),5,4)</f>
        <v/>
      </c>
      <c r="K30" s="10">
        <f>C30/SUM($C$5:$C$304)</f>
        <v/>
      </c>
      <c r="L30" s="7">
        <f>K30*H30</f>
        <v/>
      </c>
    </row>
    <row r="31">
      <c r="A31">
        <f>Holdings!A28</f>
        <v/>
      </c>
      <c r="B31">
        <f>Holdings!C28</f>
        <v/>
      </c>
      <c r="C31">
        <f>Holdings!F28</f>
        <v/>
      </c>
      <c r="D31">
        <f>Holdings!G28</f>
        <v/>
      </c>
      <c r="E31" s="14">
        <f>C31/D31</f>
        <v/>
      </c>
      <c r="F31">
        <f>IF(ISBLANK(Holdings!H28),"Sector proxy","Reported")</f>
        <v/>
      </c>
      <c r="G31" s="5">
        <f>IF(ISBLANK(Holdings!H28),D31*VLOOKUP(B31,Inputs!$A$15:$B$36,2,FALSE),Holdings!H28)</f>
        <v/>
      </c>
      <c r="H31" s="5">
        <f>_xlfn.XLOOKUP(B31,'Emission Factors'!$G$5:$G$26,'Emission Factors'!$H$5:$H$26)</f>
        <v/>
      </c>
      <c r="I31" s="5">
        <f>E31*G31*H31</f>
        <v/>
      </c>
      <c r="J31">
        <f>IF(ISBLANK(Holdings!H28),5,4)</f>
        <v/>
      </c>
      <c r="K31" s="10">
        <f>C31/SUM($C$5:$C$304)</f>
        <v/>
      </c>
      <c r="L31" s="7">
        <f>K31*H31</f>
        <v/>
      </c>
    </row>
    <row r="32">
      <c r="A32">
        <f>Holdings!A29</f>
        <v/>
      </c>
      <c r="B32">
        <f>Holdings!C29</f>
        <v/>
      </c>
      <c r="C32">
        <f>Holdings!F29</f>
        <v/>
      </c>
      <c r="D32">
        <f>Holdings!G29</f>
        <v/>
      </c>
      <c r="E32" s="14">
        <f>C32/D32</f>
        <v/>
      </c>
      <c r="F32">
        <f>IF(ISBLANK(Holdings!H29),"Sector proxy","Reported")</f>
        <v/>
      </c>
      <c r="G32" s="5">
        <f>IF(ISBLANK(Holdings!H29),D32*VLOOKUP(B32,Inputs!$A$15:$B$36,2,FALSE),Holdings!H29)</f>
        <v/>
      </c>
      <c r="H32" s="5">
        <f>_xlfn.XLOOKUP(B32,'Emission Factors'!$G$5:$G$26,'Emission Factors'!$H$5:$H$26)</f>
        <v/>
      </c>
      <c r="I32" s="5">
        <f>E32*G32*H32</f>
        <v/>
      </c>
      <c r="J32">
        <f>IF(ISBLANK(Holdings!H29),5,4)</f>
        <v/>
      </c>
      <c r="K32" s="10">
        <f>C32/SUM($C$5:$C$304)</f>
        <v/>
      </c>
      <c r="L32" s="7">
        <f>K32*H32</f>
        <v/>
      </c>
    </row>
    <row r="33">
      <c r="A33">
        <f>Holdings!A30</f>
        <v/>
      </c>
      <c r="B33">
        <f>Holdings!C30</f>
        <v/>
      </c>
      <c r="C33">
        <f>Holdings!F30</f>
        <v/>
      </c>
      <c r="D33">
        <f>Holdings!G30</f>
        <v/>
      </c>
      <c r="E33" s="14">
        <f>C33/D33</f>
        <v/>
      </c>
      <c r="F33">
        <f>IF(ISBLANK(Holdings!H30),"Sector proxy","Reported")</f>
        <v/>
      </c>
      <c r="G33" s="5">
        <f>IF(ISBLANK(Holdings!H30),D33*VLOOKUP(B33,Inputs!$A$15:$B$36,2,FALSE),Holdings!H30)</f>
        <v/>
      </c>
      <c r="H33" s="5">
        <f>_xlfn.XLOOKUP(B33,'Emission Factors'!$G$5:$G$26,'Emission Factors'!$H$5:$H$26)</f>
        <v/>
      </c>
      <c r="I33" s="5">
        <f>E33*G33*H33</f>
        <v/>
      </c>
      <c r="J33">
        <f>IF(ISBLANK(Holdings!H30),5,4)</f>
        <v/>
      </c>
      <c r="K33" s="10">
        <f>C33/SUM($C$5:$C$304)</f>
        <v/>
      </c>
      <c r="L33" s="7">
        <f>K33*H33</f>
        <v/>
      </c>
    </row>
    <row r="34">
      <c r="A34">
        <f>Holdings!A31</f>
        <v/>
      </c>
      <c r="B34">
        <f>Holdings!C31</f>
        <v/>
      </c>
      <c r="C34">
        <f>Holdings!F31</f>
        <v/>
      </c>
      <c r="D34">
        <f>Holdings!G31</f>
        <v/>
      </c>
      <c r="E34" s="14">
        <f>C34/D34</f>
        <v/>
      </c>
      <c r="F34">
        <f>IF(ISBLANK(Holdings!H31),"Sector proxy","Reported")</f>
        <v/>
      </c>
      <c r="G34" s="5">
        <f>IF(ISBLANK(Holdings!H31),D34*VLOOKUP(B34,Inputs!$A$15:$B$36,2,FALSE),Holdings!H31)</f>
        <v/>
      </c>
      <c r="H34" s="5">
        <f>_xlfn.XLOOKUP(B34,'Emission Factors'!$G$5:$G$26,'Emission Factors'!$H$5:$H$26)</f>
        <v/>
      </c>
      <c r="I34" s="5">
        <f>E34*G34*H34</f>
        <v/>
      </c>
      <c r="J34">
        <f>IF(ISBLANK(Holdings!H31),5,4)</f>
        <v/>
      </c>
      <c r="K34" s="10">
        <f>C34/SUM($C$5:$C$304)</f>
        <v/>
      </c>
      <c r="L34" s="7">
        <f>K34*H34</f>
        <v/>
      </c>
    </row>
    <row r="35">
      <c r="A35">
        <f>Holdings!A32</f>
        <v/>
      </c>
      <c r="B35">
        <f>Holdings!C32</f>
        <v/>
      </c>
      <c r="C35">
        <f>Holdings!F32</f>
        <v/>
      </c>
      <c r="D35">
        <f>Holdings!G32</f>
        <v/>
      </c>
      <c r="E35" s="14">
        <f>C35/D35</f>
        <v/>
      </c>
      <c r="F35">
        <f>IF(ISBLANK(Holdings!H32),"Sector proxy","Reported")</f>
        <v/>
      </c>
      <c r="G35" s="5">
        <f>IF(ISBLANK(Holdings!H32),D35*VLOOKUP(B35,Inputs!$A$15:$B$36,2,FALSE),Holdings!H32)</f>
        <v/>
      </c>
      <c r="H35" s="5">
        <f>_xlfn.XLOOKUP(B35,'Emission Factors'!$G$5:$G$26,'Emission Factors'!$H$5:$H$26)</f>
        <v/>
      </c>
      <c r="I35" s="5">
        <f>E35*G35*H35</f>
        <v/>
      </c>
      <c r="J35">
        <f>IF(ISBLANK(Holdings!H32),5,4)</f>
        <v/>
      </c>
      <c r="K35" s="10">
        <f>C35/SUM($C$5:$C$304)</f>
        <v/>
      </c>
      <c r="L35" s="7">
        <f>K35*H35</f>
        <v/>
      </c>
    </row>
    <row r="36">
      <c r="A36">
        <f>Holdings!A33</f>
        <v/>
      </c>
      <c r="B36">
        <f>Holdings!C33</f>
        <v/>
      </c>
      <c r="C36">
        <f>Holdings!F33</f>
        <v/>
      </c>
      <c r="D36">
        <f>Holdings!G33</f>
        <v/>
      </c>
      <c r="E36" s="14">
        <f>C36/D36</f>
        <v/>
      </c>
      <c r="F36">
        <f>IF(ISBLANK(Holdings!H33),"Sector proxy","Reported")</f>
        <v/>
      </c>
      <c r="G36" s="5">
        <f>IF(ISBLANK(Holdings!H33),D36*VLOOKUP(B36,Inputs!$A$15:$B$36,2,FALSE),Holdings!H33)</f>
        <v/>
      </c>
      <c r="H36" s="5">
        <f>_xlfn.XLOOKUP(B36,'Emission Factors'!$G$5:$G$26,'Emission Factors'!$H$5:$H$26)</f>
        <v/>
      </c>
      <c r="I36" s="5">
        <f>E36*G36*H36</f>
        <v/>
      </c>
      <c r="J36">
        <f>IF(ISBLANK(Holdings!H33),5,4)</f>
        <v/>
      </c>
      <c r="K36" s="10">
        <f>C36/SUM($C$5:$C$304)</f>
        <v/>
      </c>
      <c r="L36" s="7">
        <f>K36*H36</f>
        <v/>
      </c>
    </row>
    <row r="37">
      <c r="A37">
        <f>Holdings!A34</f>
        <v/>
      </c>
      <c r="B37">
        <f>Holdings!C34</f>
        <v/>
      </c>
      <c r="C37">
        <f>Holdings!F34</f>
        <v/>
      </c>
      <c r="D37">
        <f>Holdings!G34</f>
        <v/>
      </c>
      <c r="E37" s="14">
        <f>C37/D37</f>
        <v/>
      </c>
      <c r="F37">
        <f>IF(ISBLANK(Holdings!H34),"Sector proxy","Reported")</f>
        <v/>
      </c>
      <c r="G37" s="5">
        <f>IF(ISBLANK(Holdings!H34),D37*VLOOKUP(B37,Inputs!$A$15:$B$36,2,FALSE),Holdings!H34)</f>
        <v/>
      </c>
      <c r="H37" s="5">
        <f>_xlfn.XLOOKUP(B37,'Emission Factors'!$G$5:$G$26,'Emission Factors'!$H$5:$H$26)</f>
        <v/>
      </c>
      <c r="I37" s="5">
        <f>E37*G37*H37</f>
        <v/>
      </c>
      <c r="J37">
        <f>IF(ISBLANK(Holdings!H34),5,4)</f>
        <v/>
      </c>
      <c r="K37" s="10">
        <f>C37/SUM($C$5:$C$304)</f>
        <v/>
      </c>
      <c r="L37" s="7">
        <f>K37*H37</f>
        <v/>
      </c>
    </row>
    <row r="38">
      <c r="A38">
        <f>Holdings!A35</f>
        <v/>
      </c>
      <c r="B38">
        <f>Holdings!C35</f>
        <v/>
      </c>
      <c r="C38">
        <f>Holdings!F35</f>
        <v/>
      </c>
      <c r="D38">
        <f>Holdings!G35</f>
        <v/>
      </c>
      <c r="E38" s="14">
        <f>C38/D38</f>
        <v/>
      </c>
      <c r="F38">
        <f>IF(ISBLANK(Holdings!H35),"Sector proxy","Reported")</f>
        <v/>
      </c>
      <c r="G38" s="5">
        <f>IF(ISBLANK(Holdings!H35),D38*VLOOKUP(B38,Inputs!$A$15:$B$36,2,FALSE),Holdings!H35)</f>
        <v/>
      </c>
      <c r="H38" s="5">
        <f>_xlfn.XLOOKUP(B38,'Emission Factors'!$G$5:$G$26,'Emission Factors'!$H$5:$H$26)</f>
        <v/>
      </c>
      <c r="I38" s="5">
        <f>E38*G38*H38</f>
        <v/>
      </c>
      <c r="J38">
        <f>IF(ISBLANK(Holdings!H35),5,4)</f>
        <v/>
      </c>
      <c r="K38" s="10">
        <f>C38/SUM($C$5:$C$304)</f>
        <v/>
      </c>
      <c r="L38" s="7">
        <f>K38*H38</f>
        <v/>
      </c>
    </row>
    <row r="39">
      <c r="A39">
        <f>Holdings!A36</f>
        <v/>
      </c>
      <c r="B39">
        <f>Holdings!C36</f>
        <v/>
      </c>
      <c r="C39">
        <f>Holdings!F36</f>
        <v/>
      </c>
      <c r="D39">
        <f>Holdings!G36</f>
        <v/>
      </c>
      <c r="E39" s="14">
        <f>C39/D39</f>
        <v/>
      </c>
      <c r="F39">
        <f>IF(ISBLANK(Holdings!H36),"Sector proxy","Reported")</f>
        <v/>
      </c>
      <c r="G39" s="5">
        <f>IF(ISBLANK(Holdings!H36),D39*VLOOKUP(B39,Inputs!$A$15:$B$36,2,FALSE),Holdings!H36)</f>
        <v/>
      </c>
      <c r="H39" s="5">
        <f>_xlfn.XLOOKUP(B39,'Emission Factors'!$G$5:$G$26,'Emission Factors'!$H$5:$H$26)</f>
        <v/>
      </c>
      <c r="I39" s="5">
        <f>E39*G39*H39</f>
        <v/>
      </c>
      <c r="J39">
        <f>IF(ISBLANK(Holdings!H36),5,4)</f>
        <v/>
      </c>
      <c r="K39" s="10">
        <f>C39/SUM($C$5:$C$304)</f>
        <v/>
      </c>
      <c r="L39" s="7">
        <f>K39*H39</f>
        <v/>
      </c>
    </row>
    <row r="40">
      <c r="A40">
        <f>Holdings!A37</f>
        <v/>
      </c>
      <c r="B40">
        <f>Holdings!C37</f>
        <v/>
      </c>
      <c r="C40">
        <f>Holdings!F37</f>
        <v/>
      </c>
      <c r="D40">
        <f>Holdings!G37</f>
        <v/>
      </c>
      <c r="E40" s="14">
        <f>C40/D40</f>
        <v/>
      </c>
      <c r="F40">
        <f>IF(ISBLANK(Holdings!H37),"Sector proxy","Reported")</f>
        <v/>
      </c>
      <c r="G40" s="5">
        <f>IF(ISBLANK(Holdings!H37),D40*VLOOKUP(B40,Inputs!$A$15:$B$36,2,FALSE),Holdings!H37)</f>
        <v/>
      </c>
      <c r="H40" s="5">
        <f>_xlfn.XLOOKUP(B40,'Emission Factors'!$G$5:$G$26,'Emission Factors'!$H$5:$H$26)</f>
        <v/>
      </c>
      <c r="I40" s="5">
        <f>E40*G40*H40</f>
        <v/>
      </c>
      <c r="J40">
        <f>IF(ISBLANK(Holdings!H37),5,4)</f>
        <v/>
      </c>
      <c r="K40" s="10">
        <f>C40/SUM($C$5:$C$304)</f>
        <v/>
      </c>
      <c r="L40" s="7">
        <f>K40*H40</f>
        <v/>
      </c>
    </row>
    <row r="41">
      <c r="A41">
        <f>Holdings!A38</f>
        <v/>
      </c>
      <c r="B41">
        <f>Holdings!C38</f>
        <v/>
      </c>
      <c r="C41">
        <f>Holdings!F38</f>
        <v/>
      </c>
      <c r="D41">
        <f>Holdings!G38</f>
        <v/>
      </c>
      <c r="E41" s="14">
        <f>C41/D41</f>
        <v/>
      </c>
      <c r="F41">
        <f>IF(ISBLANK(Holdings!H38),"Sector proxy","Reported")</f>
        <v/>
      </c>
      <c r="G41" s="5">
        <f>IF(ISBLANK(Holdings!H38),D41*VLOOKUP(B41,Inputs!$A$15:$B$36,2,FALSE),Holdings!H38)</f>
        <v/>
      </c>
      <c r="H41" s="5">
        <f>_xlfn.XLOOKUP(B41,'Emission Factors'!$G$5:$G$26,'Emission Factors'!$H$5:$H$26)</f>
        <v/>
      </c>
      <c r="I41" s="5">
        <f>E41*G41*H41</f>
        <v/>
      </c>
      <c r="J41">
        <f>IF(ISBLANK(Holdings!H38),5,4)</f>
        <v/>
      </c>
      <c r="K41" s="10">
        <f>C41/SUM($C$5:$C$304)</f>
        <v/>
      </c>
      <c r="L41" s="7">
        <f>K41*H41</f>
        <v/>
      </c>
    </row>
    <row r="42">
      <c r="A42">
        <f>Holdings!A39</f>
        <v/>
      </c>
      <c r="B42">
        <f>Holdings!C39</f>
        <v/>
      </c>
      <c r="C42">
        <f>Holdings!F39</f>
        <v/>
      </c>
      <c r="D42">
        <f>Holdings!G39</f>
        <v/>
      </c>
      <c r="E42" s="14">
        <f>C42/D42</f>
        <v/>
      </c>
      <c r="F42">
        <f>IF(ISBLANK(Holdings!H39),"Sector proxy","Reported")</f>
        <v/>
      </c>
      <c r="G42" s="5">
        <f>IF(ISBLANK(Holdings!H39),D42*VLOOKUP(B42,Inputs!$A$15:$B$36,2,FALSE),Holdings!H39)</f>
        <v/>
      </c>
      <c r="H42" s="5">
        <f>_xlfn.XLOOKUP(B42,'Emission Factors'!$G$5:$G$26,'Emission Factors'!$H$5:$H$26)</f>
        <v/>
      </c>
      <c r="I42" s="5">
        <f>E42*G42*H42</f>
        <v/>
      </c>
      <c r="J42">
        <f>IF(ISBLANK(Holdings!H39),5,4)</f>
        <v/>
      </c>
      <c r="K42" s="10">
        <f>C42/SUM($C$5:$C$304)</f>
        <v/>
      </c>
      <c r="L42" s="7">
        <f>K42*H42</f>
        <v/>
      </c>
    </row>
    <row r="43">
      <c r="A43">
        <f>Holdings!A40</f>
        <v/>
      </c>
      <c r="B43">
        <f>Holdings!C40</f>
        <v/>
      </c>
      <c r="C43">
        <f>Holdings!F40</f>
        <v/>
      </c>
      <c r="D43">
        <f>Holdings!G40</f>
        <v/>
      </c>
      <c r="E43" s="14">
        <f>C43/D43</f>
        <v/>
      </c>
      <c r="F43">
        <f>IF(ISBLANK(Holdings!H40),"Sector proxy","Reported")</f>
        <v/>
      </c>
      <c r="G43" s="5">
        <f>IF(ISBLANK(Holdings!H40),D43*VLOOKUP(B43,Inputs!$A$15:$B$36,2,FALSE),Holdings!H40)</f>
        <v/>
      </c>
      <c r="H43" s="5">
        <f>_xlfn.XLOOKUP(B43,'Emission Factors'!$G$5:$G$26,'Emission Factors'!$H$5:$H$26)</f>
        <v/>
      </c>
      <c r="I43" s="5">
        <f>E43*G43*H43</f>
        <v/>
      </c>
      <c r="J43">
        <f>IF(ISBLANK(Holdings!H40),5,4)</f>
        <v/>
      </c>
      <c r="K43" s="10">
        <f>C43/SUM($C$5:$C$304)</f>
        <v/>
      </c>
      <c r="L43" s="7">
        <f>K43*H43</f>
        <v/>
      </c>
    </row>
    <row r="44">
      <c r="A44">
        <f>Holdings!A41</f>
        <v/>
      </c>
      <c r="B44">
        <f>Holdings!C41</f>
        <v/>
      </c>
      <c r="C44">
        <f>Holdings!F41</f>
        <v/>
      </c>
      <c r="D44">
        <f>Holdings!G41</f>
        <v/>
      </c>
      <c r="E44" s="14">
        <f>C44/D44</f>
        <v/>
      </c>
      <c r="F44">
        <f>IF(ISBLANK(Holdings!H41),"Sector proxy","Reported")</f>
        <v/>
      </c>
      <c r="G44" s="5">
        <f>IF(ISBLANK(Holdings!H41),D44*VLOOKUP(B44,Inputs!$A$15:$B$36,2,FALSE),Holdings!H41)</f>
        <v/>
      </c>
      <c r="H44" s="5">
        <f>_xlfn.XLOOKUP(B44,'Emission Factors'!$G$5:$G$26,'Emission Factors'!$H$5:$H$26)</f>
        <v/>
      </c>
      <c r="I44" s="5">
        <f>E44*G44*H44</f>
        <v/>
      </c>
      <c r="J44">
        <f>IF(ISBLANK(Holdings!H41),5,4)</f>
        <v/>
      </c>
      <c r="K44" s="10">
        <f>C44/SUM($C$5:$C$304)</f>
        <v/>
      </c>
      <c r="L44" s="7">
        <f>K44*H44</f>
        <v/>
      </c>
    </row>
    <row r="45">
      <c r="A45">
        <f>Holdings!A42</f>
        <v/>
      </c>
      <c r="B45">
        <f>Holdings!C42</f>
        <v/>
      </c>
      <c r="C45">
        <f>Holdings!F42</f>
        <v/>
      </c>
      <c r="D45">
        <f>Holdings!G42</f>
        <v/>
      </c>
      <c r="E45" s="14">
        <f>C45/D45</f>
        <v/>
      </c>
      <c r="F45">
        <f>IF(ISBLANK(Holdings!H42),"Sector proxy","Reported")</f>
        <v/>
      </c>
      <c r="G45" s="5">
        <f>IF(ISBLANK(Holdings!H42),D45*VLOOKUP(B45,Inputs!$A$15:$B$36,2,FALSE),Holdings!H42)</f>
        <v/>
      </c>
      <c r="H45" s="5">
        <f>_xlfn.XLOOKUP(B45,'Emission Factors'!$G$5:$G$26,'Emission Factors'!$H$5:$H$26)</f>
        <v/>
      </c>
      <c r="I45" s="5">
        <f>E45*G45*H45</f>
        <v/>
      </c>
      <c r="J45">
        <f>IF(ISBLANK(Holdings!H42),5,4)</f>
        <v/>
      </c>
      <c r="K45" s="10">
        <f>C45/SUM($C$5:$C$304)</f>
        <v/>
      </c>
      <c r="L45" s="7">
        <f>K45*H45</f>
        <v/>
      </c>
    </row>
    <row r="46">
      <c r="A46">
        <f>Holdings!A43</f>
        <v/>
      </c>
      <c r="B46">
        <f>Holdings!C43</f>
        <v/>
      </c>
      <c r="C46">
        <f>Holdings!F43</f>
        <v/>
      </c>
      <c r="D46">
        <f>Holdings!G43</f>
        <v/>
      </c>
      <c r="E46" s="14">
        <f>C46/D46</f>
        <v/>
      </c>
      <c r="F46">
        <f>IF(ISBLANK(Holdings!H43),"Sector proxy","Reported")</f>
        <v/>
      </c>
      <c r="G46" s="5">
        <f>IF(ISBLANK(Holdings!H43),D46*VLOOKUP(B46,Inputs!$A$15:$B$36,2,FALSE),Holdings!H43)</f>
        <v/>
      </c>
      <c r="H46" s="5">
        <f>_xlfn.XLOOKUP(B46,'Emission Factors'!$G$5:$G$26,'Emission Factors'!$H$5:$H$26)</f>
        <v/>
      </c>
      <c r="I46" s="5">
        <f>E46*G46*H46</f>
        <v/>
      </c>
      <c r="J46">
        <f>IF(ISBLANK(Holdings!H43),5,4)</f>
        <v/>
      </c>
      <c r="K46" s="10">
        <f>C46/SUM($C$5:$C$304)</f>
        <v/>
      </c>
      <c r="L46" s="7">
        <f>K46*H46</f>
        <v/>
      </c>
    </row>
    <row r="47">
      <c r="A47">
        <f>Holdings!A44</f>
        <v/>
      </c>
      <c r="B47">
        <f>Holdings!C44</f>
        <v/>
      </c>
      <c r="C47">
        <f>Holdings!F44</f>
        <v/>
      </c>
      <c r="D47">
        <f>Holdings!G44</f>
        <v/>
      </c>
      <c r="E47" s="14">
        <f>C47/D47</f>
        <v/>
      </c>
      <c r="F47">
        <f>IF(ISBLANK(Holdings!H44),"Sector proxy","Reported")</f>
        <v/>
      </c>
      <c r="G47" s="5">
        <f>IF(ISBLANK(Holdings!H44),D47*VLOOKUP(B47,Inputs!$A$15:$B$36,2,FALSE),Holdings!H44)</f>
        <v/>
      </c>
      <c r="H47" s="5">
        <f>_xlfn.XLOOKUP(B47,'Emission Factors'!$G$5:$G$26,'Emission Factors'!$H$5:$H$26)</f>
        <v/>
      </c>
      <c r="I47" s="5">
        <f>E47*G47*H47</f>
        <v/>
      </c>
      <c r="J47">
        <f>IF(ISBLANK(Holdings!H44),5,4)</f>
        <v/>
      </c>
      <c r="K47" s="10">
        <f>C47/SUM($C$5:$C$304)</f>
        <v/>
      </c>
      <c r="L47" s="7">
        <f>K47*H47</f>
        <v/>
      </c>
    </row>
    <row r="48">
      <c r="A48">
        <f>Holdings!A45</f>
        <v/>
      </c>
      <c r="B48">
        <f>Holdings!C45</f>
        <v/>
      </c>
      <c r="C48">
        <f>Holdings!F45</f>
        <v/>
      </c>
      <c r="D48">
        <f>Holdings!G45</f>
        <v/>
      </c>
      <c r="E48" s="14">
        <f>C48/D48</f>
        <v/>
      </c>
      <c r="F48">
        <f>IF(ISBLANK(Holdings!H45),"Sector proxy","Reported")</f>
        <v/>
      </c>
      <c r="G48" s="5">
        <f>IF(ISBLANK(Holdings!H45),D48*VLOOKUP(B48,Inputs!$A$15:$B$36,2,FALSE),Holdings!H45)</f>
        <v/>
      </c>
      <c r="H48" s="5">
        <f>_xlfn.XLOOKUP(B48,'Emission Factors'!$G$5:$G$26,'Emission Factors'!$H$5:$H$26)</f>
        <v/>
      </c>
      <c r="I48" s="5">
        <f>E48*G48*H48</f>
        <v/>
      </c>
      <c r="J48">
        <f>IF(ISBLANK(Holdings!H45),5,4)</f>
        <v/>
      </c>
      <c r="K48" s="10">
        <f>C48/SUM($C$5:$C$304)</f>
        <v/>
      </c>
      <c r="L48" s="7">
        <f>K48*H48</f>
        <v/>
      </c>
    </row>
    <row r="49">
      <c r="A49">
        <f>Holdings!A46</f>
        <v/>
      </c>
      <c r="B49">
        <f>Holdings!C46</f>
        <v/>
      </c>
      <c r="C49">
        <f>Holdings!F46</f>
        <v/>
      </c>
      <c r="D49">
        <f>Holdings!G46</f>
        <v/>
      </c>
      <c r="E49" s="14">
        <f>C49/D49</f>
        <v/>
      </c>
      <c r="F49">
        <f>IF(ISBLANK(Holdings!H46),"Sector proxy","Reported")</f>
        <v/>
      </c>
      <c r="G49" s="5">
        <f>IF(ISBLANK(Holdings!H46),D49*VLOOKUP(B49,Inputs!$A$15:$B$36,2,FALSE),Holdings!H46)</f>
        <v/>
      </c>
      <c r="H49" s="5">
        <f>_xlfn.XLOOKUP(B49,'Emission Factors'!$G$5:$G$26,'Emission Factors'!$H$5:$H$26)</f>
        <v/>
      </c>
      <c r="I49" s="5">
        <f>E49*G49*H49</f>
        <v/>
      </c>
      <c r="J49">
        <f>IF(ISBLANK(Holdings!H46),5,4)</f>
        <v/>
      </c>
      <c r="K49" s="10">
        <f>C49/SUM($C$5:$C$304)</f>
        <v/>
      </c>
      <c r="L49" s="7">
        <f>K49*H49</f>
        <v/>
      </c>
    </row>
    <row r="50">
      <c r="A50">
        <f>Holdings!A47</f>
        <v/>
      </c>
      <c r="B50">
        <f>Holdings!C47</f>
        <v/>
      </c>
      <c r="C50">
        <f>Holdings!F47</f>
        <v/>
      </c>
      <c r="D50">
        <f>Holdings!G47</f>
        <v/>
      </c>
      <c r="E50" s="14">
        <f>C50/D50</f>
        <v/>
      </c>
      <c r="F50">
        <f>IF(ISBLANK(Holdings!H47),"Sector proxy","Reported")</f>
        <v/>
      </c>
      <c r="G50" s="5">
        <f>IF(ISBLANK(Holdings!H47),D50*VLOOKUP(B50,Inputs!$A$15:$B$36,2,FALSE),Holdings!H47)</f>
        <v/>
      </c>
      <c r="H50" s="5">
        <f>_xlfn.XLOOKUP(B50,'Emission Factors'!$G$5:$G$26,'Emission Factors'!$H$5:$H$26)</f>
        <v/>
      </c>
      <c r="I50" s="5">
        <f>E50*G50*H50</f>
        <v/>
      </c>
      <c r="J50">
        <f>IF(ISBLANK(Holdings!H47),5,4)</f>
        <v/>
      </c>
      <c r="K50" s="10">
        <f>C50/SUM($C$5:$C$304)</f>
        <v/>
      </c>
      <c r="L50" s="7">
        <f>K50*H50</f>
        <v/>
      </c>
    </row>
    <row r="51">
      <c r="A51">
        <f>Holdings!A48</f>
        <v/>
      </c>
      <c r="B51">
        <f>Holdings!C48</f>
        <v/>
      </c>
      <c r="C51">
        <f>Holdings!F48</f>
        <v/>
      </c>
      <c r="D51">
        <f>Holdings!G48</f>
        <v/>
      </c>
      <c r="E51" s="14">
        <f>C51/D51</f>
        <v/>
      </c>
      <c r="F51">
        <f>IF(ISBLANK(Holdings!H48),"Sector proxy","Reported")</f>
        <v/>
      </c>
      <c r="G51" s="5">
        <f>IF(ISBLANK(Holdings!H48),D51*VLOOKUP(B51,Inputs!$A$15:$B$36,2,FALSE),Holdings!H48)</f>
        <v/>
      </c>
      <c r="H51" s="5">
        <f>_xlfn.XLOOKUP(B51,'Emission Factors'!$G$5:$G$26,'Emission Factors'!$H$5:$H$26)</f>
        <v/>
      </c>
      <c r="I51" s="5">
        <f>E51*G51*H51</f>
        <v/>
      </c>
      <c r="J51">
        <f>IF(ISBLANK(Holdings!H48),5,4)</f>
        <v/>
      </c>
      <c r="K51" s="10">
        <f>C51/SUM($C$5:$C$304)</f>
        <v/>
      </c>
      <c r="L51" s="7">
        <f>K51*H51</f>
        <v/>
      </c>
    </row>
    <row r="52">
      <c r="A52">
        <f>Holdings!A49</f>
        <v/>
      </c>
      <c r="B52">
        <f>Holdings!C49</f>
        <v/>
      </c>
      <c r="C52">
        <f>Holdings!F49</f>
        <v/>
      </c>
      <c r="D52">
        <f>Holdings!G49</f>
        <v/>
      </c>
      <c r="E52" s="14">
        <f>C52/D52</f>
        <v/>
      </c>
      <c r="F52">
        <f>IF(ISBLANK(Holdings!H49),"Sector proxy","Reported")</f>
        <v/>
      </c>
      <c r="G52" s="5">
        <f>IF(ISBLANK(Holdings!H49),D52*VLOOKUP(B52,Inputs!$A$15:$B$36,2,FALSE),Holdings!H49)</f>
        <v/>
      </c>
      <c r="H52" s="5">
        <f>_xlfn.XLOOKUP(B52,'Emission Factors'!$G$5:$G$26,'Emission Factors'!$H$5:$H$26)</f>
        <v/>
      </c>
      <c r="I52" s="5">
        <f>E52*G52*H52</f>
        <v/>
      </c>
      <c r="J52">
        <f>IF(ISBLANK(Holdings!H49),5,4)</f>
        <v/>
      </c>
      <c r="K52" s="10">
        <f>C52/SUM($C$5:$C$304)</f>
        <v/>
      </c>
      <c r="L52" s="7">
        <f>K52*H52</f>
        <v/>
      </c>
    </row>
    <row r="53">
      <c r="A53">
        <f>Holdings!A50</f>
        <v/>
      </c>
      <c r="B53">
        <f>Holdings!C50</f>
        <v/>
      </c>
      <c r="C53">
        <f>Holdings!F50</f>
        <v/>
      </c>
      <c r="D53">
        <f>Holdings!G50</f>
        <v/>
      </c>
      <c r="E53" s="14">
        <f>C53/D53</f>
        <v/>
      </c>
      <c r="F53">
        <f>IF(ISBLANK(Holdings!H50),"Sector proxy","Reported")</f>
        <v/>
      </c>
      <c r="G53" s="5">
        <f>IF(ISBLANK(Holdings!H50),D53*VLOOKUP(B53,Inputs!$A$15:$B$36,2,FALSE),Holdings!H50)</f>
        <v/>
      </c>
      <c r="H53" s="5">
        <f>_xlfn.XLOOKUP(B53,'Emission Factors'!$G$5:$G$26,'Emission Factors'!$H$5:$H$26)</f>
        <v/>
      </c>
      <c r="I53" s="5">
        <f>E53*G53*H53</f>
        <v/>
      </c>
      <c r="J53">
        <f>IF(ISBLANK(Holdings!H50),5,4)</f>
        <v/>
      </c>
      <c r="K53" s="10">
        <f>C53/SUM($C$5:$C$304)</f>
        <v/>
      </c>
      <c r="L53" s="7">
        <f>K53*H53</f>
        <v/>
      </c>
    </row>
    <row r="54">
      <c r="A54">
        <f>Holdings!A51</f>
        <v/>
      </c>
      <c r="B54">
        <f>Holdings!C51</f>
        <v/>
      </c>
      <c r="C54">
        <f>Holdings!F51</f>
        <v/>
      </c>
      <c r="D54">
        <f>Holdings!G51</f>
        <v/>
      </c>
      <c r="E54" s="14">
        <f>C54/D54</f>
        <v/>
      </c>
      <c r="F54">
        <f>IF(ISBLANK(Holdings!H51),"Sector proxy","Reported")</f>
        <v/>
      </c>
      <c r="G54" s="5">
        <f>IF(ISBLANK(Holdings!H51),D54*VLOOKUP(B54,Inputs!$A$15:$B$36,2,FALSE),Holdings!H51)</f>
        <v/>
      </c>
      <c r="H54" s="5">
        <f>_xlfn.XLOOKUP(B54,'Emission Factors'!$G$5:$G$26,'Emission Factors'!$H$5:$H$26)</f>
        <v/>
      </c>
      <c r="I54" s="5">
        <f>E54*G54*H54</f>
        <v/>
      </c>
      <c r="J54">
        <f>IF(ISBLANK(Holdings!H51),5,4)</f>
        <v/>
      </c>
      <c r="K54" s="10">
        <f>C54/SUM($C$5:$C$304)</f>
        <v/>
      </c>
      <c r="L54" s="7">
        <f>K54*H54</f>
        <v/>
      </c>
    </row>
    <row r="55">
      <c r="A55">
        <f>Holdings!A52</f>
        <v/>
      </c>
      <c r="B55">
        <f>Holdings!C52</f>
        <v/>
      </c>
      <c r="C55">
        <f>Holdings!F52</f>
        <v/>
      </c>
      <c r="D55">
        <f>Holdings!G52</f>
        <v/>
      </c>
      <c r="E55" s="14">
        <f>C55/D55</f>
        <v/>
      </c>
      <c r="F55">
        <f>IF(ISBLANK(Holdings!H52),"Sector proxy","Reported")</f>
        <v/>
      </c>
      <c r="G55" s="5">
        <f>IF(ISBLANK(Holdings!H52),D55*VLOOKUP(B55,Inputs!$A$15:$B$36,2,FALSE),Holdings!H52)</f>
        <v/>
      </c>
      <c r="H55" s="5">
        <f>_xlfn.XLOOKUP(B55,'Emission Factors'!$G$5:$G$26,'Emission Factors'!$H$5:$H$26)</f>
        <v/>
      </c>
      <c r="I55" s="5">
        <f>E55*G55*H55</f>
        <v/>
      </c>
      <c r="J55">
        <f>IF(ISBLANK(Holdings!H52),5,4)</f>
        <v/>
      </c>
      <c r="K55" s="10">
        <f>C55/SUM($C$5:$C$304)</f>
        <v/>
      </c>
      <c r="L55" s="7">
        <f>K55*H55</f>
        <v/>
      </c>
    </row>
    <row r="56">
      <c r="A56">
        <f>Holdings!A53</f>
        <v/>
      </c>
      <c r="B56">
        <f>Holdings!C53</f>
        <v/>
      </c>
      <c r="C56">
        <f>Holdings!F53</f>
        <v/>
      </c>
      <c r="D56">
        <f>Holdings!G53</f>
        <v/>
      </c>
      <c r="E56" s="14">
        <f>C56/D56</f>
        <v/>
      </c>
      <c r="F56">
        <f>IF(ISBLANK(Holdings!H53),"Sector proxy","Reported")</f>
        <v/>
      </c>
      <c r="G56" s="5">
        <f>IF(ISBLANK(Holdings!H53),D56*VLOOKUP(B56,Inputs!$A$15:$B$36,2,FALSE),Holdings!H53)</f>
        <v/>
      </c>
      <c r="H56" s="5">
        <f>_xlfn.XLOOKUP(B56,'Emission Factors'!$G$5:$G$26,'Emission Factors'!$H$5:$H$26)</f>
        <v/>
      </c>
      <c r="I56" s="5">
        <f>E56*G56*H56</f>
        <v/>
      </c>
      <c r="J56">
        <f>IF(ISBLANK(Holdings!H53),5,4)</f>
        <v/>
      </c>
      <c r="K56" s="10">
        <f>C56/SUM($C$5:$C$304)</f>
        <v/>
      </c>
      <c r="L56" s="7">
        <f>K56*H56</f>
        <v/>
      </c>
    </row>
    <row r="57">
      <c r="A57">
        <f>Holdings!A54</f>
        <v/>
      </c>
      <c r="B57">
        <f>Holdings!C54</f>
        <v/>
      </c>
      <c r="C57">
        <f>Holdings!F54</f>
        <v/>
      </c>
      <c r="D57">
        <f>Holdings!G54</f>
        <v/>
      </c>
      <c r="E57" s="14">
        <f>C57/D57</f>
        <v/>
      </c>
      <c r="F57">
        <f>IF(ISBLANK(Holdings!H54),"Sector proxy","Reported")</f>
        <v/>
      </c>
      <c r="G57" s="5">
        <f>IF(ISBLANK(Holdings!H54),D57*VLOOKUP(B57,Inputs!$A$15:$B$36,2,FALSE),Holdings!H54)</f>
        <v/>
      </c>
      <c r="H57" s="5">
        <f>_xlfn.XLOOKUP(B57,'Emission Factors'!$G$5:$G$26,'Emission Factors'!$H$5:$H$26)</f>
        <v/>
      </c>
      <c r="I57" s="5">
        <f>E57*G57*H57</f>
        <v/>
      </c>
      <c r="J57">
        <f>IF(ISBLANK(Holdings!H54),5,4)</f>
        <v/>
      </c>
      <c r="K57" s="10">
        <f>C57/SUM($C$5:$C$304)</f>
        <v/>
      </c>
      <c r="L57" s="7">
        <f>K57*H57</f>
        <v/>
      </c>
    </row>
    <row r="58">
      <c r="A58">
        <f>Holdings!A55</f>
        <v/>
      </c>
      <c r="B58">
        <f>Holdings!C55</f>
        <v/>
      </c>
      <c r="C58">
        <f>Holdings!F55</f>
        <v/>
      </c>
      <c r="D58">
        <f>Holdings!G55</f>
        <v/>
      </c>
      <c r="E58" s="14">
        <f>C58/D58</f>
        <v/>
      </c>
      <c r="F58">
        <f>IF(ISBLANK(Holdings!H55),"Sector proxy","Reported")</f>
        <v/>
      </c>
      <c r="G58" s="5">
        <f>IF(ISBLANK(Holdings!H55),D58*VLOOKUP(B58,Inputs!$A$15:$B$36,2,FALSE),Holdings!H55)</f>
        <v/>
      </c>
      <c r="H58" s="5">
        <f>_xlfn.XLOOKUP(B58,'Emission Factors'!$G$5:$G$26,'Emission Factors'!$H$5:$H$26)</f>
        <v/>
      </c>
      <c r="I58" s="5">
        <f>E58*G58*H58</f>
        <v/>
      </c>
      <c r="J58">
        <f>IF(ISBLANK(Holdings!H55),5,4)</f>
        <v/>
      </c>
      <c r="K58" s="10">
        <f>C58/SUM($C$5:$C$304)</f>
        <v/>
      </c>
      <c r="L58" s="7">
        <f>K58*H58</f>
        <v/>
      </c>
    </row>
    <row r="59">
      <c r="A59">
        <f>Holdings!A56</f>
        <v/>
      </c>
      <c r="B59">
        <f>Holdings!C56</f>
        <v/>
      </c>
      <c r="C59">
        <f>Holdings!F56</f>
        <v/>
      </c>
      <c r="D59">
        <f>Holdings!G56</f>
        <v/>
      </c>
      <c r="E59" s="14">
        <f>C59/D59</f>
        <v/>
      </c>
      <c r="F59">
        <f>IF(ISBLANK(Holdings!H56),"Sector proxy","Reported")</f>
        <v/>
      </c>
      <c r="G59" s="5">
        <f>IF(ISBLANK(Holdings!H56),D59*VLOOKUP(B59,Inputs!$A$15:$B$36,2,FALSE),Holdings!H56)</f>
        <v/>
      </c>
      <c r="H59" s="5">
        <f>_xlfn.XLOOKUP(B59,'Emission Factors'!$G$5:$G$26,'Emission Factors'!$H$5:$H$26)</f>
        <v/>
      </c>
      <c r="I59" s="5">
        <f>E59*G59*H59</f>
        <v/>
      </c>
      <c r="J59">
        <f>IF(ISBLANK(Holdings!H56),5,4)</f>
        <v/>
      </c>
      <c r="K59" s="10">
        <f>C59/SUM($C$5:$C$304)</f>
        <v/>
      </c>
      <c r="L59" s="7">
        <f>K59*H59</f>
        <v/>
      </c>
    </row>
    <row r="60">
      <c r="A60">
        <f>Holdings!A57</f>
        <v/>
      </c>
      <c r="B60">
        <f>Holdings!C57</f>
        <v/>
      </c>
      <c r="C60">
        <f>Holdings!F57</f>
        <v/>
      </c>
      <c r="D60">
        <f>Holdings!G57</f>
        <v/>
      </c>
      <c r="E60" s="14">
        <f>C60/D60</f>
        <v/>
      </c>
      <c r="F60">
        <f>IF(ISBLANK(Holdings!H57),"Sector proxy","Reported")</f>
        <v/>
      </c>
      <c r="G60" s="5">
        <f>IF(ISBLANK(Holdings!H57),D60*VLOOKUP(B60,Inputs!$A$15:$B$36,2,FALSE),Holdings!H57)</f>
        <v/>
      </c>
      <c r="H60" s="5">
        <f>_xlfn.XLOOKUP(B60,'Emission Factors'!$G$5:$G$26,'Emission Factors'!$H$5:$H$26)</f>
        <v/>
      </c>
      <c r="I60" s="5">
        <f>E60*G60*H60</f>
        <v/>
      </c>
      <c r="J60">
        <f>IF(ISBLANK(Holdings!H57),5,4)</f>
        <v/>
      </c>
      <c r="K60" s="10">
        <f>C60/SUM($C$5:$C$304)</f>
        <v/>
      </c>
      <c r="L60" s="7">
        <f>K60*H60</f>
        <v/>
      </c>
    </row>
    <row r="61">
      <c r="A61">
        <f>Holdings!A58</f>
        <v/>
      </c>
      <c r="B61">
        <f>Holdings!C58</f>
        <v/>
      </c>
      <c r="C61">
        <f>Holdings!F58</f>
        <v/>
      </c>
      <c r="D61">
        <f>Holdings!G58</f>
        <v/>
      </c>
      <c r="E61" s="14">
        <f>C61/D61</f>
        <v/>
      </c>
      <c r="F61">
        <f>IF(ISBLANK(Holdings!H58),"Sector proxy","Reported")</f>
        <v/>
      </c>
      <c r="G61" s="5">
        <f>IF(ISBLANK(Holdings!H58),D61*VLOOKUP(B61,Inputs!$A$15:$B$36,2,FALSE),Holdings!H58)</f>
        <v/>
      </c>
      <c r="H61" s="5">
        <f>_xlfn.XLOOKUP(B61,'Emission Factors'!$G$5:$G$26,'Emission Factors'!$H$5:$H$26)</f>
        <v/>
      </c>
      <c r="I61" s="5">
        <f>E61*G61*H61</f>
        <v/>
      </c>
      <c r="J61">
        <f>IF(ISBLANK(Holdings!H58),5,4)</f>
        <v/>
      </c>
      <c r="K61" s="10">
        <f>C61/SUM($C$5:$C$304)</f>
        <v/>
      </c>
      <c r="L61" s="7">
        <f>K61*H61</f>
        <v/>
      </c>
    </row>
    <row r="62">
      <c r="A62">
        <f>Holdings!A59</f>
        <v/>
      </c>
      <c r="B62">
        <f>Holdings!C59</f>
        <v/>
      </c>
      <c r="C62">
        <f>Holdings!F59</f>
        <v/>
      </c>
      <c r="D62">
        <f>Holdings!G59</f>
        <v/>
      </c>
      <c r="E62" s="14">
        <f>C62/D62</f>
        <v/>
      </c>
      <c r="F62">
        <f>IF(ISBLANK(Holdings!H59),"Sector proxy","Reported")</f>
        <v/>
      </c>
      <c r="G62" s="5">
        <f>IF(ISBLANK(Holdings!H59),D62*VLOOKUP(B62,Inputs!$A$15:$B$36,2,FALSE),Holdings!H59)</f>
        <v/>
      </c>
      <c r="H62" s="5">
        <f>_xlfn.XLOOKUP(B62,'Emission Factors'!$G$5:$G$26,'Emission Factors'!$H$5:$H$26)</f>
        <v/>
      </c>
      <c r="I62" s="5">
        <f>E62*G62*H62</f>
        <v/>
      </c>
      <c r="J62">
        <f>IF(ISBLANK(Holdings!H59),5,4)</f>
        <v/>
      </c>
      <c r="K62" s="10">
        <f>C62/SUM($C$5:$C$304)</f>
        <v/>
      </c>
      <c r="L62" s="7">
        <f>K62*H62</f>
        <v/>
      </c>
    </row>
    <row r="63">
      <c r="A63">
        <f>Holdings!A60</f>
        <v/>
      </c>
      <c r="B63">
        <f>Holdings!C60</f>
        <v/>
      </c>
      <c r="C63">
        <f>Holdings!F60</f>
        <v/>
      </c>
      <c r="D63">
        <f>Holdings!G60</f>
        <v/>
      </c>
      <c r="E63" s="14">
        <f>C63/D63</f>
        <v/>
      </c>
      <c r="F63">
        <f>IF(ISBLANK(Holdings!H60),"Sector proxy","Reported")</f>
        <v/>
      </c>
      <c r="G63" s="5">
        <f>IF(ISBLANK(Holdings!H60),D63*VLOOKUP(B63,Inputs!$A$15:$B$36,2,FALSE),Holdings!H60)</f>
        <v/>
      </c>
      <c r="H63" s="5">
        <f>_xlfn.XLOOKUP(B63,'Emission Factors'!$G$5:$G$26,'Emission Factors'!$H$5:$H$26)</f>
        <v/>
      </c>
      <c r="I63" s="5">
        <f>E63*G63*H63</f>
        <v/>
      </c>
      <c r="J63">
        <f>IF(ISBLANK(Holdings!H60),5,4)</f>
        <v/>
      </c>
      <c r="K63" s="10">
        <f>C63/SUM($C$5:$C$304)</f>
        <v/>
      </c>
      <c r="L63" s="7">
        <f>K63*H63</f>
        <v/>
      </c>
    </row>
    <row r="64">
      <c r="A64">
        <f>Holdings!A61</f>
        <v/>
      </c>
      <c r="B64">
        <f>Holdings!C61</f>
        <v/>
      </c>
      <c r="C64">
        <f>Holdings!F61</f>
        <v/>
      </c>
      <c r="D64">
        <f>Holdings!G61</f>
        <v/>
      </c>
      <c r="E64" s="14">
        <f>C64/D64</f>
        <v/>
      </c>
      <c r="F64">
        <f>IF(ISBLANK(Holdings!H61),"Sector proxy","Reported")</f>
        <v/>
      </c>
      <c r="G64" s="5">
        <f>IF(ISBLANK(Holdings!H61),D64*VLOOKUP(B64,Inputs!$A$15:$B$36,2,FALSE),Holdings!H61)</f>
        <v/>
      </c>
      <c r="H64" s="5">
        <f>_xlfn.XLOOKUP(B64,'Emission Factors'!$G$5:$G$26,'Emission Factors'!$H$5:$H$26)</f>
        <v/>
      </c>
      <c r="I64" s="5">
        <f>E64*G64*H64</f>
        <v/>
      </c>
      <c r="J64">
        <f>IF(ISBLANK(Holdings!H61),5,4)</f>
        <v/>
      </c>
      <c r="K64" s="10">
        <f>C64/SUM($C$5:$C$304)</f>
        <v/>
      </c>
      <c r="L64" s="7">
        <f>K64*H64</f>
        <v/>
      </c>
    </row>
    <row r="65">
      <c r="A65">
        <f>Holdings!A62</f>
        <v/>
      </c>
      <c r="B65">
        <f>Holdings!C62</f>
        <v/>
      </c>
      <c r="C65">
        <f>Holdings!F62</f>
        <v/>
      </c>
      <c r="D65">
        <f>Holdings!G62</f>
        <v/>
      </c>
      <c r="E65" s="14">
        <f>C65/D65</f>
        <v/>
      </c>
      <c r="F65">
        <f>IF(ISBLANK(Holdings!H62),"Sector proxy","Reported")</f>
        <v/>
      </c>
      <c r="G65" s="5">
        <f>IF(ISBLANK(Holdings!H62),D65*VLOOKUP(B65,Inputs!$A$15:$B$36,2,FALSE),Holdings!H62)</f>
        <v/>
      </c>
      <c r="H65" s="5">
        <f>_xlfn.XLOOKUP(B65,'Emission Factors'!$G$5:$G$26,'Emission Factors'!$H$5:$H$26)</f>
        <v/>
      </c>
      <c r="I65" s="5">
        <f>E65*G65*H65</f>
        <v/>
      </c>
      <c r="J65">
        <f>IF(ISBLANK(Holdings!H62),5,4)</f>
        <v/>
      </c>
      <c r="K65" s="10">
        <f>C65/SUM($C$5:$C$304)</f>
        <v/>
      </c>
      <c r="L65" s="7">
        <f>K65*H65</f>
        <v/>
      </c>
    </row>
    <row r="66">
      <c r="A66">
        <f>Holdings!A63</f>
        <v/>
      </c>
      <c r="B66">
        <f>Holdings!C63</f>
        <v/>
      </c>
      <c r="C66">
        <f>Holdings!F63</f>
        <v/>
      </c>
      <c r="D66">
        <f>Holdings!G63</f>
        <v/>
      </c>
      <c r="E66" s="14">
        <f>C66/D66</f>
        <v/>
      </c>
      <c r="F66">
        <f>IF(ISBLANK(Holdings!H63),"Sector proxy","Reported")</f>
        <v/>
      </c>
      <c r="G66" s="5">
        <f>IF(ISBLANK(Holdings!H63),D66*VLOOKUP(B66,Inputs!$A$15:$B$36,2,FALSE),Holdings!H63)</f>
        <v/>
      </c>
      <c r="H66" s="5">
        <f>_xlfn.XLOOKUP(B66,'Emission Factors'!$G$5:$G$26,'Emission Factors'!$H$5:$H$26)</f>
        <v/>
      </c>
      <c r="I66" s="5">
        <f>E66*G66*H66</f>
        <v/>
      </c>
      <c r="J66">
        <f>IF(ISBLANK(Holdings!H63),5,4)</f>
        <v/>
      </c>
      <c r="K66" s="10">
        <f>C66/SUM($C$5:$C$304)</f>
        <v/>
      </c>
      <c r="L66" s="7">
        <f>K66*H66</f>
        <v/>
      </c>
    </row>
    <row r="67">
      <c r="A67">
        <f>Holdings!A64</f>
        <v/>
      </c>
      <c r="B67">
        <f>Holdings!C64</f>
        <v/>
      </c>
      <c r="C67">
        <f>Holdings!F64</f>
        <v/>
      </c>
      <c r="D67">
        <f>Holdings!G64</f>
        <v/>
      </c>
      <c r="E67" s="14">
        <f>C67/D67</f>
        <v/>
      </c>
      <c r="F67">
        <f>IF(ISBLANK(Holdings!H64),"Sector proxy","Reported")</f>
        <v/>
      </c>
      <c r="G67" s="5">
        <f>IF(ISBLANK(Holdings!H64),D67*VLOOKUP(B67,Inputs!$A$15:$B$36,2,FALSE),Holdings!H64)</f>
        <v/>
      </c>
      <c r="H67" s="5">
        <f>_xlfn.XLOOKUP(B67,'Emission Factors'!$G$5:$G$26,'Emission Factors'!$H$5:$H$26)</f>
        <v/>
      </c>
      <c r="I67" s="5">
        <f>E67*G67*H67</f>
        <v/>
      </c>
      <c r="J67">
        <f>IF(ISBLANK(Holdings!H64),5,4)</f>
        <v/>
      </c>
      <c r="K67" s="10">
        <f>C67/SUM($C$5:$C$304)</f>
        <v/>
      </c>
      <c r="L67" s="7">
        <f>K67*H67</f>
        <v/>
      </c>
    </row>
    <row r="68">
      <c r="A68">
        <f>Holdings!A65</f>
        <v/>
      </c>
      <c r="B68">
        <f>Holdings!C65</f>
        <v/>
      </c>
      <c r="C68">
        <f>Holdings!F65</f>
        <v/>
      </c>
      <c r="D68">
        <f>Holdings!G65</f>
        <v/>
      </c>
      <c r="E68" s="14">
        <f>C68/D68</f>
        <v/>
      </c>
      <c r="F68">
        <f>IF(ISBLANK(Holdings!H65),"Sector proxy","Reported")</f>
        <v/>
      </c>
      <c r="G68" s="5">
        <f>IF(ISBLANK(Holdings!H65),D68*VLOOKUP(B68,Inputs!$A$15:$B$36,2,FALSE),Holdings!H65)</f>
        <v/>
      </c>
      <c r="H68" s="5">
        <f>_xlfn.XLOOKUP(B68,'Emission Factors'!$G$5:$G$26,'Emission Factors'!$H$5:$H$26)</f>
        <v/>
      </c>
      <c r="I68" s="5">
        <f>E68*G68*H68</f>
        <v/>
      </c>
      <c r="J68">
        <f>IF(ISBLANK(Holdings!H65),5,4)</f>
        <v/>
      </c>
      <c r="K68" s="10">
        <f>C68/SUM($C$5:$C$304)</f>
        <v/>
      </c>
      <c r="L68" s="7">
        <f>K68*H68</f>
        <v/>
      </c>
    </row>
    <row r="69">
      <c r="A69">
        <f>Holdings!A66</f>
        <v/>
      </c>
      <c r="B69">
        <f>Holdings!C66</f>
        <v/>
      </c>
      <c r="C69">
        <f>Holdings!F66</f>
        <v/>
      </c>
      <c r="D69">
        <f>Holdings!G66</f>
        <v/>
      </c>
      <c r="E69" s="14">
        <f>C69/D69</f>
        <v/>
      </c>
      <c r="F69">
        <f>IF(ISBLANK(Holdings!H66),"Sector proxy","Reported")</f>
        <v/>
      </c>
      <c r="G69" s="5">
        <f>IF(ISBLANK(Holdings!H66),D69*VLOOKUP(B69,Inputs!$A$15:$B$36,2,FALSE),Holdings!H66)</f>
        <v/>
      </c>
      <c r="H69" s="5">
        <f>_xlfn.XLOOKUP(B69,'Emission Factors'!$G$5:$G$26,'Emission Factors'!$H$5:$H$26)</f>
        <v/>
      </c>
      <c r="I69" s="5">
        <f>E69*G69*H69</f>
        <v/>
      </c>
      <c r="J69">
        <f>IF(ISBLANK(Holdings!H66),5,4)</f>
        <v/>
      </c>
      <c r="K69" s="10">
        <f>C69/SUM($C$5:$C$304)</f>
        <v/>
      </c>
      <c r="L69" s="7">
        <f>K69*H69</f>
        <v/>
      </c>
    </row>
    <row r="70">
      <c r="A70">
        <f>Holdings!A67</f>
        <v/>
      </c>
      <c r="B70">
        <f>Holdings!C67</f>
        <v/>
      </c>
      <c r="C70">
        <f>Holdings!F67</f>
        <v/>
      </c>
      <c r="D70">
        <f>Holdings!G67</f>
        <v/>
      </c>
      <c r="E70" s="14">
        <f>C70/D70</f>
        <v/>
      </c>
      <c r="F70">
        <f>IF(ISBLANK(Holdings!H67),"Sector proxy","Reported")</f>
        <v/>
      </c>
      <c r="G70" s="5">
        <f>IF(ISBLANK(Holdings!H67),D70*VLOOKUP(B70,Inputs!$A$15:$B$36,2,FALSE),Holdings!H67)</f>
        <v/>
      </c>
      <c r="H70" s="5">
        <f>_xlfn.XLOOKUP(B70,'Emission Factors'!$G$5:$G$26,'Emission Factors'!$H$5:$H$26)</f>
        <v/>
      </c>
      <c r="I70" s="5">
        <f>E70*G70*H70</f>
        <v/>
      </c>
      <c r="J70">
        <f>IF(ISBLANK(Holdings!H67),5,4)</f>
        <v/>
      </c>
      <c r="K70" s="10">
        <f>C70/SUM($C$5:$C$304)</f>
        <v/>
      </c>
      <c r="L70" s="7">
        <f>K70*H70</f>
        <v/>
      </c>
    </row>
    <row r="71">
      <c r="A71">
        <f>Holdings!A68</f>
        <v/>
      </c>
      <c r="B71">
        <f>Holdings!C68</f>
        <v/>
      </c>
      <c r="C71">
        <f>Holdings!F68</f>
        <v/>
      </c>
      <c r="D71">
        <f>Holdings!G68</f>
        <v/>
      </c>
      <c r="E71" s="14">
        <f>C71/D71</f>
        <v/>
      </c>
      <c r="F71">
        <f>IF(ISBLANK(Holdings!H68),"Sector proxy","Reported")</f>
        <v/>
      </c>
      <c r="G71" s="5">
        <f>IF(ISBLANK(Holdings!H68),D71*VLOOKUP(B71,Inputs!$A$15:$B$36,2,FALSE),Holdings!H68)</f>
        <v/>
      </c>
      <c r="H71" s="5">
        <f>_xlfn.XLOOKUP(B71,'Emission Factors'!$G$5:$G$26,'Emission Factors'!$H$5:$H$26)</f>
        <v/>
      </c>
      <c r="I71" s="5">
        <f>E71*G71*H71</f>
        <v/>
      </c>
      <c r="J71">
        <f>IF(ISBLANK(Holdings!H68),5,4)</f>
        <v/>
      </c>
      <c r="K71" s="10">
        <f>C71/SUM($C$5:$C$304)</f>
        <v/>
      </c>
      <c r="L71" s="7">
        <f>K71*H71</f>
        <v/>
      </c>
    </row>
    <row r="72">
      <c r="A72">
        <f>Holdings!A69</f>
        <v/>
      </c>
      <c r="B72">
        <f>Holdings!C69</f>
        <v/>
      </c>
      <c r="C72">
        <f>Holdings!F69</f>
        <v/>
      </c>
      <c r="D72">
        <f>Holdings!G69</f>
        <v/>
      </c>
      <c r="E72" s="14">
        <f>C72/D72</f>
        <v/>
      </c>
      <c r="F72">
        <f>IF(ISBLANK(Holdings!H69),"Sector proxy","Reported")</f>
        <v/>
      </c>
      <c r="G72" s="5">
        <f>IF(ISBLANK(Holdings!H69),D72*VLOOKUP(B72,Inputs!$A$15:$B$36,2,FALSE),Holdings!H69)</f>
        <v/>
      </c>
      <c r="H72" s="5">
        <f>_xlfn.XLOOKUP(B72,'Emission Factors'!$G$5:$G$26,'Emission Factors'!$H$5:$H$26)</f>
        <v/>
      </c>
      <c r="I72" s="5">
        <f>E72*G72*H72</f>
        <v/>
      </c>
      <c r="J72">
        <f>IF(ISBLANK(Holdings!H69),5,4)</f>
        <v/>
      </c>
      <c r="K72" s="10">
        <f>C72/SUM($C$5:$C$304)</f>
        <v/>
      </c>
      <c r="L72" s="7">
        <f>K72*H72</f>
        <v/>
      </c>
    </row>
    <row r="73">
      <c r="A73">
        <f>Holdings!A70</f>
        <v/>
      </c>
      <c r="B73">
        <f>Holdings!C70</f>
        <v/>
      </c>
      <c r="C73">
        <f>Holdings!F70</f>
        <v/>
      </c>
      <c r="D73">
        <f>Holdings!G70</f>
        <v/>
      </c>
      <c r="E73" s="14">
        <f>C73/D73</f>
        <v/>
      </c>
      <c r="F73">
        <f>IF(ISBLANK(Holdings!H70),"Sector proxy","Reported")</f>
        <v/>
      </c>
      <c r="G73" s="5">
        <f>IF(ISBLANK(Holdings!H70),D73*VLOOKUP(B73,Inputs!$A$15:$B$36,2,FALSE),Holdings!H70)</f>
        <v/>
      </c>
      <c r="H73" s="5">
        <f>_xlfn.XLOOKUP(B73,'Emission Factors'!$G$5:$G$26,'Emission Factors'!$H$5:$H$26)</f>
        <v/>
      </c>
      <c r="I73" s="5">
        <f>E73*G73*H73</f>
        <v/>
      </c>
      <c r="J73">
        <f>IF(ISBLANK(Holdings!H70),5,4)</f>
        <v/>
      </c>
      <c r="K73" s="10">
        <f>C73/SUM($C$5:$C$304)</f>
        <v/>
      </c>
      <c r="L73" s="7">
        <f>K73*H73</f>
        <v/>
      </c>
    </row>
    <row r="74">
      <c r="A74">
        <f>Holdings!A71</f>
        <v/>
      </c>
      <c r="B74">
        <f>Holdings!C71</f>
        <v/>
      </c>
      <c r="C74">
        <f>Holdings!F71</f>
        <v/>
      </c>
      <c r="D74">
        <f>Holdings!G71</f>
        <v/>
      </c>
      <c r="E74" s="14">
        <f>C74/D74</f>
        <v/>
      </c>
      <c r="F74">
        <f>IF(ISBLANK(Holdings!H71),"Sector proxy","Reported")</f>
        <v/>
      </c>
      <c r="G74" s="5">
        <f>IF(ISBLANK(Holdings!H71),D74*VLOOKUP(B74,Inputs!$A$15:$B$36,2,FALSE),Holdings!H71)</f>
        <v/>
      </c>
      <c r="H74" s="5">
        <f>_xlfn.XLOOKUP(B74,'Emission Factors'!$G$5:$G$26,'Emission Factors'!$H$5:$H$26)</f>
        <v/>
      </c>
      <c r="I74" s="5">
        <f>E74*G74*H74</f>
        <v/>
      </c>
      <c r="J74">
        <f>IF(ISBLANK(Holdings!H71),5,4)</f>
        <v/>
      </c>
      <c r="K74" s="10">
        <f>C74/SUM($C$5:$C$304)</f>
        <v/>
      </c>
      <c r="L74" s="7">
        <f>K74*H74</f>
        <v/>
      </c>
    </row>
    <row r="75">
      <c r="A75">
        <f>Holdings!A72</f>
        <v/>
      </c>
      <c r="B75">
        <f>Holdings!C72</f>
        <v/>
      </c>
      <c r="C75">
        <f>Holdings!F72</f>
        <v/>
      </c>
      <c r="D75">
        <f>Holdings!G72</f>
        <v/>
      </c>
      <c r="E75" s="14">
        <f>C75/D75</f>
        <v/>
      </c>
      <c r="F75">
        <f>IF(ISBLANK(Holdings!H72),"Sector proxy","Reported")</f>
        <v/>
      </c>
      <c r="G75" s="5">
        <f>IF(ISBLANK(Holdings!H72),D75*VLOOKUP(B75,Inputs!$A$15:$B$36,2,FALSE),Holdings!H72)</f>
        <v/>
      </c>
      <c r="H75" s="5">
        <f>_xlfn.XLOOKUP(B75,'Emission Factors'!$G$5:$G$26,'Emission Factors'!$H$5:$H$26)</f>
        <v/>
      </c>
      <c r="I75" s="5">
        <f>E75*G75*H75</f>
        <v/>
      </c>
      <c r="J75">
        <f>IF(ISBLANK(Holdings!H72),5,4)</f>
        <v/>
      </c>
      <c r="K75" s="10">
        <f>C75/SUM($C$5:$C$304)</f>
        <v/>
      </c>
      <c r="L75" s="7">
        <f>K75*H75</f>
        <v/>
      </c>
    </row>
    <row r="76">
      <c r="A76">
        <f>Holdings!A73</f>
        <v/>
      </c>
      <c r="B76">
        <f>Holdings!C73</f>
        <v/>
      </c>
      <c r="C76">
        <f>Holdings!F73</f>
        <v/>
      </c>
      <c r="D76">
        <f>Holdings!G73</f>
        <v/>
      </c>
      <c r="E76" s="14">
        <f>C76/D76</f>
        <v/>
      </c>
      <c r="F76">
        <f>IF(ISBLANK(Holdings!H73),"Sector proxy","Reported")</f>
        <v/>
      </c>
      <c r="G76" s="5">
        <f>IF(ISBLANK(Holdings!H73),D76*VLOOKUP(B76,Inputs!$A$15:$B$36,2,FALSE),Holdings!H73)</f>
        <v/>
      </c>
      <c r="H76" s="5">
        <f>_xlfn.XLOOKUP(B76,'Emission Factors'!$G$5:$G$26,'Emission Factors'!$H$5:$H$26)</f>
        <v/>
      </c>
      <c r="I76" s="5">
        <f>E76*G76*H76</f>
        <v/>
      </c>
      <c r="J76">
        <f>IF(ISBLANK(Holdings!H73),5,4)</f>
        <v/>
      </c>
      <c r="K76" s="10">
        <f>C76/SUM($C$5:$C$304)</f>
        <v/>
      </c>
      <c r="L76" s="7">
        <f>K76*H76</f>
        <v/>
      </c>
    </row>
    <row r="77">
      <c r="A77">
        <f>Holdings!A74</f>
        <v/>
      </c>
      <c r="B77">
        <f>Holdings!C74</f>
        <v/>
      </c>
      <c r="C77">
        <f>Holdings!F74</f>
        <v/>
      </c>
      <c r="D77">
        <f>Holdings!G74</f>
        <v/>
      </c>
      <c r="E77" s="14">
        <f>C77/D77</f>
        <v/>
      </c>
      <c r="F77">
        <f>IF(ISBLANK(Holdings!H74),"Sector proxy","Reported")</f>
        <v/>
      </c>
      <c r="G77" s="5">
        <f>IF(ISBLANK(Holdings!H74),D77*VLOOKUP(B77,Inputs!$A$15:$B$36,2,FALSE),Holdings!H74)</f>
        <v/>
      </c>
      <c r="H77" s="5">
        <f>_xlfn.XLOOKUP(B77,'Emission Factors'!$G$5:$G$26,'Emission Factors'!$H$5:$H$26)</f>
        <v/>
      </c>
      <c r="I77" s="5">
        <f>E77*G77*H77</f>
        <v/>
      </c>
      <c r="J77">
        <f>IF(ISBLANK(Holdings!H74),5,4)</f>
        <v/>
      </c>
      <c r="K77" s="10">
        <f>C77/SUM($C$5:$C$304)</f>
        <v/>
      </c>
      <c r="L77" s="7">
        <f>K77*H77</f>
        <v/>
      </c>
    </row>
    <row r="78">
      <c r="A78">
        <f>Holdings!A75</f>
        <v/>
      </c>
      <c r="B78">
        <f>Holdings!C75</f>
        <v/>
      </c>
      <c r="C78">
        <f>Holdings!F75</f>
        <v/>
      </c>
      <c r="D78">
        <f>Holdings!G75</f>
        <v/>
      </c>
      <c r="E78" s="14">
        <f>C78/D78</f>
        <v/>
      </c>
      <c r="F78">
        <f>IF(ISBLANK(Holdings!H75),"Sector proxy","Reported")</f>
        <v/>
      </c>
      <c r="G78" s="5">
        <f>IF(ISBLANK(Holdings!H75),D78*VLOOKUP(B78,Inputs!$A$15:$B$36,2,FALSE),Holdings!H75)</f>
        <v/>
      </c>
      <c r="H78" s="5">
        <f>_xlfn.XLOOKUP(B78,'Emission Factors'!$G$5:$G$26,'Emission Factors'!$H$5:$H$26)</f>
        <v/>
      </c>
      <c r="I78" s="5">
        <f>E78*G78*H78</f>
        <v/>
      </c>
      <c r="J78">
        <f>IF(ISBLANK(Holdings!H75),5,4)</f>
        <v/>
      </c>
      <c r="K78" s="10">
        <f>C78/SUM($C$5:$C$304)</f>
        <v/>
      </c>
      <c r="L78" s="7">
        <f>K78*H78</f>
        <v/>
      </c>
    </row>
    <row r="79">
      <c r="A79">
        <f>Holdings!A76</f>
        <v/>
      </c>
      <c r="B79">
        <f>Holdings!C76</f>
        <v/>
      </c>
      <c r="C79">
        <f>Holdings!F76</f>
        <v/>
      </c>
      <c r="D79">
        <f>Holdings!G76</f>
        <v/>
      </c>
      <c r="E79" s="14">
        <f>C79/D79</f>
        <v/>
      </c>
      <c r="F79">
        <f>IF(ISBLANK(Holdings!H76),"Sector proxy","Reported")</f>
        <v/>
      </c>
      <c r="G79" s="5">
        <f>IF(ISBLANK(Holdings!H76),D79*VLOOKUP(B79,Inputs!$A$15:$B$36,2,FALSE),Holdings!H76)</f>
        <v/>
      </c>
      <c r="H79" s="5">
        <f>_xlfn.XLOOKUP(B79,'Emission Factors'!$G$5:$G$26,'Emission Factors'!$H$5:$H$26)</f>
        <v/>
      </c>
      <c r="I79" s="5">
        <f>E79*G79*H79</f>
        <v/>
      </c>
      <c r="J79">
        <f>IF(ISBLANK(Holdings!H76),5,4)</f>
        <v/>
      </c>
      <c r="K79" s="10">
        <f>C79/SUM($C$5:$C$304)</f>
        <v/>
      </c>
      <c r="L79" s="7">
        <f>K79*H79</f>
        <v/>
      </c>
    </row>
    <row r="80">
      <c r="A80">
        <f>Holdings!A77</f>
        <v/>
      </c>
      <c r="B80">
        <f>Holdings!C77</f>
        <v/>
      </c>
      <c r="C80">
        <f>Holdings!F77</f>
        <v/>
      </c>
      <c r="D80">
        <f>Holdings!G77</f>
        <v/>
      </c>
      <c r="E80" s="14">
        <f>C80/D80</f>
        <v/>
      </c>
      <c r="F80">
        <f>IF(ISBLANK(Holdings!H77),"Sector proxy","Reported")</f>
        <v/>
      </c>
      <c r="G80" s="5">
        <f>IF(ISBLANK(Holdings!H77),D80*VLOOKUP(B80,Inputs!$A$15:$B$36,2,FALSE),Holdings!H77)</f>
        <v/>
      </c>
      <c r="H80" s="5">
        <f>_xlfn.XLOOKUP(B80,'Emission Factors'!$G$5:$G$26,'Emission Factors'!$H$5:$H$26)</f>
        <v/>
      </c>
      <c r="I80" s="5">
        <f>E80*G80*H80</f>
        <v/>
      </c>
      <c r="J80">
        <f>IF(ISBLANK(Holdings!H77),5,4)</f>
        <v/>
      </c>
      <c r="K80" s="10">
        <f>C80/SUM($C$5:$C$304)</f>
        <v/>
      </c>
      <c r="L80" s="7">
        <f>K80*H80</f>
        <v/>
      </c>
    </row>
    <row r="81">
      <c r="A81">
        <f>Holdings!A78</f>
        <v/>
      </c>
      <c r="B81">
        <f>Holdings!C78</f>
        <v/>
      </c>
      <c r="C81">
        <f>Holdings!F78</f>
        <v/>
      </c>
      <c r="D81">
        <f>Holdings!G78</f>
        <v/>
      </c>
      <c r="E81" s="14">
        <f>C81/D81</f>
        <v/>
      </c>
      <c r="F81">
        <f>IF(ISBLANK(Holdings!H78),"Sector proxy","Reported")</f>
        <v/>
      </c>
      <c r="G81" s="5">
        <f>IF(ISBLANK(Holdings!H78),D81*VLOOKUP(B81,Inputs!$A$15:$B$36,2,FALSE),Holdings!H78)</f>
        <v/>
      </c>
      <c r="H81" s="5">
        <f>_xlfn.XLOOKUP(B81,'Emission Factors'!$G$5:$G$26,'Emission Factors'!$H$5:$H$26)</f>
        <v/>
      </c>
      <c r="I81" s="5">
        <f>E81*G81*H81</f>
        <v/>
      </c>
      <c r="J81">
        <f>IF(ISBLANK(Holdings!H78),5,4)</f>
        <v/>
      </c>
      <c r="K81" s="10">
        <f>C81/SUM($C$5:$C$304)</f>
        <v/>
      </c>
      <c r="L81" s="7">
        <f>K81*H81</f>
        <v/>
      </c>
    </row>
    <row r="82">
      <c r="A82">
        <f>Holdings!A79</f>
        <v/>
      </c>
      <c r="B82">
        <f>Holdings!C79</f>
        <v/>
      </c>
      <c r="C82">
        <f>Holdings!F79</f>
        <v/>
      </c>
      <c r="D82">
        <f>Holdings!G79</f>
        <v/>
      </c>
      <c r="E82" s="14">
        <f>C82/D82</f>
        <v/>
      </c>
      <c r="F82">
        <f>IF(ISBLANK(Holdings!H79),"Sector proxy","Reported")</f>
        <v/>
      </c>
      <c r="G82" s="5">
        <f>IF(ISBLANK(Holdings!H79),D82*VLOOKUP(B82,Inputs!$A$15:$B$36,2,FALSE),Holdings!H79)</f>
        <v/>
      </c>
      <c r="H82" s="5">
        <f>_xlfn.XLOOKUP(B82,'Emission Factors'!$G$5:$G$26,'Emission Factors'!$H$5:$H$26)</f>
        <v/>
      </c>
      <c r="I82" s="5">
        <f>E82*G82*H82</f>
        <v/>
      </c>
      <c r="J82">
        <f>IF(ISBLANK(Holdings!H79),5,4)</f>
        <v/>
      </c>
      <c r="K82" s="10">
        <f>C82/SUM($C$5:$C$304)</f>
        <v/>
      </c>
      <c r="L82" s="7">
        <f>K82*H82</f>
        <v/>
      </c>
    </row>
    <row r="83">
      <c r="A83">
        <f>Holdings!A80</f>
        <v/>
      </c>
      <c r="B83">
        <f>Holdings!C80</f>
        <v/>
      </c>
      <c r="C83">
        <f>Holdings!F80</f>
        <v/>
      </c>
      <c r="D83">
        <f>Holdings!G80</f>
        <v/>
      </c>
      <c r="E83" s="14">
        <f>C83/D83</f>
        <v/>
      </c>
      <c r="F83">
        <f>IF(ISBLANK(Holdings!H80),"Sector proxy","Reported")</f>
        <v/>
      </c>
      <c r="G83" s="5">
        <f>IF(ISBLANK(Holdings!H80),D83*VLOOKUP(B83,Inputs!$A$15:$B$36,2,FALSE),Holdings!H80)</f>
        <v/>
      </c>
      <c r="H83" s="5">
        <f>_xlfn.XLOOKUP(B83,'Emission Factors'!$G$5:$G$26,'Emission Factors'!$H$5:$H$26)</f>
        <v/>
      </c>
      <c r="I83" s="5">
        <f>E83*G83*H83</f>
        <v/>
      </c>
      <c r="J83">
        <f>IF(ISBLANK(Holdings!H80),5,4)</f>
        <v/>
      </c>
      <c r="K83" s="10">
        <f>C83/SUM($C$5:$C$304)</f>
        <v/>
      </c>
      <c r="L83" s="7">
        <f>K83*H83</f>
        <v/>
      </c>
    </row>
    <row r="84">
      <c r="A84">
        <f>Holdings!A81</f>
        <v/>
      </c>
      <c r="B84">
        <f>Holdings!C81</f>
        <v/>
      </c>
      <c r="C84">
        <f>Holdings!F81</f>
        <v/>
      </c>
      <c r="D84">
        <f>Holdings!G81</f>
        <v/>
      </c>
      <c r="E84" s="14">
        <f>C84/D84</f>
        <v/>
      </c>
      <c r="F84">
        <f>IF(ISBLANK(Holdings!H81),"Sector proxy","Reported")</f>
        <v/>
      </c>
      <c r="G84" s="5">
        <f>IF(ISBLANK(Holdings!H81),D84*VLOOKUP(B84,Inputs!$A$15:$B$36,2,FALSE),Holdings!H81)</f>
        <v/>
      </c>
      <c r="H84" s="5">
        <f>_xlfn.XLOOKUP(B84,'Emission Factors'!$G$5:$G$26,'Emission Factors'!$H$5:$H$26)</f>
        <v/>
      </c>
      <c r="I84" s="5">
        <f>E84*G84*H84</f>
        <v/>
      </c>
      <c r="J84">
        <f>IF(ISBLANK(Holdings!H81),5,4)</f>
        <v/>
      </c>
      <c r="K84" s="10">
        <f>C84/SUM($C$5:$C$304)</f>
        <v/>
      </c>
      <c r="L84" s="7">
        <f>K84*H84</f>
        <v/>
      </c>
    </row>
    <row r="85">
      <c r="A85">
        <f>Holdings!A82</f>
        <v/>
      </c>
      <c r="B85">
        <f>Holdings!C82</f>
        <v/>
      </c>
      <c r="C85">
        <f>Holdings!F82</f>
        <v/>
      </c>
      <c r="D85">
        <f>Holdings!G82</f>
        <v/>
      </c>
      <c r="E85" s="14">
        <f>C85/D85</f>
        <v/>
      </c>
      <c r="F85">
        <f>IF(ISBLANK(Holdings!H82),"Sector proxy","Reported")</f>
        <v/>
      </c>
      <c r="G85" s="5">
        <f>IF(ISBLANK(Holdings!H82),D85*VLOOKUP(B85,Inputs!$A$15:$B$36,2,FALSE),Holdings!H82)</f>
        <v/>
      </c>
      <c r="H85" s="5">
        <f>_xlfn.XLOOKUP(B85,'Emission Factors'!$G$5:$G$26,'Emission Factors'!$H$5:$H$26)</f>
        <v/>
      </c>
      <c r="I85" s="5">
        <f>E85*G85*H85</f>
        <v/>
      </c>
      <c r="J85">
        <f>IF(ISBLANK(Holdings!H82),5,4)</f>
        <v/>
      </c>
      <c r="K85" s="10">
        <f>C85/SUM($C$5:$C$304)</f>
        <v/>
      </c>
      <c r="L85" s="7">
        <f>K85*H85</f>
        <v/>
      </c>
    </row>
    <row r="86">
      <c r="A86">
        <f>Holdings!A83</f>
        <v/>
      </c>
      <c r="B86">
        <f>Holdings!C83</f>
        <v/>
      </c>
      <c r="C86">
        <f>Holdings!F83</f>
        <v/>
      </c>
      <c r="D86">
        <f>Holdings!G83</f>
        <v/>
      </c>
      <c r="E86" s="14">
        <f>C86/D86</f>
        <v/>
      </c>
      <c r="F86">
        <f>IF(ISBLANK(Holdings!H83),"Sector proxy","Reported")</f>
        <v/>
      </c>
      <c r="G86" s="5">
        <f>IF(ISBLANK(Holdings!H83),D86*VLOOKUP(B86,Inputs!$A$15:$B$36,2,FALSE),Holdings!H83)</f>
        <v/>
      </c>
      <c r="H86" s="5">
        <f>_xlfn.XLOOKUP(B86,'Emission Factors'!$G$5:$G$26,'Emission Factors'!$H$5:$H$26)</f>
        <v/>
      </c>
      <c r="I86" s="5">
        <f>E86*G86*H86</f>
        <v/>
      </c>
      <c r="J86">
        <f>IF(ISBLANK(Holdings!H83),5,4)</f>
        <v/>
      </c>
      <c r="K86" s="10">
        <f>C86/SUM($C$5:$C$304)</f>
        <v/>
      </c>
      <c r="L86" s="7">
        <f>K86*H86</f>
        <v/>
      </c>
    </row>
    <row r="87">
      <c r="A87">
        <f>Holdings!A84</f>
        <v/>
      </c>
      <c r="B87">
        <f>Holdings!C84</f>
        <v/>
      </c>
      <c r="C87">
        <f>Holdings!F84</f>
        <v/>
      </c>
      <c r="D87">
        <f>Holdings!G84</f>
        <v/>
      </c>
      <c r="E87" s="14">
        <f>C87/D87</f>
        <v/>
      </c>
      <c r="F87">
        <f>IF(ISBLANK(Holdings!H84),"Sector proxy","Reported")</f>
        <v/>
      </c>
      <c r="G87" s="5">
        <f>IF(ISBLANK(Holdings!H84),D87*VLOOKUP(B87,Inputs!$A$15:$B$36,2,FALSE),Holdings!H84)</f>
        <v/>
      </c>
      <c r="H87" s="5">
        <f>_xlfn.XLOOKUP(B87,'Emission Factors'!$G$5:$G$26,'Emission Factors'!$H$5:$H$26)</f>
        <v/>
      </c>
      <c r="I87" s="5">
        <f>E87*G87*H87</f>
        <v/>
      </c>
      <c r="J87">
        <f>IF(ISBLANK(Holdings!H84),5,4)</f>
        <v/>
      </c>
      <c r="K87" s="10">
        <f>C87/SUM($C$5:$C$304)</f>
        <v/>
      </c>
      <c r="L87" s="7">
        <f>K87*H87</f>
        <v/>
      </c>
    </row>
    <row r="88">
      <c r="A88">
        <f>Holdings!A85</f>
        <v/>
      </c>
      <c r="B88">
        <f>Holdings!C85</f>
        <v/>
      </c>
      <c r="C88">
        <f>Holdings!F85</f>
        <v/>
      </c>
      <c r="D88">
        <f>Holdings!G85</f>
        <v/>
      </c>
      <c r="E88" s="14">
        <f>C88/D88</f>
        <v/>
      </c>
      <c r="F88">
        <f>IF(ISBLANK(Holdings!H85),"Sector proxy","Reported")</f>
        <v/>
      </c>
      <c r="G88" s="5">
        <f>IF(ISBLANK(Holdings!H85),D88*VLOOKUP(B88,Inputs!$A$15:$B$36,2,FALSE),Holdings!H85)</f>
        <v/>
      </c>
      <c r="H88" s="5">
        <f>_xlfn.XLOOKUP(B88,'Emission Factors'!$G$5:$G$26,'Emission Factors'!$H$5:$H$26)</f>
        <v/>
      </c>
      <c r="I88" s="5">
        <f>E88*G88*H88</f>
        <v/>
      </c>
      <c r="J88">
        <f>IF(ISBLANK(Holdings!H85),5,4)</f>
        <v/>
      </c>
      <c r="K88" s="10">
        <f>C88/SUM($C$5:$C$304)</f>
        <v/>
      </c>
      <c r="L88" s="7">
        <f>K88*H88</f>
        <v/>
      </c>
    </row>
    <row r="89">
      <c r="A89">
        <f>Holdings!A86</f>
        <v/>
      </c>
      <c r="B89">
        <f>Holdings!C86</f>
        <v/>
      </c>
      <c r="C89">
        <f>Holdings!F86</f>
        <v/>
      </c>
      <c r="D89">
        <f>Holdings!G86</f>
        <v/>
      </c>
      <c r="E89" s="14">
        <f>C89/D89</f>
        <v/>
      </c>
      <c r="F89">
        <f>IF(ISBLANK(Holdings!H86),"Sector proxy","Reported")</f>
        <v/>
      </c>
      <c r="G89" s="5">
        <f>IF(ISBLANK(Holdings!H86),D89*VLOOKUP(B89,Inputs!$A$15:$B$36,2,FALSE),Holdings!H86)</f>
        <v/>
      </c>
      <c r="H89" s="5">
        <f>_xlfn.XLOOKUP(B89,'Emission Factors'!$G$5:$G$26,'Emission Factors'!$H$5:$H$26)</f>
        <v/>
      </c>
      <c r="I89" s="5">
        <f>E89*G89*H89</f>
        <v/>
      </c>
      <c r="J89">
        <f>IF(ISBLANK(Holdings!H86),5,4)</f>
        <v/>
      </c>
      <c r="K89" s="10">
        <f>C89/SUM($C$5:$C$304)</f>
        <v/>
      </c>
      <c r="L89" s="7">
        <f>K89*H89</f>
        <v/>
      </c>
    </row>
    <row r="90">
      <c r="A90">
        <f>Holdings!A87</f>
        <v/>
      </c>
      <c r="B90">
        <f>Holdings!C87</f>
        <v/>
      </c>
      <c r="C90">
        <f>Holdings!F87</f>
        <v/>
      </c>
      <c r="D90">
        <f>Holdings!G87</f>
        <v/>
      </c>
      <c r="E90" s="14">
        <f>C90/D90</f>
        <v/>
      </c>
      <c r="F90">
        <f>IF(ISBLANK(Holdings!H87),"Sector proxy","Reported")</f>
        <v/>
      </c>
      <c r="G90" s="5">
        <f>IF(ISBLANK(Holdings!H87),D90*VLOOKUP(B90,Inputs!$A$15:$B$36,2,FALSE),Holdings!H87)</f>
        <v/>
      </c>
      <c r="H90" s="5">
        <f>_xlfn.XLOOKUP(B90,'Emission Factors'!$G$5:$G$26,'Emission Factors'!$H$5:$H$26)</f>
        <v/>
      </c>
      <c r="I90" s="5">
        <f>E90*G90*H90</f>
        <v/>
      </c>
      <c r="J90">
        <f>IF(ISBLANK(Holdings!H87),5,4)</f>
        <v/>
      </c>
      <c r="K90" s="10">
        <f>C90/SUM($C$5:$C$304)</f>
        <v/>
      </c>
      <c r="L90" s="7">
        <f>K90*H90</f>
        <v/>
      </c>
    </row>
    <row r="91">
      <c r="A91">
        <f>Holdings!A88</f>
        <v/>
      </c>
      <c r="B91">
        <f>Holdings!C88</f>
        <v/>
      </c>
      <c r="C91">
        <f>Holdings!F88</f>
        <v/>
      </c>
      <c r="D91">
        <f>Holdings!G88</f>
        <v/>
      </c>
      <c r="E91" s="14">
        <f>C91/D91</f>
        <v/>
      </c>
      <c r="F91">
        <f>IF(ISBLANK(Holdings!H88),"Sector proxy","Reported")</f>
        <v/>
      </c>
      <c r="G91" s="5">
        <f>IF(ISBLANK(Holdings!H88),D91*VLOOKUP(B91,Inputs!$A$15:$B$36,2,FALSE),Holdings!H88)</f>
        <v/>
      </c>
      <c r="H91" s="5">
        <f>_xlfn.XLOOKUP(B91,'Emission Factors'!$G$5:$G$26,'Emission Factors'!$H$5:$H$26)</f>
        <v/>
      </c>
      <c r="I91" s="5">
        <f>E91*G91*H91</f>
        <v/>
      </c>
      <c r="J91">
        <f>IF(ISBLANK(Holdings!H88),5,4)</f>
        <v/>
      </c>
      <c r="K91" s="10">
        <f>C91/SUM($C$5:$C$304)</f>
        <v/>
      </c>
      <c r="L91" s="7">
        <f>K91*H91</f>
        <v/>
      </c>
    </row>
    <row r="92">
      <c r="A92">
        <f>Holdings!A89</f>
        <v/>
      </c>
      <c r="B92">
        <f>Holdings!C89</f>
        <v/>
      </c>
      <c r="C92">
        <f>Holdings!F89</f>
        <v/>
      </c>
      <c r="D92">
        <f>Holdings!G89</f>
        <v/>
      </c>
      <c r="E92" s="14">
        <f>C92/D92</f>
        <v/>
      </c>
      <c r="F92">
        <f>IF(ISBLANK(Holdings!H89),"Sector proxy","Reported")</f>
        <v/>
      </c>
      <c r="G92" s="5">
        <f>IF(ISBLANK(Holdings!H89),D92*VLOOKUP(B92,Inputs!$A$15:$B$36,2,FALSE),Holdings!H89)</f>
        <v/>
      </c>
      <c r="H92" s="5">
        <f>_xlfn.XLOOKUP(B92,'Emission Factors'!$G$5:$G$26,'Emission Factors'!$H$5:$H$26)</f>
        <v/>
      </c>
      <c r="I92" s="5">
        <f>E92*G92*H92</f>
        <v/>
      </c>
      <c r="J92">
        <f>IF(ISBLANK(Holdings!H89),5,4)</f>
        <v/>
      </c>
      <c r="K92" s="10">
        <f>C92/SUM($C$5:$C$304)</f>
        <v/>
      </c>
      <c r="L92" s="7">
        <f>K92*H92</f>
        <v/>
      </c>
    </row>
    <row r="93">
      <c r="A93">
        <f>Holdings!A90</f>
        <v/>
      </c>
      <c r="B93">
        <f>Holdings!C90</f>
        <v/>
      </c>
      <c r="C93">
        <f>Holdings!F90</f>
        <v/>
      </c>
      <c r="D93">
        <f>Holdings!G90</f>
        <v/>
      </c>
      <c r="E93" s="14">
        <f>C93/D93</f>
        <v/>
      </c>
      <c r="F93">
        <f>IF(ISBLANK(Holdings!H90),"Sector proxy","Reported")</f>
        <v/>
      </c>
      <c r="G93" s="5">
        <f>IF(ISBLANK(Holdings!H90),D93*VLOOKUP(B93,Inputs!$A$15:$B$36,2,FALSE),Holdings!H90)</f>
        <v/>
      </c>
      <c r="H93" s="5">
        <f>_xlfn.XLOOKUP(B93,'Emission Factors'!$G$5:$G$26,'Emission Factors'!$H$5:$H$26)</f>
        <v/>
      </c>
      <c r="I93" s="5">
        <f>E93*G93*H93</f>
        <v/>
      </c>
      <c r="J93">
        <f>IF(ISBLANK(Holdings!H90),5,4)</f>
        <v/>
      </c>
      <c r="K93" s="10">
        <f>C93/SUM($C$5:$C$304)</f>
        <v/>
      </c>
      <c r="L93" s="7">
        <f>K93*H93</f>
        <v/>
      </c>
    </row>
    <row r="94">
      <c r="A94">
        <f>Holdings!A91</f>
        <v/>
      </c>
      <c r="B94">
        <f>Holdings!C91</f>
        <v/>
      </c>
      <c r="C94">
        <f>Holdings!F91</f>
        <v/>
      </c>
      <c r="D94">
        <f>Holdings!G91</f>
        <v/>
      </c>
      <c r="E94" s="14">
        <f>C94/D94</f>
        <v/>
      </c>
      <c r="F94">
        <f>IF(ISBLANK(Holdings!H91),"Sector proxy","Reported")</f>
        <v/>
      </c>
      <c r="G94" s="5">
        <f>IF(ISBLANK(Holdings!H91),D94*VLOOKUP(B94,Inputs!$A$15:$B$36,2,FALSE),Holdings!H91)</f>
        <v/>
      </c>
      <c r="H94" s="5">
        <f>_xlfn.XLOOKUP(B94,'Emission Factors'!$G$5:$G$26,'Emission Factors'!$H$5:$H$26)</f>
        <v/>
      </c>
      <c r="I94" s="5">
        <f>E94*G94*H94</f>
        <v/>
      </c>
      <c r="J94">
        <f>IF(ISBLANK(Holdings!H91),5,4)</f>
        <v/>
      </c>
      <c r="K94" s="10">
        <f>C94/SUM($C$5:$C$304)</f>
        <v/>
      </c>
      <c r="L94" s="7">
        <f>K94*H94</f>
        <v/>
      </c>
    </row>
    <row r="95">
      <c r="A95">
        <f>Holdings!A92</f>
        <v/>
      </c>
      <c r="B95">
        <f>Holdings!C92</f>
        <v/>
      </c>
      <c r="C95">
        <f>Holdings!F92</f>
        <v/>
      </c>
      <c r="D95">
        <f>Holdings!G92</f>
        <v/>
      </c>
      <c r="E95" s="14">
        <f>C95/D95</f>
        <v/>
      </c>
      <c r="F95">
        <f>IF(ISBLANK(Holdings!H92),"Sector proxy","Reported")</f>
        <v/>
      </c>
      <c r="G95" s="5">
        <f>IF(ISBLANK(Holdings!H92),D95*VLOOKUP(B95,Inputs!$A$15:$B$36,2,FALSE),Holdings!H92)</f>
        <v/>
      </c>
      <c r="H95" s="5">
        <f>_xlfn.XLOOKUP(B95,'Emission Factors'!$G$5:$G$26,'Emission Factors'!$H$5:$H$26)</f>
        <v/>
      </c>
      <c r="I95" s="5">
        <f>E95*G95*H95</f>
        <v/>
      </c>
      <c r="J95">
        <f>IF(ISBLANK(Holdings!H92),5,4)</f>
        <v/>
      </c>
      <c r="K95" s="10">
        <f>C95/SUM($C$5:$C$304)</f>
        <v/>
      </c>
      <c r="L95" s="7">
        <f>K95*H95</f>
        <v/>
      </c>
    </row>
    <row r="96">
      <c r="A96">
        <f>Holdings!A93</f>
        <v/>
      </c>
      <c r="B96">
        <f>Holdings!C93</f>
        <v/>
      </c>
      <c r="C96">
        <f>Holdings!F93</f>
        <v/>
      </c>
      <c r="D96">
        <f>Holdings!G93</f>
        <v/>
      </c>
      <c r="E96" s="14">
        <f>C96/D96</f>
        <v/>
      </c>
      <c r="F96">
        <f>IF(ISBLANK(Holdings!H93),"Sector proxy","Reported")</f>
        <v/>
      </c>
      <c r="G96" s="5">
        <f>IF(ISBLANK(Holdings!H93),D96*VLOOKUP(B96,Inputs!$A$15:$B$36,2,FALSE),Holdings!H93)</f>
        <v/>
      </c>
      <c r="H96" s="5">
        <f>_xlfn.XLOOKUP(B96,'Emission Factors'!$G$5:$G$26,'Emission Factors'!$H$5:$H$26)</f>
        <v/>
      </c>
      <c r="I96" s="5">
        <f>E96*G96*H96</f>
        <v/>
      </c>
      <c r="J96">
        <f>IF(ISBLANK(Holdings!H93),5,4)</f>
        <v/>
      </c>
      <c r="K96" s="10">
        <f>C96/SUM($C$5:$C$304)</f>
        <v/>
      </c>
      <c r="L96" s="7">
        <f>K96*H96</f>
        <v/>
      </c>
    </row>
    <row r="97">
      <c r="A97">
        <f>Holdings!A94</f>
        <v/>
      </c>
      <c r="B97">
        <f>Holdings!C94</f>
        <v/>
      </c>
      <c r="C97">
        <f>Holdings!F94</f>
        <v/>
      </c>
      <c r="D97">
        <f>Holdings!G94</f>
        <v/>
      </c>
      <c r="E97" s="14">
        <f>C97/D97</f>
        <v/>
      </c>
      <c r="F97">
        <f>IF(ISBLANK(Holdings!H94),"Sector proxy","Reported")</f>
        <v/>
      </c>
      <c r="G97" s="5">
        <f>IF(ISBLANK(Holdings!H94),D97*VLOOKUP(B97,Inputs!$A$15:$B$36,2,FALSE),Holdings!H94)</f>
        <v/>
      </c>
      <c r="H97" s="5">
        <f>_xlfn.XLOOKUP(B97,'Emission Factors'!$G$5:$G$26,'Emission Factors'!$H$5:$H$26)</f>
        <v/>
      </c>
      <c r="I97" s="5">
        <f>E97*G97*H97</f>
        <v/>
      </c>
      <c r="J97">
        <f>IF(ISBLANK(Holdings!H94),5,4)</f>
        <v/>
      </c>
      <c r="K97" s="10">
        <f>C97/SUM($C$5:$C$304)</f>
        <v/>
      </c>
      <c r="L97" s="7">
        <f>K97*H97</f>
        <v/>
      </c>
    </row>
    <row r="98">
      <c r="A98">
        <f>Holdings!A95</f>
        <v/>
      </c>
      <c r="B98">
        <f>Holdings!C95</f>
        <v/>
      </c>
      <c r="C98">
        <f>Holdings!F95</f>
        <v/>
      </c>
      <c r="D98">
        <f>Holdings!G95</f>
        <v/>
      </c>
      <c r="E98" s="14">
        <f>C98/D98</f>
        <v/>
      </c>
      <c r="F98">
        <f>IF(ISBLANK(Holdings!H95),"Sector proxy","Reported")</f>
        <v/>
      </c>
      <c r="G98" s="5">
        <f>IF(ISBLANK(Holdings!H95),D98*VLOOKUP(B98,Inputs!$A$15:$B$36,2,FALSE),Holdings!H95)</f>
        <v/>
      </c>
      <c r="H98" s="5">
        <f>_xlfn.XLOOKUP(B98,'Emission Factors'!$G$5:$G$26,'Emission Factors'!$H$5:$H$26)</f>
        <v/>
      </c>
      <c r="I98" s="5">
        <f>E98*G98*H98</f>
        <v/>
      </c>
      <c r="J98">
        <f>IF(ISBLANK(Holdings!H95),5,4)</f>
        <v/>
      </c>
      <c r="K98" s="10">
        <f>C98/SUM($C$5:$C$304)</f>
        <v/>
      </c>
      <c r="L98" s="7">
        <f>K98*H98</f>
        <v/>
      </c>
    </row>
    <row r="99">
      <c r="A99">
        <f>Holdings!A96</f>
        <v/>
      </c>
      <c r="B99">
        <f>Holdings!C96</f>
        <v/>
      </c>
      <c r="C99">
        <f>Holdings!F96</f>
        <v/>
      </c>
      <c r="D99">
        <f>Holdings!G96</f>
        <v/>
      </c>
      <c r="E99" s="14">
        <f>C99/D99</f>
        <v/>
      </c>
      <c r="F99">
        <f>IF(ISBLANK(Holdings!H96),"Sector proxy","Reported")</f>
        <v/>
      </c>
      <c r="G99" s="5">
        <f>IF(ISBLANK(Holdings!H96),D99*VLOOKUP(B99,Inputs!$A$15:$B$36,2,FALSE),Holdings!H96)</f>
        <v/>
      </c>
      <c r="H99" s="5">
        <f>_xlfn.XLOOKUP(B99,'Emission Factors'!$G$5:$G$26,'Emission Factors'!$H$5:$H$26)</f>
        <v/>
      </c>
      <c r="I99" s="5">
        <f>E99*G99*H99</f>
        <v/>
      </c>
      <c r="J99">
        <f>IF(ISBLANK(Holdings!H96),5,4)</f>
        <v/>
      </c>
      <c r="K99" s="10">
        <f>C99/SUM($C$5:$C$304)</f>
        <v/>
      </c>
      <c r="L99" s="7">
        <f>K99*H99</f>
        <v/>
      </c>
    </row>
    <row r="100">
      <c r="A100">
        <f>Holdings!A97</f>
        <v/>
      </c>
      <c r="B100">
        <f>Holdings!C97</f>
        <v/>
      </c>
      <c r="C100">
        <f>Holdings!F97</f>
        <v/>
      </c>
      <c r="D100">
        <f>Holdings!G97</f>
        <v/>
      </c>
      <c r="E100" s="14">
        <f>C100/D100</f>
        <v/>
      </c>
      <c r="F100">
        <f>IF(ISBLANK(Holdings!H97),"Sector proxy","Reported")</f>
        <v/>
      </c>
      <c r="G100" s="5">
        <f>IF(ISBLANK(Holdings!H97),D100*VLOOKUP(B100,Inputs!$A$15:$B$36,2,FALSE),Holdings!H97)</f>
        <v/>
      </c>
      <c r="H100" s="5">
        <f>_xlfn.XLOOKUP(B100,'Emission Factors'!$G$5:$G$26,'Emission Factors'!$H$5:$H$26)</f>
        <v/>
      </c>
      <c r="I100" s="5">
        <f>E100*G100*H100</f>
        <v/>
      </c>
      <c r="J100">
        <f>IF(ISBLANK(Holdings!H97),5,4)</f>
        <v/>
      </c>
      <c r="K100" s="10">
        <f>C100/SUM($C$5:$C$304)</f>
        <v/>
      </c>
      <c r="L100" s="7">
        <f>K100*H100</f>
        <v/>
      </c>
    </row>
    <row r="101">
      <c r="A101">
        <f>Holdings!A98</f>
        <v/>
      </c>
      <c r="B101">
        <f>Holdings!C98</f>
        <v/>
      </c>
      <c r="C101">
        <f>Holdings!F98</f>
        <v/>
      </c>
      <c r="D101">
        <f>Holdings!G98</f>
        <v/>
      </c>
      <c r="E101" s="14">
        <f>C101/D101</f>
        <v/>
      </c>
      <c r="F101">
        <f>IF(ISBLANK(Holdings!H98),"Sector proxy","Reported")</f>
        <v/>
      </c>
      <c r="G101" s="5">
        <f>IF(ISBLANK(Holdings!H98),D101*VLOOKUP(B101,Inputs!$A$15:$B$36,2,FALSE),Holdings!H98)</f>
        <v/>
      </c>
      <c r="H101" s="5">
        <f>_xlfn.XLOOKUP(B101,'Emission Factors'!$G$5:$G$26,'Emission Factors'!$H$5:$H$26)</f>
        <v/>
      </c>
      <c r="I101" s="5">
        <f>E101*G101*H101</f>
        <v/>
      </c>
      <c r="J101">
        <f>IF(ISBLANK(Holdings!H98),5,4)</f>
        <v/>
      </c>
      <c r="K101" s="10">
        <f>C101/SUM($C$5:$C$304)</f>
        <v/>
      </c>
      <c r="L101" s="7">
        <f>K101*H101</f>
        <v/>
      </c>
    </row>
    <row r="102">
      <c r="A102">
        <f>Holdings!A99</f>
        <v/>
      </c>
      <c r="B102">
        <f>Holdings!C99</f>
        <v/>
      </c>
      <c r="C102">
        <f>Holdings!F99</f>
        <v/>
      </c>
      <c r="D102">
        <f>Holdings!G99</f>
        <v/>
      </c>
      <c r="E102" s="14">
        <f>C102/D102</f>
        <v/>
      </c>
      <c r="F102">
        <f>IF(ISBLANK(Holdings!H99),"Sector proxy","Reported")</f>
        <v/>
      </c>
      <c r="G102" s="5">
        <f>IF(ISBLANK(Holdings!H99),D102*VLOOKUP(B102,Inputs!$A$15:$B$36,2,FALSE),Holdings!H99)</f>
        <v/>
      </c>
      <c r="H102" s="5">
        <f>_xlfn.XLOOKUP(B102,'Emission Factors'!$G$5:$G$26,'Emission Factors'!$H$5:$H$26)</f>
        <v/>
      </c>
      <c r="I102" s="5">
        <f>E102*G102*H102</f>
        <v/>
      </c>
      <c r="J102">
        <f>IF(ISBLANK(Holdings!H99),5,4)</f>
        <v/>
      </c>
      <c r="K102" s="10">
        <f>C102/SUM($C$5:$C$304)</f>
        <v/>
      </c>
      <c r="L102" s="7">
        <f>K102*H102</f>
        <v/>
      </c>
    </row>
    <row r="103">
      <c r="A103">
        <f>Holdings!A100</f>
        <v/>
      </c>
      <c r="B103">
        <f>Holdings!C100</f>
        <v/>
      </c>
      <c r="C103">
        <f>Holdings!F100</f>
        <v/>
      </c>
      <c r="D103">
        <f>Holdings!G100</f>
        <v/>
      </c>
      <c r="E103" s="14">
        <f>C103/D103</f>
        <v/>
      </c>
      <c r="F103">
        <f>IF(ISBLANK(Holdings!H100),"Sector proxy","Reported")</f>
        <v/>
      </c>
      <c r="G103" s="5">
        <f>IF(ISBLANK(Holdings!H100),D103*VLOOKUP(B103,Inputs!$A$15:$B$36,2,FALSE),Holdings!H100)</f>
        <v/>
      </c>
      <c r="H103" s="5">
        <f>_xlfn.XLOOKUP(B103,'Emission Factors'!$G$5:$G$26,'Emission Factors'!$H$5:$H$26)</f>
        <v/>
      </c>
      <c r="I103" s="5">
        <f>E103*G103*H103</f>
        <v/>
      </c>
      <c r="J103">
        <f>IF(ISBLANK(Holdings!H100),5,4)</f>
        <v/>
      </c>
      <c r="K103" s="10">
        <f>C103/SUM($C$5:$C$304)</f>
        <v/>
      </c>
      <c r="L103" s="7">
        <f>K103*H103</f>
        <v/>
      </c>
    </row>
    <row r="104">
      <c r="A104">
        <f>Holdings!A101</f>
        <v/>
      </c>
      <c r="B104">
        <f>Holdings!C101</f>
        <v/>
      </c>
      <c r="C104">
        <f>Holdings!F101</f>
        <v/>
      </c>
      <c r="D104">
        <f>Holdings!G101</f>
        <v/>
      </c>
      <c r="E104" s="14">
        <f>C104/D104</f>
        <v/>
      </c>
      <c r="F104">
        <f>IF(ISBLANK(Holdings!H101),"Sector proxy","Reported")</f>
        <v/>
      </c>
      <c r="G104" s="5">
        <f>IF(ISBLANK(Holdings!H101),D104*VLOOKUP(B104,Inputs!$A$15:$B$36,2,FALSE),Holdings!H101)</f>
        <v/>
      </c>
      <c r="H104" s="5">
        <f>_xlfn.XLOOKUP(B104,'Emission Factors'!$G$5:$G$26,'Emission Factors'!$H$5:$H$26)</f>
        <v/>
      </c>
      <c r="I104" s="5">
        <f>E104*G104*H104</f>
        <v/>
      </c>
      <c r="J104">
        <f>IF(ISBLANK(Holdings!H101),5,4)</f>
        <v/>
      </c>
      <c r="K104" s="10">
        <f>C104/SUM($C$5:$C$304)</f>
        <v/>
      </c>
      <c r="L104" s="7">
        <f>K104*H104</f>
        <v/>
      </c>
    </row>
    <row r="105">
      <c r="A105">
        <f>Holdings!A102</f>
        <v/>
      </c>
      <c r="B105">
        <f>Holdings!C102</f>
        <v/>
      </c>
      <c r="C105">
        <f>Holdings!F102</f>
        <v/>
      </c>
      <c r="D105">
        <f>Holdings!G102</f>
        <v/>
      </c>
      <c r="E105" s="14">
        <f>C105/D105</f>
        <v/>
      </c>
      <c r="F105">
        <f>IF(ISBLANK(Holdings!H102),"Sector proxy","Reported")</f>
        <v/>
      </c>
      <c r="G105" s="5">
        <f>IF(ISBLANK(Holdings!H102),D105*VLOOKUP(B105,Inputs!$A$15:$B$36,2,FALSE),Holdings!H102)</f>
        <v/>
      </c>
      <c r="H105" s="5">
        <f>_xlfn.XLOOKUP(B105,'Emission Factors'!$G$5:$G$26,'Emission Factors'!$H$5:$H$26)</f>
        <v/>
      </c>
      <c r="I105" s="5">
        <f>E105*G105*H105</f>
        <v/>
      </c>
      <c r="J105">
        <f>IF(ISBLANK(Holdings!H102),5,4)</f>
        <v/>
      </c>
      <c r="K105" s="10">
        <f>C105/SUM($C$5:$C$304)</f>
        <v/>
      </c>
      <c r="L105" s="7">
        <f>K105*H105</f>
        <v/>
      </c>
    </row>
    <row r="106">
      <c r="A106">
        <f>Holdings!A103</f>
        <v/>
      </c>
      <c r="B106">
        <f>Holdings!C103</f>
        <v/>
      </c>
      <c r="C106">
        <f>Holdings!F103</f>
        <v/>
      </c>
      <c r="D106">
        <f>Holdings!G103</f>
        <v/>
      </c>
      <c r="E106" s="14">
        <f>C106/D106</f>
        <v/>
      </c>
      <c r="F106">
        <f>IF(ISBLANK(Holdings!H103),"Sector proxy","Reported")</f>
        <v/>
      </c>
      <c r="G106" s="5">
        <f>IF(ISBLANK(Holdings!H103),D106*VLOOKUP(B106,Inputs!$A$15:$B$36,2,FALSE),Holdings!H103)</f>
        <v/>
      </c>
      <c r="H106" s="5">
        <f>_xlfn.XLOOKUP(B106,'Emission Factors'!$G$5:$G$26,'Emission Factors'!$H$5:$H$26)</f>
        <v/>
      </c>
      <c r="I106" s="5">
        <f>E106*G106*H106</f>
        <v/>
      </c>
      <c r="J106">
        <f>IF(ISBLANK(Holdings!H103),5,4)</f>
        <v/>
      </c>
      <c r="K106" s="10">
        <f>C106/SUM($C$5:$C$304)</f>
        <v/>
      </c>
      <c r="L106" s="7">
        <f>K106*H106</f>
        <v/>
      </c>
    </row>
    <row r="107">
      <c r="A107">
        <f>Holdings!A104</f>
        <v/>
      </c>
      <c r="B107">
        <f>Holdings!C104</f>
        <v/>
      </c>
      <c r="C107">
        <f>Holdings!F104</f>
        <v/>
      </c>
      <c r="D107">
        <f>Holdings!G104</f>
        <v/>
      </c>
      <c r="E107" s="14">
        <f>C107/D107</f>
        <v/>
      </c>
      <c r="F107">
        <f>IF(ISBLANK(Holdings!H104),"Sector proxy","Reported")</f>
        <v/>
      </c>
      <c r="G107" s="5">
        <f>IF(ISBLANK(Holdings!H104),D107*VLOOKUP(B107,Inputs!$A$15:$B$36,2,FALSE),Holdings!H104)</f>
        <v/>
      </c>
      <c r="H107" s="5">
        <f>_xlfn.XLOOKUP(B107,'Emission Factors'!$G$5:$G$26,'Emission Factors'!$H$5:$H$26)</f>
        <v/>
      </c>
      <c r="I107" s="5">
        <f>E107*G107*H107</f>
        <v/>
      </c>
      <c r="J107">
        <f>IF(ISBLANK(Holdings!H104),5,4)</f>
        <v/>
      </c>
      <c r="K107" s="10">
        <f>C107/SUM($C$5:$C$304)</f>
        <v/>
      </c>
      <c r="L107" s="7">
        <f>K107*H107</f>
        <v/>
      </c>
    </row>
    <row r="108">
      <c r="A108">
        <f>Holdings!A105</f>
        <v/>
      </c>
      <c r="B108">
        <f>Holdings!C105</f>
        <v/>
      </c>
      <c r="C108">
        <f>Holdings!F105</f>
        <v/>
      </c>
      <c r="D108">
        <f>Holdings!G105</f>
        <v/>
      </c>
      <c r="E108" s="14">
        <f>C108/D108</f>
        <v/>
      </c>
      <c r="F108">
        <f>IF(ISBLANK(Holdings!H105),"Sector proxy","Reported")</f>
        <v/>
      </c>
      <c r="G108" s="5">
        <f>IF(ISBLANK(Holdings!H105),D108*VLOOKUP(B108,Inputs!$A$15:$B$36,2,FALSE),Holdings!H105)</f>
        <v/>
      </c>
      <c r="H108" s="5">
        <f>_xlfn.XLOOKUP(B108,'Emission Factors'!$G$5:$G$26,'Emission Factors'!$H$5:$H$26)</f>
        <v/>
      </c>
      <c r="I108" s="5">
        <f>E108*G108*H108</f>
        <v/>
      </c>
      <c r="J108">
        <f>IF(ISBLANK(Holdings!H105),5,4)</f>
        <v/>
      </c>
      <c r="K108" s="10">
        <f>C108/SUM($C$5:$C$304)</f>
        <v/>
      </c>
      <c r="L108" s="7">
        <f>K108*H108</f>
        <v/>
      </c>
    </row>
    <row r="109">
      <c r="A109">
        <f>Holdings!A106</f>
        <v/>
      </c>
      <c r="B109">
        <f>Holdings!C106</f>
        <v/>
      </c>
      <c r="C109">
        <f>Holdings!F106</f>
        <v/>
      </c>
      <c r="D109">
        <f>Holdings!G106</f>
        <v/>
      </c>
      <c r="E109" s="14">
        <f>C109/D109</f>
        <v/>
      </c>
      <c r="F109">
        <f>IF(ISBLANK(Holdings!H106),"Sector proxy","Reported")</f>
        <v/>
      </c>
      <c r="G109" s="5">
        <f>IF(ISBLANK(Holdings!H106),D109*VLOOKUP(B109,Inputs!$A$15:$B$36,2,FALSE),Holdings!H106)</f>
        <v/>
      </c>
      <c r="H109" s="5">
        <f>_xlfn.XLOOKUP(B109,'Emission Factors'!$G$5:$G$26,'Emission Factors'!$H$5:$H$26)</f>
        <v/>
      </c>
      <c r="I109" s="5">
        <f>E109*G109*H109</f>
        <v/>
      </c>
      <c r="J109">
        <f>IF(ISBLANK(Holdings!H106),5,4)</f>
        <v/>
      </c>
      <c r="K109" s="10">
        <f>C109/SUM($C$5:$C$304)</f>
        <v/>
      </c>
      <c r="L109" s="7">
        <f>K109*H109</f>
        <v/>
      </c>
    </row>
    <row r="110">
      <c r="A110">
        <f>Holdings!A107</f>
        <v/>
      </c>
      <c r="B110">
        <f>Holdings!C107</f>
        <v/>
      </c>
      <c r="C110">
        <f>Holdings!F107</f>
        <v/>
      </c>
      <c r="D110">
        <f>Holdings!G107</f>
        <v/>
      </c>
      <c r="E110" s="14">
        <f>C110/D110</f>
        <v/>
      </c>
      <c r="F110">
        <f>IF(ISBLANK(Holdings!H107),"Sector proxy","Reported")</f>
        <v/>
      </c>
      <c r="G110" s="5">
        <f>IF(ISBLANK(Holdings!H107),D110*VLOOKUP(B110,Inputs!$A$15:$B$36,2,FALSE),Holdings!H107)</f>
        <v/>
      </c>
      <c r="H110" s="5">
        <f>_xlfn.XLOOKUP(B110,'Emission Factors'!$G$5:$G$26,'Emission Factors'!$H$5:$H$26)</f>
        <v/>
      </c>
      <c r="I110" s="5">
        <f>E110*G110*H110</f>
        <v/>
      </c>
      <c r="J110">
        <f>IF(ISBLANK(Holdings!H107),5,4)</f>
        <v/>
      </c>
      <c r="K110" s="10">
        <f>C110/SUM($C$5:$C$304)</f>
        <v/>
      </c>
      <c r="L110" s="7">
        <f>K110*H110</f>
        <v/>
      </c>
    </row>
    <row r="111">
      <c r="A111">
        <f>Holdings!A108</f>
        <v/>
      </c>
      <c r="B111">
        <f>Holdings!C108</f>
        <v/>
      </c>
      <c r="C111">
        <f>Holdings!F108</f>
        <v/>
      </c>
      <c r="D111">
        <f>Holdings!G108</f>
        <v/>
      </c>
      <c r="E111" s="14">
        <f>C111/D111</f>
        <v/>
      </c>
      <c r="F111">
        <f>IF(ISBLANK(Holdings!H108),"Sector proxy","Reported")</f>
        <v/>
      </c>
      <c r="G111" s="5">
        <f>IF(ISBLANK(Holdings!H108),D111*VLOOKUP(B111,Inputs!$A$15:$B$36,2,FALSE),Holdings!H108)</f>
        <v/>
      </c>
      <c r="H111" s="5">
        <f>_xlfn.XLOOKUP(B111,'Emission Factors'!$G$5:$G$26,'Emission Factors'!$H$5:$H$26)</f>
        <v/>
      </c>
      <c r="I111" s="5">
        <f>E111*G111*H111</f>
        <v/>
      </c>
      <c r="J111">
        <f>IF(ISBLANK(Holdings!H108),5,4)</f>
        <v/>
      </c>
      <c r="K111" s="10">
        <f>C111/SUM($C$5:$C$304)</f>
        <v/>
      </c>
      <c r="L111" s="7">
        <f>K111*H111</f>
        <v/>
      </c>
    </row>
    <row r="112">
      <c r="A112">
        <f>Holdings!A109</f>
        <v/>
      </c>
      <c r="B112">
        <f>Holdings!C109</f>
        <v/>
      </c>
      <c r="C112">
        <f>Holdings!F109</f>
        <v/>
      </c>
      <c r="D112">
        <f>Holdings!G109</f>
        <v/>
      </c>
      <c r="E112" s="14">
        <f>C112/D112</f>
        <v/>
      </c>
      <c r="F112">
        <f>IF(ISBLANK(Holdings!H109),"Sector proxy","Reported")</f>
        <v/>
      </c>
      <c r="G112" s="5">
        <f>IF(ISBLANK(Holdings!H109),D112*VLOOKUP(B112,Inputs!$A$15:$B$36,2,FALSE),Holdings!H109)</f>
        <v/>
      </c>
      <c r="H112" s="5">
        <f>_xlfn.XLOOKUP(B112,'Emission Factors'!$G$5:$G$26,'Emission Factors'!$H$5:$H$26)</f>
        <v/>
      </c>
      <c r="I112" s="5">
        <f>E112*G112*H112</f>
        <v/>
      </c>
      <c r="J112">
        <f>IF(ISBLANK(Holdings!H109),5,4)</f>
        <v/>
      </c>
      <c r="K112" s="10">
        <f>C112/SUM($C$5:$C$304)</f>
        <v/>
      </c>
      <c r="L112" s="7">
        <f>K112*H112</f>
        <v/>
      </c>
    </row>
    <row r="113">
      <c r="A113">
        <f>Holdings!A110</f>
        <v/>
      </c>
      <c r="B113">
        <f>Holdings!C110</f>
        <v/>
      </c>
      <c r="C113">
        <f>Holdings!F110</f>
        <v/>
      </c>
      <c r="D113">
        <f>Holdings!G110</f>
        <v/>
      </c>
      <c r="E113" s="14">
        <f>C113/D113</f>
        <v/>
      </c>
      <c r="F113">
        <f>IF(ISBLANK(Holdings!H110),"Sector proxy","Reported")</f>
        <v/>
      </c>
      <c r="G113" s="5">
        <f>IF(ISBLANK(Holdings!H110),D113*VLOOKUP(B113,Inputs!$A$15:$B$36,2,FALSE),Holdings!H110)</f>
        <v/>
      </c>
      <c r="H113" s="5">
        <f>_xlfn.XLOOKUP(B113,'Emission Factors'!$G$5:$G$26,'Emission Factors'!$H$5:$H$26)</f>
        <v/>
      </c>
      <c r="I113" s="5">
        <f>E113*G113*H113</f>
        <v/>
      </c>
      <c r="J113">
        <f>IF(ISBLANK(Holdings!H110),5,4)</f>
        <v/>
      </c>
      <c r="K113" s="10">
        <f>C113/SUM($C$5:$C$304)</f>
        <v/>
      </c>
      <c r="L113" s="7">
        <f>K113*H113</f>
        <v/>
      </c>
    </row>
    <row r="114">
      <c r="A114">
        <f>Holdings!A111</f>
        <v/>
      </c>
      <c r="B114">
        <f>Holdings!C111</f>
        <v/>
      </c>
      <c r="C114">
        <f>Holdings!F111</f>
        <v/>
      </c>
      <c r="D114">
        <f>Holdings!G111</f>
        <v/>
      </c>
      <c r="E114" s="14">
        <f>C114/D114</f>
        <v/>
      </c>
      <c r="F114">
        <f>IF(ISBLANK(Holdings!H111),"Sector proxy","Reported")</f>
        <v/>
      </c>
      <c r="G114" s="5">
        <f>IF(ISBLANK(Holdings!H111),D114*VLOOKUP(B114,Inputs!$A$15:$B$36,2,FALSE),Holdings!H111)</f>
        <v/>
      </c>
      <c r="H114" s="5">
        <f>_xlfn.XLOOKUP(B114,'Emission Factors'!$G$5:$G$26,'Emission Factors'!$H$5:$H$26)</f>
        <v/>
      </c>
      <c r="I114" s="5">
        <f>E114*G114*H114</f>
        <v/>
      </c>
      <c r="J114">
        <f>IF(ISBLANK(Holdings!H111),5,4)</f>
        <v/>
      </c>
      <c r="K114" s="10">
        <f>C114/SUM($C$5:$C$304)</f>
        <v/>
      </c>
      <c r="L114" s="7">
        <f>K114*H114</f>
        <v/>
      </c>
    </row>
    <row r="115">
      <c r="A115">
        <f>Holdings!A112</f>
        <v/>
      </c>
      <c r="B115">
        <f>Holdings!C112</f>
        <v/>
      </c>
      <c r="C115">
        <f>Holdings!F112</f>
        <v/>
      </c>
      <c r="D115">
        <f>Holdings!G112</f>
        <v/>
      </c>
      <c r="E115" s="14">
        <f>C115/D115</f>
        <v/>
      </c>
      <c r="F115">
        <f>IF(ISBLANK(Holdings!H112),"Sector proxy","Reported")</f>
        <v/>
      </c>
      <c r="G115" s="5">
        <f>IF(ISBLANK(Holdings!H112),D115*VLOOKUP(B115,Inputs!$A$15:$B$36,2,FALSE),Holdings!H112)</f>
        <v/>
      </c>
      <c r="H115" s="5">
        <f>_xlfn.XLOOKUP(B115,'Emission Factors'!$G$5:$G$26,'Emission Factors'!$H$5:$H$26)</f>
        <v/>
      </c>
      <c r="I115" s="5">
        <f>E115*G115*H115</f>
        <v/>
      </c>
      <c r="J115">
        <f>IF(ISBLANK(Holdings!H112),5,4)</f>
        <v/>
      </c>
      <c r="K115" s="10">
        <f>C115/SUM($C$5:$C$304)</f>
        <v/>
      </c>
      <c r="L115" s="7">
        <f>K115*H115</f>
        <v/>
      </c>
    </row>
    <row r="116">
      <c r="A116">
        <f>Holdings!A113</f>
        <v/>
      </c>
      <c r="B116">
        <f>Holdings!C113</f>
        <v/>
      </c>
      <c r="C116">
        <f>Holdings!F113</f>
        <v/>
      </c>
      <c r="D116">
        <f>Holdings!G113</f>
        <v/>
      </c>
      <c r="E116" s="14">
        <f>C116/D116</f>
        <v/>
      </c>
      <c r="F116">
        <f>IF(ISBLANK(Holdings!H113),"Sector proxy","Reported")</f>
        <v/>
      </c>
      <c r="G116" s="5">
        <f>IF(ISBLANK(Holdings!H113),D116*VLOOKUP(B116,Inputs!$A$15:$B$36,2,FALSE),Holdings!H113)</f>
        <v/>
      </c>
      <c r="H116" s="5">
        <f>_xlfn.XLOOKUP(B116,'Emission Factors'!$G$5:$G$26,'Emission Factors'!$H$5:$H$26)</f>
        <v/>
      </c>
      <c r="I116" s="5">
        <f>E116*G116*H116</f>
        <v/>
      </c>
      <c r="J116">
        <f>IF(ISBLANK(Holdings!H113),5,4)</f>
        <v/>
      </c>
      <c r="K116" s="10">
        <f>C116/SUM($C$5:$C$304)</f>
        <v/>
      </c>
      <c r="L116" s="7">
        <f>K116*H116</f>
        <v/>
      </c>
    </row>
    <row r="117">
      <c r="A117">
        <f>Holdings!A114</f>
        <v/>
      </c>
      <c r="B117">
        <f>Holdings!C114</f>
        <v/>
      </c>
      <c r="C117">
        <f>Holdings!F114</f>
        <v/>
      </c>
      <c r="D117">
        <f>Holdings!G114</f>
        <v/>
      </c>
      <c r="E117" s="14">
        <f>C117/D117</f>
        <v/>
      </c>
      <c r="F117">
        <f>IF(ISBLANK(Holdings!H114),"Sector proxy","Reported")</f>
        <v/>
      </c>
      <c r="G117" s="5">
        <f>IF(ISBLANK(Holdings!H114),D117*VLOOKUP(B117,Inputs!$A$15:$B$36,2,FALSE),Holdings!H114)</f>
        <v/>
      </c>
      <c r="H117" s="5">
        <f>_xlfn.XLOOKUP(B117,'Emission Factors'!$G$5:$G$26,'Emission Factors'!$H$5:$H$26)</f>
        <v/>
      </c>
      <c r="I117" s="5">
        <f>E117*G117*H117</f>
        <v/>
      </c>
      <c r="J117">
        <f>IF(ISBLANK(Holdings!H114),5,4)</f>
        <v/>
      </c>
      <c r="K117" s="10">
        <f>C117/SUM($C$5:$C$304)</f>
        <v/>
      </c>
      <c r="L117" s="7">
        <f>K117*H117</f>
        <v/>
      </c>
    </row>
    <row r="118">
      <c r="A118">
        <f>Holdings!A115</f>
        <v/>
      </c>
      <c r="B118">
        <f>Holdings!C115</f>
        <v/>
      </c>
      <c r="C118">
        <f>Holdings!F115</f>
        <v/>
      </c>
      <c r="D118">
        <f>Holdings!G115</f>
        <v/>
      </c>
      <c r="E118" s="14">
        <f>C118/D118</f>
        <v/>
      </c>
      <c r="F118">
        <f>IF(ISBLANK(Holdings!H115),"Sector proxy","Reported")</f>
        <v/>
      </c>
      <c r="G118" s="5">
        <f>IF(ISBLANK(Holdings!H115),D118*VLOOKUP(B118,Inputs!$A$15:$B$36,2,FALSE),Holdings!H115)</f>
        <v/>
      </c>
      <c r="H118" s="5">
        <f>_xlfn.XLOOKUP(B118,'Emission Factors'!$G$5:$G$26,'Emission Factors'!$H$5:$H$26)</f>
        <v/>
      </c>
      <c r="I118" s="5">
        <f>E118*G118*H118</f>
        <v/>
      </c>
      <c r="J118">
        <f>IF(ISBLANK(Holdings!H115),5,4)</f>
        <v/>
      </c>
      <c r="K118" s="10">
        <f>C118/SUM($C$5:$C$304)</f>
        <v/>
      </c>
      <c r="L118" s="7">
        <f>K118*H118</f>
        <v/>
      </c>
    </row>
    <row r="119">
      <c r="A119">
        <f>Holdings!A116</f>
        <v/>
      </c>
      <c r="B119">
        <f>Holdings!C116</f>
        <v/>
      </c>
      <c r="C119">
        <f>Holdings!F116</f>
        <v/>
      </c>
      <c r="D119">
        <f>Holdings!G116</f>
        <v/>
      </c>
      <c r="E119" s="14">
        <f>C119/D119</f>
        <v/>
      </c>
      <c r="F119">
        <f>IF(ISBLANK(Holdings!H116),"Sector proxy","Reported")</f>
        <v/>
      </c>
      <c r="G119" s="5">
        <f>IF(ISBLANK(Holdings!H116),D119*VLOOKUP(B119,Inputs!$A$15:$B$36,2,FALSE),Holdings!H116)</f>
        <v/>
      </c>
      <c r="H119" s="5">
        <f>_xlfn.XLOOKUP(B119,'Emission Factors'!$G$5:$G$26,'Emission Factors'!$H$5:$H$26)</f>
        <v/>
      </c>
      <c r="I119" s="5">
        <f>E119*G119*H119</f>
        <v/>
      </c>
      <c r="J119">
        <f>IF(ISBLANK(Holdings!H116),5,4)</f>
        <v/>
      </c>
      <c r="K119" s="10">
        <f>C119/SUM($C$5:$C$304)</f>
        <v/>
      </c>
      <c r="L119" s="7">
        <f>K119*H119</f>
        <v/>
      </c>
    </row>
    <row r="120">
      <c r="A120">
        <f>Holdings!A117</f>
        <v/>
      </c>
      <c r="B120">
        <f>Holdings!C117</f>
        <v/>
      </c>
      <c r="C120">
        <f>Holdings!F117</f>
        <v/>
      </c>
      <c r="D120">
        <f>Holdings!G117</f>
        <v/>
      </c>
      <c r="E120" s="14">
        <f>C120/D120</f>
        <v/>
      </c>
      <c r="F120">
        <f>IF(ISBLANK(Holdings!H117),"Sector proxy","Reported")</f>
        <v/>
      </c>
      <c r="G120" s="5">
        <f>IF(ISBLANK(Holdings!H117),D120*VLOOKUP(B120,Inputs!$A$15:$B$36,2,FALSE),Holdings!H117)</f>
        <v/>
      </c>
      <c r="H120" s="5">
        <f>_xlfn.XLOOKUP(B120,'Emission Factors'!$G$5:$G$26,'Emission Factors'!$H$5:$H$26)</f>
        <v/>
      </c>
      <c r="I120" s="5">
        <f>E120*G120*H120</f>
        <v/>
      </c>
      <c r="J120">
        <f>IF(ISBLANK(Holdings!H117),5,4)</f>
        <v/>
      </c>
      <c r="K120" s="10">
        <f>C120/SUM($C$5:$C$304)</f>
        <v/>
      </c>
      <c r="L120" s="7">
        <f>K120*H120</f>
        <v/>
      </c>
    </row>
    <row r="121">
      <c r="A121">
        <f>Holdings!A118</f>
        <v/>
      </c>
      <c r="B121">
        <f>Holdings!C118</f>
        <v/>
      </c>
      <c r="C121">
        <f>Holdings!F118</f>
        <v/>
      </c>
      <c r="D121">
        <f>Holdings!G118</f>
        <v/>
      </c>
      <c r="E121" s="14">
        <f>C121/D121</f>
        <v/>
      </c>
      <c r="F121">
        <f>IF(ISBLANK(Holdings!H118),"Sector proxy","Reported")</f>
        <v/>
      </c>
      <c r="G121" s="5">
        <f>IF(ISBLANK(Holdings!H118),D121*VLOOKUP(B121,Inputs!$A$15:$B$36,2,FALSE),Holdings!H118)</f>
        <v/>
      </c>
      <c r="H121" s="5">
        <f>_xlfn.XLOOKUP(B121,'Emission Factors'!$G$5:$G$26,'Emission Factors'!$H$5:$H$26)</f>
        <v/>
      </c>
      <c r="I121" s="5">
        <f>E121*G121*H121</f>
        <v/>
      </c>
      <c r="J121">
        <f>IF(ISBLANK(Holdings!H118),5,4)</f>
        <v/>
      </c>
      <c r="K121" s="10">
        <f>C121/SUM($C$5:$C$304)</f>
        <v/>
      </c>
      <c r="L121" s="7">
        <f>K121*H121</f>
        <v/>
      </c>
    </row>
    <row r="122">
      <c r="A122">
        <f>Holdings!A119</f>
        <v/>
      </c>
      <c r="B122">
        <f>Holdings!C119</f>
        <v/>
      </c>
      <c r="C122">
        <f>Holdings!F119</f>
        <v/>
      </c>
      <c r="D122">
        <f>Holdings!G119</f>
        <v/>
      </c>
      <c r="E122" s="14">
        <f>C122/D122</f>
        <v/>
      </c>
      <c r="F122">
        <f>IF(ISBLANK(Holdings!H119),"Sector proxy","Reported")</f>
        <v/>
      </c>
      <c r="G122" s="5">
        <f>IF(ISBLANK(Holdings!H119),D122*VLOOKUP(B122,Inputs!$A$15:$B$36,2,FALSE),Holdings!H119)</f>
        <v/>
      </c>
      <c r="H122" s="5">
        <f>_xlfn.XLOOKUP(B122,'Emission Factors'!$G$5:$G$26,'Emission Factors'!$H$5:$H$26)</f>
        <v/>
      </c>
      <c r="I122" s="5">
        <f>E122*G122*H122</f>
        <v/>
      </c>
      <c r="J122">
        <f>IF(ISBLANK(Holdings!H119),5,4)</f>
        <v/>
      </c>
      <c r="K122" s="10">
        <f>C122/SUM($C$5:$C$304)</f>
        <v/>
      </c>
      <c r="L122" s="7">
        <f>K122*H122</f>
        <v/>
      </c>
    </row>
    <row r="123">
      <c r="A123">
        <f>Holdings!A120</f>
        <v/>
      </c>
      <c r="B123">
        <f>Holdings!C120</f>
        <v/>
      </c>
      <c r="C123">
        <f>Holdings!F120</f>
        <v/>
      </c>
      <c r="D123">
        <f>Holdings!G120</f>
        <v/>
      </c>
      <c r="E123" s="14">
        <f>C123/D123</f>
        <v/>
      </c>
      <c r="F123">
        <f>IF(ISBLANK(Holdings!H120),"Sector proxy","Reported")</f>
        <v/>
      </c>
      <c r="G123" s="5">
        <f>IF(ISBLANK(Holdings!H120),D123*VLOOKUP(B123,Inputs!$A$15:$B$36,2,FALSE),Holdings!H120)</f>
        <v/>
      </c>
      <c r="H123" s="5">
        <f>_xlfn.XLOOKUP(B123,'Emission Factors'!$G$5:$G$26,'Emission Factors'!$H$5:$H$26)</f>
        <v/>
      </c>
      <c r="I123" s="5">
        <f>E123*G123*H123</f>
        <v/>
      </c>
      <c r="J123">
        <f>IF(ISBLANK(Holdings!H120),5,4)</f>
        <v/>
      </c>
      <c r="K123" s="10">
        <f>C123/SUM($C$5:$C$304)</f>
        <v/>
      </c>
      <c r="L123" s="7">
        <f>K123*H123</f>
        <v/>
      </c>
    </row>
    <row r="124">
      <c r="A124">
        <f>Holdings!A121</f>
        <v/>
      </c>
      <c r="B124">
        <f>Holdings!C121</f>
        <v/>
      </c>
      <c r="C124">
        <f>Holdings!F121</f>
        <v/>
      </c>
      <c r="D124">
        <f>Holdings!G121</f>
        <v/>
      </c>
      <c r="E124" s="14">
        <f>C124/D124</f>
        <v/>
      </c>
      <c r="F124">
        <f>IF(ISBLANK(Holdings!H121),"Sector proxy","Reported")</f>
        <v/>
      </c>
      <c r="G124" s="5">
        <f>IF(ISBLANK(Holdings!H121),D124*VLOOKUP(B124,Inputs!$A$15:$B$36,2,FALSE),Holdings!H121)</f>
        <v/>
      </c>
      <c r="H124" s="5">
        <f>_xlfn.XLOOKUP(B124,'Emission Factors'!$G$5:$G$26,'Emission Factors'!$H$5:$H$26)</f>
        <v/>
      </c>
      <c r="I124" s="5">
        <f>E124*G124*H124</f>
        <v/>
      </c>
      <c r="J124">
        <f>IF(ISBLANK(Holdings!H121),5,4)</f>
        <v/>
      </c>
      <c r="K124" s="10">
        <f>C124/SUM($C$5:$C$304)</f>
        <v/>
      </c>
      <c r="L124" s="7">
        <f>K124*H124</f>
        <v/>
      </c>
    </row>
    <row r="125">
      <c r="A125">
        <f>Holdings!A122</f>
        <v/>
      </c>
      <c r="B125">
        <f>Holdings!C122</f>
        <v/>
      </c>
      <c r="C125">
        <f>Holdings!F122</f>
        <v/>
      </c>
      <c r="D125">
        <f>Holdings!G122</f>
        <v/>
      </c>
      <c r="E125" s="14">
        <f>C125/D125</f>
        <v/>
      </c>
      <c r="F125">
        <f>IF(ISBLANK(Holdings!H122),"Sector proxy","Reported")</f>
        <v/>
      </c>
      <c r="G125" s="5">
        <f>IF(ISBLANK(Holdings!H122),D125*VLOOKUP(B125,Inputs!$A$15:$B$36,2,FALSE),Holdings!H122)</f>
        <v/>
      </c>
      <c r="H125" s="5">
        <f>_xlfn.XLOOKUP(B125,'Emission Factors'!$G$5:$G$26,'Emission Factors'!$H$5:$H$26)</f>
        <v/>
      </c>
      <c r="I125" s="5">
        <f>E125*G125*H125</f>
        <v/>
      </c>
      <c r="J125">
        <f>IF(ISBLANK(Holdings!H122),5,4)</f>
        <v/>
      </c>
      <c r="K125" s="10">
        <f>C125/SUM($C$5:$C$304)</f>
        <v/>
      </c>
      <c r="L125" s="7">
        <f>K125*H125</f>
        <v/>
      </c>
    </row>
    <row r="126">
      <c r="A126">
        <f>Holdings!A123</f>
        <v/>
      </c>
      <c r="B126">
        <f>Holdings!C123</f>
        <v/>
      </c>
      <c r="C126">
        <f>Holdings!F123</f>
        <v/>
      </c>
      <c r="D126">
        <f>Holdings!G123</f>
        <v/>
      </c>
      <c r="E126" s="14">
        <f>C126/D126</f>
        <v/>
      </c>
      <c r="F126">
        <f>IF(ISBLANK(Holdings!H123),"Sector proxy","Reported")</f>
        <v/>
      </c>
      <c r="G126" s="5">
        <f>IF(ISBLANK(Holdings!H123),D126*VLOOKUP(B126,Inputs!$A$15:$B$36,2,FALSE),Holdings!H123)</f>
        <v/>
      </c>
      <c r="H126" s="5">
        <f>_xlfn.XLOOKUP(B126,'Emission Factors'!$G$5:$G$26,'Emission Factors'!$H$5:$H$26)</f>
        <v/>
      </c>
      <c r="I126" s="5">
        <f>E126*G126*H126</f>
        <v/>
      </c>
      <c r="J126">
        <f>IF(ISBLANK(Holdings!H123),5,4)</f>
        <v/>
      </c>
      <c r="K126" s="10">
        <f>C126/SUM($C$5:$C$304)</f>
        <v/>
      </c>
      <c r="L126" s="7">
        <f>K126*H126</f>
        <v/>
      </c>
    </row>
    <row r="127">
      <c r="A127">
        <f>Holdings!A124</f>
        <v/>
      </c>
      <c r="B127">
        <f>Holdings!C124</f>
        <v/>
      </c>
      <c r="C127">
        <f>Holdings!F124</f>
        <v/>
      </c>
      <c r="D127">
        <f>Holdings!G124</f>
        <v/>
      </c>
      <c r="E127" s="14">
        <f>C127/D127</f>
        <v/>
      </c>
      <c r="F127">
        <f>IF(ISBLANK(Holdings!H124),"Sector proxy","Reported")</f>
        <v/>
      </c>
      <c r="G127" s="5">
        <f>IF(ISBLANK(Holdings!H124),D127*VLOOKUP(B127,Inputs!$A$15:$B$36,2,FALSE),Holdings!H124)</f>
        <v/>
      </c>
      <c r="H127" s="5">
        <f>_xlfn.XLOOKUP(B127,'Emission Factors'!$G$5:$G$26,'Emission Factors'!$H$5:$H$26)</f>
        <v/>
      </c>
      <c r="I127" s="5">
        <f>E127*G127*H127</f>
        <v/>
      </c>
      <c r="J127">
        <f>IF(ISBLANK(Holdings!H124),5,4)</f>
        <v/>
      </c>
      <c r="K127" s="10">
        <f>C127/SUM($C$5:$C$304)</f>
        <v/>
      </c>
      <c r="L127" s="7">
        <f>K127*H127</f>
        <v/>
      </c>
    </row>
    <row r="128">
      <c r="A128">
        <f>Holdings!A125</f>
        <v/>
      </c>
      <c r="B128">
        <f>Holdings!C125</f>
        <v/>
      </c>
      <c r="C128">
        <f>Holdings!F125</f>
        <v/>
      </c>
      <c r="D128">
        <f>Holdings!G125</f>
        <v/>
      </c>
      <c r="E128" s="14">
        <f>C128/D128</f>
        <v/>
      </c>
      <c r="F128">
        <f>IF(ISBLANK(Holdings!H125),"Sector proxy","Reported")</f>
        <v/>
      </c>
      <c r="G128" s="5">
        <f>IF(ISBLANK(Holdings!H125),D128*VLOOKUP(B128,Inputs!$A$15:$B$36,2,FALSE),Holdings!H125)</f>
        <v/>
      </c>
      <c r="H128" s="5">
        <f>_xlfn.XLOOKUP(B128,'Emission Factors'!$G$5:$G$26,'Emission Factors'!$H$5:$H$26)</f>
        <v/>
      </c>
      <c r="I128" s="5">
        <f>E128*G128*H128</f>
        <v/>
      </c>
      <c r="J128">
        <f>IF(ISBLANK(Holdings!H125),5,4)</f>
        <v/>
      </c>
      <c r="K128" s="10">
        <f>C128/SUM($C$5:$C$304)</f>
        <v/>
      </c>
      <c r="L128" s="7">
        <f>K128*H128</f>
        <v/>
      </c>
    </row>
    <row r="129">
      <c r="A129">
        <f>Holdings!A126</f>
        <v/>
      </c>
      <c r="B129">
        <f>Holdings!C126</f>
        <v/>
      </c>
      <c r="C129">
        <f>Holdings!F126</f>
        <v/>
      </c>
      <c r="D129">
        <f>Holdings!G126</f>
        <v/>
      </c>
      <c r="E129" s="14">
        <f>C129/D129</f>
        <v/>
      </c>
      <c r="F129">
        <f>IF(ISBLANK(Holdings!H126),"Sector proxy","Reported")</f>
        <v/>
      </c>
      <c r="G129" s="5">
        <f>IF(ISBLANK(Holdings!H126),D129*VLOOKUP(B129,Inputs!$A$15:$B$36,2,FALSE),Holdings!H126)</f>
        <v/>
      </c>
      <c r="H129" s="5">
        <f>_xlfn.XLOOKUP(B129,'Emission Factors'!$G$5:$G$26,'Emission Factors'!$H$5:$H$26)</f>
        <v/>
      </c>
      <c r="I129" s="5">
        <f>E129*G129*H129</f>
        <v/>
      </c>
      <c r="J129">
        <f>IF(ISBLANK(Holdings!H126),5,4)</f>
        <v/>
      </c>
      <c r="K129" s="10">
        <f>C129/SUM($C$5:$C$304)</f>
        <v/>
      </c>
      <c r="L129" s="7">
        <f>K129*H129</f>
        <v/>
      </c>
    </row>
    <row r="130">
      <c r="A130">
        <f>Holdings!A127</f>
        <v/>
      </c>
      <c r="B130">
        <f>Holdings!C127</f>
        <v/>
      </c>
      <c r="C130">
        <f>Holdings!F127</f>
        <v/>
      </c>
      <c r="D130">
        <f>Holdings!G127</f>
        <v/>
      </c>
      <c r="E130" s="14">
        <f>C130/D130</f>
        <v/>
      </c>
      <c r="F130">
        <f>IF(ISBLANK(Holdings!H127),"Sector proxy","Reported")</f>
        <v/>
      </c>
      <c r="G130" s="5">
        <f>IF(ISBLANK(Holdings!H127),D130*VLOOKUP(B130,Inputs!$A$15:$B$36,2,FALSE),Holdings!H127)</f>
        <v/>
      </c>
      <c r="H130" s="5">
        <f>_xlfn.XLOOKUP(B130,'Emission Factors'!$G$5:$G$26,'Emission Factors'!$H$5:$H$26)</f>
        <v/>
      </c>
      <c r="I130" s="5">
        <f>E130*G130*H130</f>
        <v/>
      </c>
      <c r="J130">
        <f>IF(ISBLANK(Holdings!H127),5,4)</f>
        <v/>
      </c>
      <c r="K130" s="10">
        <f>C130/SUM($C$5:$C$304)</f>
        <v/>
      </c>
      <c r="L130" s="7">
        <f>K130*H130</f>
        <v/>
      </c>
    </row>
    <row r="131">
      <c r="A131">
        <f>Holdings!A128</f>
        <v/>
      </c>
      <c r="B131">
        <f>Holdings!C128</f>
        <v/>
      </c>
      <c r="C131">
        <f>Holdings!F128</f>
        <v/>
      </c>
      <c r="D131">
        <f>Holdings!G128</f>
        <v/>
      </c>
      <c r="E131" s="14">
        <f>C131/D131</f>
        <v/>
      </c>
      <c r="F131">
        <f>IF(ISBLANK(Holdings!H128),"Sector proxy","Reported")</f>
        <v/>
      </c>
      <c r="G131" s="5">
        <f>IF(ISBLANK(Holdings!H128),D131*VLOOKUP(B131,Inputs!$A$15:$B$36,2,FALSE),Holdings!H128)</f>
        <v/>
      </c>
      <c r="H131" s="5">
        <f>_xlfn.XLOOKUP(B131,'Emission Factors'!$G$5:$G$26,'Emission Factors'!$H$5:$H$26)</f>
        <v/>
      </c>
      <c r="I131" s="5">
        <f>E131*G131*H131</f>
        <v/>
      </c>
      <c r="J131">
        <f>IF(ISBLANK(Holdings!H128),5,4)</f>
        <v/>
      </c>
      <c r="K131" s="10">
        <f>C131/SUM($C$5:$C$304)</f>
        <v/>
      </c>
      <c r="L131" s="7">
        <f>K131*H131</f>
        <v/>
      </c>
    </row>
    <row r="132">
      <c r="A132">
        <f>Holdings!A129</f>
        <v/>
      </c>
      <c r="B132">
        <f>Holdings!C129</f>
        <v/>
      </c>
      <c r="C132">
        <f>Holdings!F129</f>
        <v/>
      </c>
      <c r="D132">
        <f>Holdings!G129</f>
        <v/>
      </c>
      <c r="E132" s="14">
        <f>C132/D132</f>
        <v/>
      </c>
      <c r="F132">
        <f>IF(ISBLANK(Holdings!H129),"Sector proxy","Reported")</f>
        <v/>
      </c>
      <c r="G132" s="5">
        <f>IF(ISBLANK(Holdings!H129),D132*VLOOKUP(B132,Inputs!$A$15:$B$36,2,FALSE),Holdings!H129)</f>
        <v/>
      </c>
      <c r="H132" s="5">
        <f>_xlfn.XLOOKUP(B132,'Emission Factors'!$G$5:$G$26,'Emission Factors'!$H$5:$H$26)</f>
        <v/>
      </c>
      <c r="I132" s="5">
        <f>E132*G132*H132</f>
        <v/>
      </c>
      <c r="J132">
        <f>IF(ISBLANK(Holdings!H129),5,4)</f>
        <v/>
      </c>
      <c r="K132" s="10">
        <f>C132/SUM($C$5:$C$304)</f>
        <v/>
      </c>
      <c r="L132" s="7">
        <f>K132*H132</f>
        <v/>
      </c>
    </row>
    <row r="133">
      <c r="A133">
        <f>Holdings!A130</f>
        <v/>
      </c>
      <c r="B133">
        <f>Holdings!C130</f>
        <v/>
      </c>
      <c r="C133">
        <f>Holdings!F130</f>
        <v/>
      </c>
      <c r="D133">
        <f>Holdings!G130</f>
        <v/>
      </c>
      <c r="E133" s="14">
        <f>C133/D133</f>
        <v/>
      </c>
      <c r="F133">
        <f>IF(ISBLANK(Holdings!H130),"Sector proxy","Reported")</f>
        <v/>
      </c>
      <c r="G133" s="5">
        <f>IF(ISBLANK(Holdings!H130),D133*VLOOKUP(B133,Inputs!$A$15:$B$36,2,FALSE),Holdings!H130)</f>
        <v/>
      </c>
      <c r="H133" s="5">
        <f>_xlfn.XLOOKUP(B133,'Emission Factors'!$G$5:$G$26,'Emission Factors'!$H$5:$H$26)</f>
        <v/>
      </c>
      <c r="I133" s="5">
        <f>E133*G133*H133</f>
        <v/>
      </c>
      <c r="J133">
        <f>IF(ISBLANK(Holdings!H130),5,4)</f>
        <v/>
      </c>
      <c r="K133" s="10">
        <f>C133/SUM($C$5:$C$304)</f>
        <v/>
      </c>
      <c r="L133" s="7">
        <f>K133*H133</f>
        <v/>
      </c>
    </row>
    <row r="134">
      <c r="A134">
        <f>Holdings!A131</f>
        <v/>
      </c>
      <c r="B134">
        <f>Holdings!C131</f>
        <v/>
      </c>
      <c r="C134">
        <f>Holdings!F131</f>
        <v/>
      </c>
      <c r="D134">
        <f>Holdings!G131</f>
        <v/>
      </c>
      <c r="E134" s="14">
        <f>C134/D134</f>
        <v/>
      </c>
      <c r="F134">
        <f>IF(ISBLANK(Holdings!H131),"Sector proxy","Reported")</f>
        <v/>
      </c>
      <c r="G134" s="5">
        <f>IF(ISBLANK(Holdings!H131),D134*VLOOKUP(B134,Inputs!$A$15:$B$36,2,FALSE),Holdings!H131)</f>
        <v/>
      </c>
      <c r="H134" s="5">
        <f>_xlfn.XLOOKUP(B134,'Emission Factors'!$G$5:$G$26,'Emission Factors'!$H$5:$H$26)</f>
        <v/>
      </c>
      <c r="I134" s="5">
        <f>E134*G134*H134</f>
        <v/>
      </c>
      <c r="J134">
        <f>IF(ISBLANK(Holdings!H131),5,4)</f>
        <v/>
      </c>
      <c r="K134" s="10">
        <f>C134/SUM($C$5:$C$304)</f>
        <v/>
      </c>
      <c r="L134" s="7">
        <f>K134*H134</f>
        <v/>
      </c>
    </row>
    <row r="135">
      <c r="A135">
        <f>Holdings!A132</f>
        <v/>
      </c>
      <c r="B135">
        <f>Holdings!C132</f>
        <v/>
      </c>
      <c r="C135">
        <f>Holdings!F132</f>
        <v/>
      </c>
      <c r="D135">
        <f>Holdings!G132</f>
        <v/>
      </c>
      <c r="E135" s="14">
        <f>C135/D135</f>
        <v/>
      </c>
      <c r="F135">
        <f>IF(ISBLANK(Holdings!H132),"Sector proxy","Reported")</f>
        <v/>
      </c>
      <c r="G135" s="5">
        <f>IF(ISBLANK(Holdings!H132),D135*VLOOKUP(B135,Inputs!$A$15:$B$36,2,FALSE),Holdings!H132)</f>
        <v/>
      </c>
      <c r="H135" s="5">
        <f>_xlfn.XLOOKUP(B135,'Emission Factors'!$G$5:$G$26,'Emission Factors'!$H$5:$H$26)</f>
        <v/>
      </c>
      <c r="I135" s="5">
        <f>E135*G135*H135</f>
        <v/>
      </c>
      <c r="J135">
        <f>IF(ISBLANK(Holdings!H132),5,4)</f>
        <v/>
      </c>
      <c r="K135" s="10">
        <f>C135/SUM($C$5:$C$304)</f>
        <v/>
      </c>
      <c r="L135" s="7">
        <f>K135*H135</f>
        <v/>
      </c>
    </row>
    <row r="136">
      <c r="A136">
        <f>Holdings!A133</f>
        <v/>
      </c>
      <c r="B136">
        <f>Holdings!C133</f>
        <v/>
      </c>
      <c r="C136">
        <f>Holdings!F133</f>
        <v/>
      </c>
      <c r="D136">
        <f>Holdings!G133</f>
        <v/>
      </c>
      <c r="E136" s="14">
        <f>C136/D136</f>
        <v/>
      </c>
      <c r="F136">
        <f>IF(ISBLANK(Holdings!H133),"Sector proxy","Reported")</f>
        <v/>
      </c>
      <c r="G136" s="5">
        <f>IF(ISBLANK(Holdings!H133),D136*VLOOKUP(B136,Inputs!$A$15:$B$36,2,FALSE),Holdings!H133)</f>
        <v/>
      </c>
      <c r="H136" s="5">
        <f>_xlfn.XLOOKUP(B136,'Emission Factors'!$G$5:$G$26,'Emission Factors'!$H$5:$H$26)</f>
        <v/>
      </c>
      <c r="I136" s="5">
        <f>E136*G136*H136</f>
        <v/>
      </c>
      <c r="J136">
        <f>IF(ISBLANK(Holdings!H133),5,4)</f>
        <v/>
      </c>
      <c r="K136" s="10">
        <f>C136/SUM($C$5:$C$304)</f>
        <v/>
      </c>
      <c r="L136" s="7">
        <f>K136*H136</f>
        <v/>
      </c>
    </row>
    <row r="137">
      <c r="A137">
        <f>Holdings!A134</f>
        <v/>
      </c>
      <c r="B137">
        <f>Holdings!C134</f>
        <v/>
      </c>
      <c r="C137">
        <f>Holdings!F134</f>
        <v/>
      </c>
      <c r="D137">
        <f>Holdings!G134</f>
        <v/>
      </c>
      <c r="E137" s="14">
        <f>C137/D137</f>
        <v/>
      </c>
      <c r="F137">
        <f>IF(ISBLANK(Holdings!H134),"Sector proxy","Reported")</f>
        <v/>
      </c>
      <c r="G137" s="5">
        <f>IF(ISBLANK(Holdings!H134),D137*VLOOKUP(B137,Inputs!$A$15:$B$36,2,FALSE),Holdings!H134)</f>
        <v/>
      </c>
      <c r="H137" s="5">
        <f>_xlfn.XLOOKUP(B137,'Emission Factors'!$G$5:$G$26,'Emission Factors'!$H$5:$H$26)</f>
        <v/>
      </c>
      <c r="I137" s="5">
        <f>E137*G137*H137</f>
        <v/>
      </c>
      <c r="J137">
        <f>IF(ISBLANK(Holdings!H134),5,4)</f>
        <v/>
      </c>
      <c r="K137" s="10">
        <f>C137/SUM($C$5:$C$304)</f>
        <v/>
      </c>
      <c r="L137" s="7">
        <f>K137*H137</f>
        <v/>
      </c>
    </row>
    <row r="138">
      <c r="A138">
        <f>Holdings!A135</f>
        <v/>
      </c>
      <c r="B138">
        <f>Holdings!C135</f>
        <v/>
      </c>
      <c r="C138">
        <f>Holdings!F135</f>
        <v/>
      </c>
      <c r="D138">
        <f>Holdings!G135</f>
        <v/>
      </c>
      <c r="E138" s="14">
        <f>C138/D138</f>
        <v/>
      </c>
      <c r="F138">
        <f>IF(ISBLANK(Holdings!H135),"Sector proxy","Reported")</f>
        <v/>
      </c>
      <c r="G138" s="5">
        <f>IF(ISBLANK(Holdings!H135),D138*VLOOKUP(B138,Inputs!$A$15:$B$36,2,FALSE),Holdings!H135)</f>
        <v/>
      </c>
      <c r="H138" s="5">
        <f>_xlfn.XLOOKUP(B138,'Emission Factors'!$G$5:$G$26,'Emission Factors'!$H$5:$H$26)</f>
        <v/>
      </c>
      <c r="I138" s="5">
        <f>E138*G138*H138</f>
        <v/>
      </c>
      <c r="J138">
        <f>IF(ISBLANK(Holdings!H135),5,4)</f>
        <v/>
      </c>
      <c r="K138" s="10">
        <f>C138/SUM($C$5:$C$304)</f>
        <v/>
      </c>
      <c r="L138" s="7">
        <f>K138*H138</f>
        <v/>
      </c>
    </row>
    <row r="139">
      <c r="A139">
        <f>Holdings!A136</f>
        <v/>
      </c>
      <c r="B139">
        <f>Holdings!C136</f>
        <v/>
      </c>
      <c r="C139">
        <f>Holdings!F136</f>
        <v/>
      </c>
      <c r="D139">
        <f>Holdings!G136</f>
        <v/>
      </c>
      <c r="E139" s="14">
        <f>C139/D139</f>
        <v/>
      </c>
      <c r="F139">
        <f>IF(ISBLANK(Holdings!H136),"Sector proxy","Reported")</f>
        <v/>
      </c>
      <c r="G139" s="5">
        <f>IF(ISBLANK(Holdings!H136),D139*VLOOKUP(B139,Inputs!$A$15:$B$36,2,FALSE),Holdings!H136)</f>
        <v/>
      </c>
      <c r="H139" s="5">
        <f>_xlfn.XLOOKUP(B139,'Emission Factors'!$G$5:$G$26,'Emission Factors'!$H$5:$H$26)</f>
        <v/>
      </c>
      <c r="I139" s="5">
        <f>E139*G139*H139</f>
        <v/>
      </c>
      <c r="J139">
        <f>IF(ISBLANK(Holdings!H136),5,4)</f>
        <v/>
      </c>
      <c r="K139" s="10">
        <f>C139/SUM($C$5:$C$304)</f>
        <v/>
      </c>
      <c r="L139" s="7">
        <f>K139*H139</f>
        <v/>
      </c>
    </row>
    <row r="140">
      <c r="A140">
        <f>Holdings!A137</f>
        <v/>
      </c>
      <c r="B140">
        <f>Holdings!C137</f>
        <v/>
      </c>
      <c r="C140">
        <f>Holdings!F137</f>
        <v/>
      </c>
      <c r="D140">
        <f>Holdings!G137</f>
        <v/>
      </c>
      <c r="E140" s="14">
        <f>C140/D140</f>
        <v/>
      </c>
      <c r="F140">
        <f>IF(ISBLANK(Holdings!H137),"Sector proxy","Reported")</f>
        <v/>
      </c>
      <c r="G140" s="5">
        <f>IF(ISBLANK(Holdings!H137),D140*VLOOKUP(B140,Inputs!$A$15:$B$36,2,FALSE),Holdings!H137)</f>
        <v/>
      </c>
      <c r="H140" s="5">
        <f>_xlfn.XLOOKUP(B140,'Emission Factors'!$G$5:$G$26,'Emission Factors'!$H$5:$H$26)</f>
        <v/>
      </c>
      <c r="I140" s="5">
        <f>E140*G140*H140</f>
        <v/>
      </c>
      <c r="J140">
        <f>IF(ISBLANK(Holdings!H137),5,4)</f>
        <v/>
      </c>
      <c r="K140" s="10">
        <f>C140/SUM($C$5:$C$304)</f>
        <v/>
      </c>
      <c r="L140" s="7">
        <f>K140*H140</f>
        <v/>
      </c>
    </row>
    <row r="141">
      <c r="A141">
        <f>Holdings!A138</f>
        <v/>
      </c>
      <c r="B141">
        <f>Holdings!C138</f>
        <v/>
      </c>
      <c r="C141">
        <f>Holdings!F138</f>
        <v/>
      </c>
      <c r="D141">
        <f>Holdings!G138</f>
        <v/>
      </c>
      <c r="E141" s="14">
        <f>C141/D141</f>
        <v/>
      </c>
      <c r="F141">
        <f>IF(ISBLANK(Holdings!H138),"Sector proxy","Reported")</f>
        <v/>
      </c>
      <c r="G141" s="5">
        <f>IF(ISBLANK(Holdings!H138),D141*VLOOKUP(B141,Inputs!$A$15:$B$36,2,FALSE),Holdings!H138)</f>
        <v/>
      </c>
      <c r="H141" s="5">
        <f>_xlfn.XLOOKUP(B141,'Emission Factors'!$G$5:$G$26,'Emission Factors'!$H$5:$H$26)</f>
        <v/>
      </c>
      <c r="I141" s="5">
        <f>E141*G141*H141</f>
        <v/>
      </c>
      <c r="J141">
        <f>IF(ISBLANK(Holdings!H138),5,4)</f>
        <v/>
      </c>
      <c r="K141" s="10">
        <f>C141/SUM($C$5:$C$304)</f>
        <v/>
      </c>
      <c r="L141" s="7">
        <f>K141*H141</f>
        <v/>
      </c>
    </row>
    <row r="142">
      <c r="A142">
        <f>Holdings!A139</f>
        <v/>
      </c>
      <c r="B142">
        <f>Holdings!C139</f>
        <v/>
      </c>
      <c r="C142">
        <f>Holdings!F139</f>
        <v/>
      </c>
      <c r="D142">
        <f>Holdings!G139</f>
        <v/>
      </c>
      <c r="E142" s="14">
        <f>C142/D142</f>
        <v/>
      </c>
      <c r="F142">
        <f>IF(ISBLANK(Holdings!H139),"Sector proxy","Reported")</f>
        <v/>
      </c>
      <c r="G142" s="5">
        <f>IF(ISBLANK(Holdings!H139),D142*VLOOKUP(B142,Inputs!$A$15:$B$36,2,FALSE),Holdings!H139)</f>
        <v/>
      </c>
      <c r="H142" s="5">
        <f>_xlfn.XLOOKUP(B142,'Emission Factors'!$G$5:$G$26,'Emission Factors'!$H$5:$H$26)</f>
        <v/>
      </c>
      <c r="I142" s="5">
        <f>E142*G142*H142</f>
        <v/>
      </c>
      <c r="J142">
        <f>IF(ISBLANK(Holdings!H139),5,4)</f>
        <v/>
      </c>
      <c r="K142" s="10">
        <f>C142/SUM($C$5:$C$304)</f>
        <v/>
      </c>
      <c r="L142" s="7">
        <f>K142*H142</f>
        <v/>
      </c>
    </row>
    <row r="143">
      <c r="A143">
        <f>Holdings!A140</f>
        <v/>
      </c>
      <c r="B143">
        <f>Holdings!C140</f>
        <v/>
      </c>
      <c r="C143">
        <f>Holdings!F140</f>
        <v/>
      </c>
      <c r="D143">
        <f>Holdings!G140</f>
        <v/>
      </c>
      <c r="E143" s="14">
        <f>C143/D143</f>
        <v/>
      </c>
      <c r="F143">
        <f>IF(ISBLANK(Holdings!H140),"Sector proxy","Reported")</f>
        <v/>
      </c>
      <c r="G143" s="5">
        <f>IF(ISBLANK(Holdings!H140),D143*VLOOKUP(B143,Inputs!$A$15:$B$36,2,FALSE),Holdings!H140)</f>
        <v/>
      </c>
      <c r="H143" s="5">
        <f>_xlfn.XLOOKUP(B143,'Emission Factors'!$G$5:$G$26,'Emission Factors'!$H$5:$H$26)</f>
        <v/>
      </c>
      <c r="I143" s="5">
        <f>E143*G143*H143</f>
        <v/>
      </c>
      <c r="J143">
        <f>IF(ISBLANK(Holdings!H140),5,4)</f>
        <v/>
      </c>
      <c r="K143" s="10">
        <f>C143/SUM($C$5:$C$304)</f>
        <v/>
      </c>
      <c r="L143" s="7">
        <f>K143*H143</f>
        <v/>
      </c>
    </row>
    <row r="144">
      <c r="A144">
        <f>Holdings!A141</f>
        <v/>
      </c>
      <c r="B144">
        <f>Holdings!C141</f>
        <v/>
      </c>
      <c r="C144">
        <f>Holdings!F141</f>
        <v/>
      </c>
      <c r="D144">
        <f>Holdings!G141</f>
        <v/>
      </c>
      <c r="E144" s="14">
        <f>C144/D144</f>
        <v/>
      </c>
      <c r="F144">
        <f>IF(ISBLANK(Holdings!H141),"Sector proxy","Reported")</f>
        <v/>
      </c>
      <c r="G144" s="5">
        <f>IF(ISBLANK(Holdings!H141),D144*VLOOKUP(B144,Inputs!$A$15:$B$36,2,FALSE),Holdings!H141)</f>
        <v/>
      </c>
      <c r="H144" s="5">
        <f>_xlfn.XLOOKUP(B144,'Emission Factors'!$G$5:$G$26,'Emission Factors'!$H$5:$H$26)</f>
        <v/>
      </c>
      <c r="I144" s="5">
        <f>E144*G144*H144</f>
        <v/>
      </c>
      <c r="J144">
        <f>IF(ISBLANK(Holdings!H141),5,4)</f>
        <v/>
      </c>
      <c r="K144" s="10">
        <f>C144/SUM($C$5:$C$304)</f>
        <v/>
      </c>
      <c r="L144" s="7">
        <f>K144*H144</f>
        <v/>
      </c>
    </row>
    <row r="145">
      <c r="A145">
        <f>Holdings!A142</f>
        <v/>
      </c>
      <c r="B145">
        <f>Holdings!C142</f>
        <v/>
      </c>
      <c r="C145">
        <f>Holdings!F142</f>
        <v/>
      </c>
      <c r="D145">
        <f>Holdings!G142</f>
        <v/>
      </c>
      <c r="E145" s="14">
        <f>C145/D145</f>
        <v/>
      </c>
      <c r="F145">
        <f>IF(ISBLANK(Holdings!H142),"Sector proxy","Reported")</f>
        <v/>
      </c>
      <c r="G145" s="5">
        <f>IF(ISBLANK(Holdings!H142),D145*VLOOKUP(B145,Inputs!$A$15:$B$36,2,FALSE),Holdings!H142)</f>
        <v/>
      </c>
      <c r="H145" s="5">
        <f>_xlfn.XLOOKUP(B145,'Emission Factors'!$G$5:$G$26,'Emission Factors'!$H$5:$H$26)</f>
        <v/>
      </c>
      <c r="I145" s="5">
        <f>E145*G145*H145</f>
        <v/>
      </c>
      <c r="J145">
        <f>IF(ISBLANK(Holdings!H142),5,4)</f>
        <v/>
      </c>
      <c r="K145" s="10">
        <f>C145/SUM($C$5:$C$304)</f>
        <v/>
      </c>
      <c r="L145" s="7">
        <f>K145*H145</f>
        <v/>
      </c>
    </row>
    <row r="146">
      <c r="A146">
        <f>Holdings!A143</f>
        <v/>
      </c>
      <c r="B146">
        <f>Holdings!C143</f>
        <v/>
      </c>
      <c r="C146">
        <f>Holdings!F143</f>
        <v/>
      </c>
      <c r="D146">
        <f>Holdings!G143</f>
        <v/>
      </c>
      <c r="E146" s="14">
        <f>C146/D146</f>
        <v/>
      </c>
      <c r="F146">
        <f>IF(ISBLANK(Holdings!H143),"Sector proxy","Reported")</f>
        <v/>
      </c>
      <c r="G146" s="5">
        <f>IF(ISBLANK(Holdings!H143),D146*VLOOKUP(B146,Inputs!$A$15:$B$36,2,FALSE),Holdings!H143)</f>
        <v/>
      </c>
      <c r="H146" s="5">
        <f>_xlfn.XLOOKUP(B146,'Emission Factors'!$G$5:$G$26,'Emission Factors'!$H$5:$H$26)</f>
        <v/>
      </c>
      <c r="I146" s="5">
        <f>E146*G146*H146</f>
        <v/>
      </c>
      <c r="J146">
        <f>IF(ISBLANK(Holdings!H143),5,4)</f>
        <v/>
      </c>
      <c r="K146" s="10">
        <f>C146/SUM($C$5:$C$304)</f>
        <v/>
      </c>
      <c r="L146" s="7">
        <f>K146*H146</f>
        <v/>
      </c>
    </row>
    <row r="147">
      <c r="A147">
        <f>Holdings!A144</f>
        <v/>
      </c>
      <c r="B147">
        <f>Holdings!C144</f>
        <v/>
      </c>
      <c r="C147">
        <f>Holdings!F144</f>
        <v/>
      </c>
      <c r="D147">
        <f>Holdings!G144</f>
        <v/>
      </c>
      <c r="E147" s="14">
        <f>C147/D147</f>
        <v/>
      </c>
      <c r="F147">
        <f>IF(ISBLANK(Holdings!H144),"Sector proxy","Reported")</f>
        <v/>
      </c>
      <c r="G147" s="5">
        <f>IF(ISBLANK(Holdings!H144),D147*VLOOKUP(B147,Inputs!$A$15:$B$36,2,FALSE),Holdings!H144)</f>
        <v/>
      </c>
      <c r="H147" s="5">
        <f>_xlfn.XLOOKUP(B147,'Emission Factors'!$G$5:$G$26,'Emission Factors'!$H$5:$H$26)</f>
        <v/>
      </c>
      <c r="I147" s="5">
        <f>E147*G147*H147</f>
        <v/>
      </c>
      <c r="J147">
        <f>IF(ISBLANK(Holdings!H144),5,4)</f>
        <v/>
      </c>
      <c r="K147" s="10">
        <f>C147/SUM($C$5:$C$304)</f>
        <v/>
      </c>
      <c r="L147" s="7">
        <f>K147*H147</f>
        <v/>
      </c>
    </row>
    <row r="148">
      <c r="A148">
        <f>Holdings!A145</f>
        <v/>
      </c>
      <c r="B148">
        <f>Holdings!C145</f>
        <v/>
      </c>
      <c r="C148">
        <f>Holdings!F145</f>
        <v/>
      </c>
      <c r="D148">
        <f>Holdings!G145</f>
        <v/>
      </c>
      <c r="E148" s="14">
        <f>C148/D148</f>
        <v/>
      </c>
      <c r="F148">
        <f>IF(ISBLANK(Holdings!H145),"Sector proxy","Reported")</f>
        <v/>
      </c>
      <c r="G148" s="5">
        <f>IF(ISBLANK(Holdings!H145),D148*VLOOKUP(B148,Inputs!$A$15:$B$36,2,FALSE),Holdings!H145)</f>
        <v/>
      </c>
      <c r="H148" s="5">
        <f>_xlfn.XLOOKUP(B148,'Emission Factors'!$G$5:$G$26,'Emission Factors'!$H$5:$H$26)</f>
        <v/>
      </c>
      <c r="I148" s="5">
        <f>E148*G148*H148</f>
        <v/>
      </c>
      <c r="J148">
        <f>IF(ISBLANK(Holdings!H145),5,4)</f>
        <v/>
      </c>
      <c r="K148" s="10">
        <f>C148/SUM($C$5:$C$304)</f>
        <v/>
      </c>
      <c r="L148" s="7">
        <f>K148*H148</f>
        <v/>
      </c>
    </row>
    <row r="149">
      <c r="A149">
        <f>Holdings!A146</f>
        <v/>
      </c>
      <c r="B149">
        <f>Holdings!C146</f>
        <v/>
      </c>
      <c r="C149">
        <f>Holdings!F146</f>
        <v/>
      </c>
      <c r="D149">
        <f>Holdings!G146</f>
        <v/>
      </c>
      <c r="E149" s="14">
        <f>C149/D149</f>
        <v/>
      </c>
      <c r="F149">
        <f>IF(ISBLANK(Holdings!H146),"Sector proxy","Reported")</f>
        <v/>
      </c>
      <c r="G149" s="5">
        <f>IF(ISBLANK(Holdings!H146),D149*VLOOKUP(B149,Inputs!$A$15:$B$36,2,FALSE),Holdings!H146)</f>
        <v/>
      </c>
      <c r="H149" s="5">
        <f>_xlfn.XLOOKUP(B149,'Emission Factors'!$G$5:$G$26,'Emission Factors'!$H$5:$H$26)</f>
        <v/>
      </c>
      <c r="I149" s="5">
        <f>E149*G149*H149</f>
        <v/>
      </c>
      <c r="J149">
        <f>IF(ISBLANK(Holdings!H146),5,4)</f>
        <v/>
      </c>
      <c r="K149" s="10">
        <f>C149/SUM($C$5:$C$304)</f>
        <v/>
      </c>
      <c r="L149" s="7">
        <f>K149*H149</f>
        <v/>
      </c>
    </row>
    <row r="150">
      <c r="A150">
        <f>Holdings!A147</f>
        <v/>
      </c>
      <c r="B150">
        <f>Holdings!C147</f>
        <v/>
      </c>
      <c r="C150">
        <f>Holdings!F147</f>
        <v/>
      </c>
      <c r="D150">
        <f>Holdings!G147</f>
        <v/>
      </c>
      <c r="E150" s="14">
        <f>C150/D150</f>
        <v/>
      </c>
      <c r="F150">
        <f>IF(ISBLANK(Holdings!H147),"Sector proxy","Reported")</f>
        <v/>
      </c>
      <c r="G150" s="5">
        <f>IF(ISBLANK(Holdings!H147),D150*VLOOKUP(B150,Inputs!$A$15:$B$36,2,FALSE),Holdings!H147)</f>
        <v/>
      </c>
      <c r="H150" s="5">
        <f>_xlfn.XLOOKUP(B150,'Emission Factors'!$G$5:$G$26,'Emission Factors'!$H$5:$H$26)</f>
        <v/>
      </c>
      <c r="I150" s="5">
        <f>E150*G150*H150</f>
        <v/>
      </c>
      <c r="J150">
        <f>IF(ISBLANK(Holdings!H147),5,4)</f>
        <v/>
      </c>
      <c r="K150" s="10">
        <f>C150/SUM($C$5:$C$304)</f>
        <v/>
      </c>
      <c r="L150" s="7">
        <f>K150*H150</f>
        <v/>
      </c>
    </row>
    <row r="151">
      <c r="A151">
        <f>Holdings!A148</f>
        <v/>
      </c>
      <c r="B151">
        <f>Holdings!C148</f>
        <v/>
      </c>
      <c r="C151">
        <f>Holdings!F148</f>
        <v/>
      </c>
      <c r="D151">
        <f>Holdings!G148</f>
        <v/>
      </c>
      <c r="E151" s="14">
        <f>C151/D151</f>
        <v/>
      </c>
      <c r="F151">
        <f>IF(ISBLANK(Holdings!H148),"Sector proxy","Reported")</f>
        <v/>
      </c>
      <c r="G151" s="5">
        <f>IF(ISBLANK(Holdings!H148),D151*VLOOKUP(B151,Inputs!$A$15:$B$36,2,FALSE),Holdings!H148)</f>
        <v/>
      </c>
      <c r="H151" s="5">
        <f>_xlfn.XLOOKUP(B151,'Emission Factors'!$G$5:$G$26,'Emission Factors'!$H$5:$H$26)</f>
        <v/>
      </c>
      <c r="I151" s="5">
        <f>E151*G151*H151</f>
        <v/>
      </c>
      <c r="J151">
        <f>IF(ISBLANK(Holdings!H148),5,4)</f>
        <v/>
      </c>
      <c r="K151" s="10">
        <f>C151/SUM($C$5:$C$304)</f>
        <v/>
      </c>
      <c r="L151" s="7">
        <f>K151*H151</f>
        <v/>
      </c>
    </row>
    <row r="152">
      <c r="A152">
        <f>Holdings!A149</f>
        <v/>
      </c>
      <c r="B152">
        <f>Holdings!C149</f>
        <v/>
      </c>
      <c r="C152">
        <f>Holdings!F149</f>
        <v/>
      </c>
      <c r="D152">
        <f>Holdings!G149</f>
        <v/>
      </c>
      <c r="E152" s="14">
        <f>C152/D152</f>
        <v/>
      </c>
      <c r="F152">
        <f>IF(ISBLANK(Holdings!H149),"Sector proxy","Reported")</f>
        <v/>
      </c>
      <c r="G152" s="5">
        <f>IF(ISBLANK(Holdings!H149),D152*VLOOKUP(B152,Inputs!$A$15:$B$36,2,FALSE),Holdings!H149)</f>
        <v/>
      </c>
      <c r="H152" s="5">
        <f>_xlfn.XLOOKUP(B152,'Emission Factors'!$G$5:$G$26,'Emission Factors'!$H$5:$H$26)</f>
        <v/>
      </c>
      <c r="I152" s="5">
        <f>E152*G152*H152</f>
        <v/>
      </c>
      <c r="J152">
        <f>IF(ISBLANK(Holdings!H149),5,4)</f>
        <v/>
      </c>
      <c r="K152" s="10">
        <f>C152/SUM($C$5:$C$304)</f>
        <v/>
      </c>
      <c r="L152" s="7">
        <f>K152*H152</f>
        <v/>
      </c>
    </row>
    <row r="153">
      <c r="A153">
        <f>Holdings!A150</f>
        <v/>
      </c>
      <c r="B153">
        <f>Holdings!C150</f>
        <v/>
      </c>
      <c r="C153">
        <f>Holdings!F150</f>
        <v/>
      </c>
      <c r="D153">
        <f>Holdings!G150</f>
        <v/>
      </c>
      <c r="E153" s="14">
        <f>C153/D153</f>
        <v/>
      </c>
      <c r="F153">
        <f>IF(ISBLANK(Holdings!H150),"Sector proxy","Reported")</f>
        <v/>
      </c>
      <c r="G153" s="5">
        <f>IF(ISBLANK(Holdings!H150),D153*VLOOKUP(B153,Inputs!$A$15:$B$36,2,FALSE),Holdings!H150)</f>
        <v/>
      </c>
      <c r="H153" s="5">
        <f>_xlfn.XLOOKUP(B153,'Emission Factors'!$G$5:$G$26,'Emission Factors'!$H$5:$H$26)</f>
        <v/>
      </c>
      <c r="I153" s="5">
        <f>E153*G153*H153</f>
        <v/>
      </c>
      <c r="J153">
        <f>IF(ISBLANK(Holdings!H150),5,4)</f>
        <v/>
      </c>
      <c r="K153" s="10">
        <f>C153/SUM($C$5:$C$304)</f>
        <v/>
      </c>
      <c r="L153" s="7">
        <f>K153*H153</f>
        <v/>
      </c>
    </row>
    <row r="154">
      <c r="A154">
        <f>Holdings!A151</f>
        <v/>
      </c>
      <c r="B154">
        <f>Holdings!C151</f>
        <v/>
      </c>
      <c r="C154">
        <f>Holdings!F151</f>
        <v/>
      </c>
      <c r="D154">
        <f>Holdings!G151</f>
        <v/>
      </c>
      <c r="E154" s="14">
        <f>C154/D154</f>
        <v/>
      </c>
      <c r="F154">
        <f>IF(ISBLANK(Holdings!H151),"Sector proxy","Reported")</f>
        <v/>
      </c>
      <c r="G154" s="5">
        <f>IF(ISBLANK(Holdings!H151),D154*VLOOKUP(B154,Inputs!$A$15:$B$36,2,FALSE),Holdings!H151)</f>
        <v/>
      </c>
      <c r="H154" s="5">
        <f>_xlfn.XLOOKUP(B154,'Emission Factors'!$G$5:$G$26,'Emission Factors'!$H$5:$H$26)</f>
        <v/>
      </c>
      <c r="I154" s="5">
        <f>E154*G154*H154</f>
        <v/>
      </c>
      <c r="J154">
        <f>IF(ISBLANK(Holdings!H151),5,4)</f>
        <v/>
      </c>
      <c r="K154" s="10">
        <f>C154/SUM($C$5:$C$304)</f>
        <v/>
      </c>
      <c r="L154" s="7">
        <f>K154*H154</f>
        <v/>
      </c>
    </row>
    <row r="155">
      <c r="A155">
        <f>Holdings!A152</f>
        <v/>
      </c>
      <c r="B155">
        <f>Holdings!C152</f>
        <v/>
      </c>
      <c r="C155">
        <f>Holdings!F152</f>
        <v/>
      </c>
      <c r="D155">
        <f>Holdings!G152</f>
        <v/>
      </c>
      <c r="E155" s="14">
        <f>C155/D155</f>
        <v/>
      </c>
      <c r="F155">
        <f>IF(ISBLANK(Holdings!H152),"Sector proxy","Reported")</f>
        <v/>
      </c>
      <c r="G155" s="5">
        <f>IF(ISBLANK(Holdings!H152),D155*VLOOKUP(B155,Inputs!$A$15:$B$36,2,FALSE),Holdings!H152)</f>
        <v/>
      </c>
      <c r="H155" s="5">
        <f>_xlfn.XLOOKUP(B155,'Emission Factors'!$G$5:$G$26,'Emission Factors'!$H$5:$H$26)</f>
        <v/>
      </c>
      <c r="I155" s="5">
        <f>E155*G155*H155</f>
        <v/>
      </c>
      <c r="J155">
        <f>IF(ISBLANK(Holdings!H152),5,4)</f>
        <v/>
      </c>
      <c r="K155" s="10">
        <f>C155/SUM($C$5:$C$304)</f>
        <v/>
      </c>
      <c r="L155" s="7">
        <f>K155*H155</f>
        <v/>
      </c>
    </row>
    <row r="156">
      <c r="A156">
        <f>Holdings!A153</f>
        <v/>
      </c>
      <c r="B156">
        <f>Holdings!C153</f>
        <v/>
      </c>
      <c r="C156">
        <f>Holdings!F153</f>
        <v/>
      </c>
      <c r="D156">
        <f>Holdings!G153</f>
        <v/>
      </c>
      <c r="E156" s="14">
        <f>C156/D156</f>
        <v/>
      </c>
      <c r="F156">
        <f>IF(ISBLANK(Holdings!H153),"Sector proxy","Reported")</f>
        <v/>
      </c>
      <c r="G156" s="5">
        <f>IF(ISBLANK(Holdings!H153),D156*VLOOKUP(B156,Inputs!$A$15:$B$36,2,FALSE),Holdings!H153)</f>
        <v/>
      </c>
      <c r="H156" s="5">
        <f>_xlfn.XLOOKUP(B156,'Emission Factors'!$G$5:$G$26,'Emission Factors'!$H$5:$H$26)</f>
        <v/>
      </c>
      <c r="I156" s="5">
        <f>E156*G156*H156</f>
        <v/>
      </c>
      <c r="J156">
        <f>IF(ISBLANK(Holdings!H153),5,4)</f>
        <v/>
      </c>
      <c r="K156" s="10">
        <f>C156/SUM($C$5:$C$304)</f>
        <v/>
      </c>
      <c r="L156" s="7">
        <f>K156*H156</f>
        <v/>
      </c>
    </row>
    <row r="157">
      <c r="A157">
        <f>Holdings!A154</f>
        <v/>
      </c>
      <c r="B157">
        <f>Holdings!C154</f>
        <v/>
      </c>
      <c r="C157">
        <f>Holdings!F154</f>
        <v/>
      </c>
      <c r="D157">
        <f>Holdings!G154</f>
        <v/>
      </c>
      <c r="E157" s="14">
        <f>C157/D157</f>
        <v/>
      </c>
      <c r="F157">
        <f>IF(ISBLANK(Holdings!H154),"Sector proxy","Reported")</f>
        <v/>
      </c>
      <c r="G157" s="5">
        <f>IF(ISBLANK(Holdings!H154),D157*VLOOKUP(B157,Inputs!$A$15:$B$36,2,FALSE),Holdings!H154)</f>
        <v/>
      </c>
      <c r="H157" s="5">
        <f>_xlfn.XLOOKUP(B157,'Emission Factors'!$G$5:$G$26,'Emission Factors'!$H$5:$H$26)</f>
        <v/>
      </c>
      <c r="I157" s="5">
        <f>E157*G157*H157</f>
        <v/>
      </c>
      <c r="J157">
        <f>IF(ISBLANK(Holdings!H154),5,4)</f>
        <v/>
      </c>
      <c r="K157" s="10">
        <f>C157/SUM($C$5:$C$304)</f>
        <v/>
      </c>
      <c r="L157" s="7">
        <f>K157*H157</f>
        <v/>
      </c>
    </row>
    <row r="158">
      <c r="A158">
        <f>Holdings!A155</f>
        <v/>
      </c>
      <c r="B158">
        <f>Holdings!C155</f>
        <v/>
      </c>
      <c r="C158">
        <f>Holdings!F155</f>
        <v/>
      </c>
      <c r="D158">
        <f>Holdings!G155</f>
        <v/>
      </c>
      <c r="E158" s="14">
        <f>C158/D158</f>
        <v/>
      </c>
      <c r="F158">
        <f>IF(ISBLANK(Holdings!H155),"Sector proxy","Reported")</f>
        <v/>
      </c>
      <c r="G158" s="5">
        <f>IF(ISBLANK(Holdings!H155),D158*VLOOKUP(B158,Inputs!$A$15:$B$36,2,FALSE),Holdings!H155)</f>
        <v/>
      </c>
      <c r="H158" s="5">
        <f>_xlfn.XLOOKUP(B158,'Emission Factors'!$G$5:$G$26,'Emission Factors'!$H$5:$H$26)</f>
        <v/>
      </c>
      <c r="I158" s="5">
        <f>E158*G158*H158</f>
        <v/>
      </c>
      <c r="J158">
        <f>IF(ISBLANK(Holdings!H155),5,4)</f>
        <v/>
      </c>
      <c r="K158" s="10">
        <f>C158/SUM($C$5:$C$304)</f>
        <v/>
      </c>
      <c r="L158" s="7">
        <f>K158*H158</f>
        <v/>
      </c>
    </row>
    <row r="159">
      <c r="A159">
        <f>Holdings!A156</f>
        <v/>
      </c>
      <c r="B159">
        <f>Holdings!C156</f>
        <v/>
      </c>
      <c r="C159">
        <f>Holdings!F156</f>
        <v/>
      </c>
      <c r="D159">
        <f>Holdings!G156</f>
        <v/>
      </c>
      <c r="E159" s="14">
        <f>C159/D159</f>
        <v/>
      </c>
      <c r="F159">
        <f>IF(ISBLANK(Holdings!H156),"Sector proxy","Reported")</f>
        <v/>
      </c>
      <c r="G159" s="5">
        <f>IF(ISBLANK(Holdings!H156),D159*VLOOKUP(B159,Inputs!$A$15:$B$36,2,FALSE),Holdings!H156)</f>
        <v/>
      </c>
      <c r="H159" s="5">
        <f>_xlfn.XLOOKUP(B159,'Emission Factors'!$G$5:$G$26,'Emission Factors'!$H$5:$H$26)</f>
        <v/>
      </c>
      <c r="I159" s="5">
        <f>E159*G159*H159</f>
        <v/>
      </c>
      <c r="J159">
        <f>IF(ISBLANK(Holdings!H156),5,4)</f>
        <v/>
      </c>
      <c r="K159" s="10">
        <f>C159/SUM($C$5:$C$304)</f>
        <v/>
      </c>
      <c r="L159" s="7">
        <f>K159*H159</f>
        <v/>
      </c>
    </row>
    <row r="160">
      <c r="A160">
        <f>Holdings!A157</f>
        <v/>
      </c>
      <c r="B160">
        <f>Holdings!C157</f>
        <v/>
      </c>
      <c r="C160">
        <f>Holdings!F157</f>
        <v/>
      </c>
      <c r="D160">
        <f>Holdings!G157</f>
        <v/>
      </c>
      <c r="E160" s="14">
        <f>C160/D160</f>
        <v/>
      </c>
      <c r="F160">
        <f>IF(ISBLANK(Holdings!H157),"Sector proxy","Reported")</f>
        <v/>
      </c>
      <c r="G160" s="5">
        <f>IF(ISBLANK(Holdings!H157),D160*VLOOKUP(B160,Inputs!$A$15:$B$36,2,FALSE),Holdings!H157)</f>
        <v/>
      </c>
      <c r="H160" s="5">
        <f>_xlfn.XLOOKUP(B160,'Emission Factors'!$G$5:$G$26,'Emission Factors'!$H$5:$H$26)</f>
        <v/>
      </c>
      <c r="I160" s="5">
        <f>E160*G160*H160</f>
        <v/>
      </c>
      <c r="J160">
        <f>IF(ISBLANK(Holdings!H157),5,4)</f>
        <v/>
      </c>
      <c r="K160" s="10">
        <f>C160/SUM($C$5:$C$304)</f>
        <v/>
      </c>
      <c r="L160" s="7">
        <f>K160*H160</f>
        <v/>
      </c>
    </row>
    <row r="161">
      <c r="A161">
        <f>Holdings!A158</f>
        <v/>
      </c>
      <c r="B161">
        <f>Holdings!C158</f>
        <v/>
      </c>
      <c r="C161">
        <f>Holdings!F158</f>
        <v/>
      </c>
      <c r="D161">
        <f>Holdings!G158</f>
        <v/>
      </c>
      <c r="E161" s="14">
        <f>C161/D161</f>
        <v/>
      </c>
      <c r="F161">
        <f>IF(ISBLANK(Holdings!H158),"Sector proxy","Reported")</f>
        <v/>
      </c>
      <c r="G161" s="5">
        <f>IF(ISBLANK(Holdings!H158),D161*VLOOKUP(B161,Inputs!$A$15:$B$36,2,FALSE),Holdings!H158)</f>
        <v/>
      </c>
      <c r="H161" s="5">
        <f>_xlfn.XLOOKUP(B161,'Emission Factors'!$G$5:$G$26,'Emission Factors'!$H$5:$H$26)</f>
        <v/>
      </c>
      <c r="I161" s="5">
        <f>E161*G161*H161</f>
        <v/>
      </c>
      <c r="J161">
        <f>IF(ISBLANK(Holdings!H158),5,4)</f>
        <v/>
      </c>
      <c r="K161" s="10">
        <f>C161/SUM($C$5:$C$304)</f>
        <v/>
      </c>
      <c r="L161" s="7">
        <f>K161*H161</f>
        <v/>
      </c>
    </row>
    <row r="162">
      <c r="A162">
        <f>Holdings!A159</f>
        <v/>
      </c>
      <c r="B162">
        <f>Holdings!C159</f>
        <v/>
      </c>
      <c r="C162">
        <f>Holdings!F159</f>
        <v/>
      </c>
      <c r="D162">
        <f>Holdings!G159</f>
        <v/>
      </c>
      <c r="E162" s="14">
        <f>C162/D162</f>
        <v/>
      </c>
      <c r="F162">
        <f>IF(ISBLANK(Holdings!H159),"Sector proxy","Reported")</f>
        <v/>
      </c>
      <c r="G162" s="5">
        <f>IF(ISBLANK(Holdings!H159),D162*VLOOKUP(B162,Inputs!$A$15:$B$36,2,FALSE),Holdings!H159)</f>
        <v/>
      </c>
      <c r="H162" s="5">
        <f>_xlfn.XLOOKUP(B162,'Emission Factors'!$G$5:$G$26,'Emission Factors'!$H$5:$H$26)</f>
        <v/>
      </c>
      <c r="I162" s="5">
        <f>E162*G162*H162</f>
        <v/>
      </c>
      <c r="J162">
        <f>IF(ISBLANK(Holdings!H159),5,4)</f>
        <v/>
      </c>
      <c r="K162" s="10">
        <f>C162/SUM($C$5:$C$304)</f>
        <v/>
      </c>
      <c r="L162" s="7">
        <f>K162*H162</f>
        <v/>
      </c>
    </row>
    <row r="163">
      <c r="A163">
        <f>Holdings!A160</f>
        <v/>
      </c>
      <c r="B163">
        <f>Holdings!C160</f>
        <v/>
      </c>
      <c r="C163">
        <f>Holdings!F160</f>
        <v/>
      </c>
      <c r="D163">
        <f>Holdings!G160</f>
        <v/>
      </c>
      <c r="E163" s="14">
        <f>C163/D163</f>
        <v/>
      </c>
      <c r="F163">
        <f>IF(ISBLANK(Holdings!H160),"Sector proxy","Reported")</f>
        <v/>
      </c>
      <c r="G163" s="5">
        <f>IF(ISBLANK(Holdings!H160),D163*VLOOKUP(B163,Inputs!$A$15:$B$36,2,FALSE),Holdings!H160)</f>
        <v/>
      </c>
      <c r="H163" s="5">
        <f>_xlfn.XLOOKUP(B163,'Emission Factors'!$G$5:$G$26,'Emission Factors'!$H$5:$H$26)</f>
        <v/>
      </c>
      <c r="I163" s="5">
        <f>E163*G163*H163</f>
        <v/>
      </c>
      <c r="J163">
        <f>IF(ISBLANK(Holdings!H160),5,4)</f>
        <v/>
      </c>
      <c r="K163" s="10">
        <f>C163/SUM($C$5:$C$304)</f>
        <v/>
      </c>
      <c r="L163" s="7">
        <f>K163*H163</f>
        <v/>
      </c>
    </row>
    <row r="164">
      <c r="A164">
        <f>Holdings!A161</f>
        <v/>
      </c>
      <c r="B164">
        <f>Holdings!C161</f>
        <v/>
      </c>
      <c r="C164">
        <f>Holdings!F161</f>
        <v/>
      </c>
      <c r="D164">
        <f>Holdings!G161</f>
        <v/>
      </c>
      <c r="E164" s="14">
        <f>C164/D164</f>
        <v/>
      </c>
      <c r="F164">
        <f>IF(ISBLANK(Holdings!H161),"Sector proxy","Reported")</f>
        <v/>
      </c>
      <c r="G164" s="5">
        <f>IF(ISBLANK(Holdings!H161),D164*VLOOKUP(B164,Inputs!$A$15:$B$36,2,FALSE),Holdings!H161)</f>
        <v/>
      </c>
      <c r="H164" s="5">
        <f>_xlfn.XLOOKUP(B164,'Emission Factors'!$G$5:$G$26,'Emission Factors'!$H$5:$H$26)</f>
        <v/>
      </c>
      <c r="I164" s="5">
        <f>E164*G164*H164</f>
        <v/>
      </c>
      <c r="J164">
        <f>IF(ISBLANK(Holdings!H161),5,4)</f>
        <v/>
      </c>
      <c r="K164" s="10">
        <f>C164/SUM($C$5:$C$304)</f>
        <v/>
      </c>
      <c r="L164" s="7">
        <f>K164*H164</f>
        <v/>
      </c>
    </row>
    <row r="165">
      <c r="A165">
        <f>Holdings!A162</f>
        <v/>
      </c>
      <c r="B165">
        <f>Holdings!C162</f>
        <v/>
      </c>
      <c r="C165">
        <f>Holdings!F162</f>
        <v/>
      </c>
      <c r="D165">
        <f>Holdings!G162</f>
        <v/>
      </c>
      <c r="E165" s="14">
        <f>C165/D165</f>
        <v/>
      </c>
      <c r="F165">
        <f>IF(ISBLANK(Holdings!H162),"Sector proxy","Reported")</f>
        <v/>
      </c>
      <c r="G165" s="5">
        <f>IF(ISBLANK(Holdings!H162),D165*VLOOKUP(B165,Inputs!$A$15:$B$36,2,FALSE),Holdings!H162)</f>
        <v/>
      </c>
      <c r="H165" s="5">
        <f>_xlfn.XLOOKUP(B165,'Emission Factors'!$G$5:$G$26,'Emission Factors'!$H$5:$H$26)</f>
        <v/>
      </c>
      <c r="I165" s="5">
        <f>E165*G165*H165</f>
        <v/>
      </c>
      <c r="J165">
        <f>IF(ISBLANK(Holdings!H162),5,4)</f>
        <v/>
      </c>
      <c r="K165" s="10">
        <f>C165/SUM($C$5:$C$304)</f>
        <v/>
      </c>
      <c r="L165" s="7">
        <f>K165*H165</f>
        <v/>
      </c>
    </row>
    <row r="166">
      <c r="A166">
        <f>Holdings!A163</f>
        <v/>
      </c>
      <c r="B166">
        <f>Holdings!C163</f>
        <v/>
      </c>
      <c r="C166">
        <f>Holdings!F163</f>
        <v/>
      </c>
      <c r="D166">
        <f>Holdings!G163</f>
        <v/>
      </c>
      <c r="E166" s="14">
        <f>C166/D166</f>
        <v/>
      </c>
      <c r="F166">
        <f>IF(ISBLANK(Holdings!H163),"Sector proxy","Reported")</f>
        <v/>
      </c>
      <c r="G166" s="5">
        <f>IF(ISBLANK(Holdings!H163),D166*VLOOKUP(B166,Inputs!$A$15:$B$36,2,FALSE),Holdings!H163)</f>
        <v/>
      </c>
      <c r="H166" s="5">
        <f>_xlfn.XLOOKUP(B166,'Emission Factors'!$G$5:$G$26,'Emission Factors'!$H$5:$H$26)</f>
        <v/>
      </c>
      <c r="I166" s="5">
        <f>E166*G166*H166</f>
        <v/>
      </c>
      <c r="J166">
        <f>IF(ISBLANK(Holdings!H163),5,4)</f>
        <v/>
      </c>
      <c r="K166" s="10">
        <f>C166/SUM($C$5:$C$304)</f>
        <v/>
      </c>
      <c r="L166" s="7">
        <f>K166*H166</f>
        <v/>
      </c>
    </row>
    <row r="167">
      <c r="A167">
        <f>Holdings!A164</f>
        <v/>
      </c>
      <c r="B167">
        <f>Holdings!C164</f>
        <v/>
      </c>
      <c r="C167">
        <f>Holdings!F164</f>
        <v/>
      </c>
      <c r="D167">
        <f>Holdings!G164</f>
        <v/>
      </c>
      <c r="E167" s="14">
        <f>C167/D167</f>
        <v/>
      </c>
      <c r="F167">
        <f>IF(ISBLANK(Holdings!H164),"Sector proxy","Reported")</f>
        <v/>
      </c>
      <c r="G167" s="5">
        <f>IF(ISBLANK(Holdings!H164),D167*VLOOKUP(B167,Inputs!$A$15:$B$36,2,FALSE),Holdings!H164)</f>
        <v/>
      </c>
      <c r="H167" s="5">
        <f>_xlfn.XLOOKUP(B167,'Emission Factors'!$G$5:$G$26,'Emission Factors'!$H$5:$H$26)</f>
        <v/>
      </c>
      <c r="I167" s="5">
        <f>E167*G167*H167</f>
        <v/>
      </c>
      <c r="J167">
        <f>IF(ISBLANK(Holdings!H164),5,4)</f>
        <v/>
      </c>
      <c r="K167" s="10">
        <f>C167/SUM($C$5:$C$304)</f>
        <v/>
      </c>
      <c r="L167" s="7">
        <f>K167*H167</f>
        <v/>
      </c>
    </row>
    <row r="168">
      <c r="A168">
        <f>Holdings!A165</f>
        <v/>
      </c>
      <c r="B168">
        <f>Holdings!C165</f>
        <v/>
      </c>
      <c r="C168">
        <f>Holdings!F165</f>
        <v/>
      </c>
      <c r="D168">
        <f>Holdings!G165</f>
        <v/>
      </c>
      <c r="E168" s="14">
        <f>C168/D168</f>
        <v/>
      </c>
      <c r="F168">
        <f>IF(ISBLANK(Holdings!H165),"Sector proxy","Reported")</f>
        <v/>
      </c>
      <c r="G168" s="5">
        <f>IF(ISBLANK(Holdings!H165),D168*VLOOKUP(B168,Inputs!$A$15:$B$36,2,FALSE),Holdings!H165)</f>
        <v/>
      </c>
      <c r="H168" s="5">
        <f>_xlfn.XLOOKUP(B168,'Emission Factors'!$G$5:$G$26,'Emission Factors'!$H$5:$H$26)</f>
        <v/>
      </c>
      <c r="I168" s="5">
        <f>E168*G168*H168</f>
        <v/>
      </c>
      <c r="J168">
        <f>IF(ISBLANK(Holdings!H165),5,4)</f>
        <v/>
      </c>
      <c r="K168" s="10">
        <f>C168/SUM($C$5:$C$304)</f>
        <v/>
      </c>
      <c r="L168" s="7">
        <f>K168*H168</f>
        <v/>
      </c>
    </row>
    <row r="169">
      <c r="A169">
        <f>Holdings!A166</f>
        <v/>
      </c>
      <c r="B169">
        <f>Holdings!C166</f>
        <v/>
      </c>
      <c r="C169">
        <f>Holdings!F166</f>
        <v/>
      </c>
      <c r="D169">
        <f>Holdings!G166</f>
        <v/>
      </c>
      <c r="E169" s="14">
        <f>C169/D169</f>
        <v/>
      </c>
      <c r="F169">
        <f>IF(ISBLANK(Holdings!H166),"Sector proxy","Reported")</f>
        <v/>
      </c>
      <c r="G169" s="5">
        <f>IF(ISBLANK(Holdings!H166),D169*VLOOKUP(B169,Inputs!$A$15:$B$36,2,FALSE),Holdings!H166)</f>
        <v/>
      </c>
      <c r="H169" s="5">
        <f>_xlfn.XLOOKUP(B169,'Emission Factors'!$G$5:$G$26,'Emission Factors'!$H$5:$H$26)</f>
        <v/>
      </c>
      <c r="I169" s="5">
        <f>E169*G169*H169</f>
        <v/>
      </c>
      <c r="J169">
        <f>IF(ISBLANK(Holdings!H166),5,4)</f>
        <v/>
      </c>
      <c r="K169" s="10">
        <f>C169/SUM($C$5:$C$304)</f>
        <v/>
      </c>
      <c r="L169" s="7">
        <f>K169*H169</f>
        <v/>
      </c>
    </row>
    <row r="170">
      <c r="A170">
        <f>Holdings!A167</f>
        <v/>
      </c>
      <c r="B170">
        <f>Holdings!C167</f>
        <v/>
      </c>
      <c r="C170">
        <f>Holdings!F167</f>
        <v/>
      </c>
      <c r="D170">
        <f>Holdings!G167</f>
        <v/>
      </c>
      <c r="E170" s="14">
        <f>C170/D170</f>
        <v/>
      </c>
      <c r="F170">
        <f>IF(ISBLANK(Holdings!H167),"Sector proxy","Reported")</f>
        <v/>
      </c>
      <c r="G170" s="5">
        <f>IF(ISBLANK(Holdings!H167),D170*VLOOKUP(B170,Inputs!$A$15:$B$36,2,FALSE),Holdings!H167)</f>
        <v/>
      </c>
      <c r="H170" s="5">
        <f>_xlfn.XLOOKUP(B170,'Emission Factors'!$G$5:$G$26,'Emission Factors'!$H$5:$H$26)</f>
        <v/>
      </c>
      <c r="I170" s="5">
        <f>E170*G170*H170</f>
        <v/>
      </c>
      <c r="J170">
        <f>IF(ISBLANK(Holdings!H167),5,4)</f>
        <v/>
      </c>
      <c r="K170" s="10">
        <f>C170/SUM($C$5:$C$304)</f>
        <v/>
      </c>
      <c r="L170" s="7">
        <f>K170*H170</f>
        <v/>
      </c>
    </row>
    <row r="171">
      <c r="A171">
        <f>Holdings!A168</f>
        <v/>
      </c>
      <c r="B171">
        <f>Holdings!C168</f>
        <v/>
      </c>
      <c r="C171">
        <f>Holdings!F168</f>
        <v/>
      </c>
      <c r="D171">
        <f>Holdings!G168</f>
        <v/>
      </c>
      <c r="E171" s="14">
        <f>C171/D171</f>
        <v/>
      </c>
      <c r="F171">
        <f>IF(ISBLANK(Holdings!H168),"Sector proxy","Reported")</f>
        <v/>
      </c>
      <c r="G171" s="5">
        <f>IF(ISBLANK(Holdings!H168),D171*VLOOKUP(B171,Inputs!$A$15:$B$36,2,FALSE),Holdings!H168)</f>
        <v/>
      </c>
      <c r="H171" s="5">
        <f>_xlfn.XLOOKUP(B171,'Emission Factors'!$G$5:$G$26,'Emission Factors'!$H$5:$H$26)</f>
        <v/>
      </c>
      <c r="I171" s="5">
        <f>E171*G171*H171</f>
        <v/>
      </c>
      <c r="J171">
        <f>IF(ISBLANK(Holdings!H168),5,4)</f>
        <v/>
      </c>
      <c r="K171" s="10">
        <f>C171/SUM($C$5:$C$304)</f>
        <v/>
      </c>
      <c r="L171" s="7">
        <f>K171*H171</f>
        <v/>
      </c>
    </row>
    <row r="172">
      <c r="A172">
        <f>Holdings!A169</f>
        <v/>
      </c>
      <c r="B172">
        <f>Holdings!C169</f>
        <v/>
      </c>
      <c r="C172">
        <f>Holdings!F169</f>
        <v/>
      </c>
      <c r="D172">
        <f>Holdings!G169</f>
        <v/>
      </c>
      <c r="E172" s="14">
        <f>C172/D172</f>
        <v/>
      </c>
      <c r="F172">
        <f>IF(ISBLANK(Holdings!H169),"Sector proxy","Reported")</f>
        <v/>
      </c>
      <c r="G172" s="5">
        <f>IF(ISBLANK(Holdings!H169),D172*VLOOKUP(B172,Inputs!$A$15:$B$36,2,FALSE),Holdings!H169)</f>
        <v/>
      </c>
      <c r="H172" s="5">
        <f>_xlfn.XLOOKUP(B172,'Emission Factors'!$G$5:$G$26,'Emission Factors'!$H$5:$H$26)</f>
        <v/>
      </c>
      <c r="I172" s="5">
        <f>E172*G172*H172</f>
        <v/>
      </c>
      <c r="J172">
        <f>IF(ISBLANK(Holdings!H169),5,4)</f>
        <v/>
      </c>
      <c r="K172" s="10">
        <f>C172/SUM($C$5:$C$304)</f>
        <v/>
      </c>
      <c r="L172" s="7">
        <f>K172*H172</f>
        <v/>
      </c>
    </row>
    <row r="173">
      <c r="A173">
        <f>Holdings!A170</f>
        <v/>
      </c>
      <c r="B173">
        <f>Holdings!C170</f>
        <v/>
      </c>
      <c r="C173">
        <f>Holdings!F170</f>
        <v/>
      </c>
      <c r="D173">
        <f>Holdings!G170</f>
        <v/>
      </c>
      <c r="E173" s="14">
        <f>C173/D173</f>
        <v/>
      </c>
      <c r="F173">
        <f>IF(ISBLANK(Holdings!H170),"Sector proxy","Reported")</f>
        <v/>
      </c>
      <c r="G173" s="5">
        <f>IF(ISBLANK(Holdings!H170),D173*VLOOKUP(B173,Inputs!$A$15:$B$36,2,FALSE),Holdings!H170)</f>
        <v/>
      </c>
      <c r="H173" s="5">
        <f>_xlfn.XLOOKUP(B173,'Emission Factors'!$G$5:$G$26,'Emission Factors'!$H$5:$H$26)</f>
        <v/>
      </c>
      <c r="I173" s="5">
        <f>E173*G173*H173</f>
        <v/>
      </c>
      <c r="J173">
        <f>IF(ISBLANK(Holdings!H170),5,4)</f>
        <v/>
      </c>
      <c r="K173" s="10">
        <f>C173/SUM($C$5:$C$304)</f>
        <v/>
      </c>
      <c r="L173" s="7">
        <f>K173*H173</f>
        <v/>
      </c>
    </row>
    <row r="174">
      <c r="A174">
        <f>Holdings!A171</f>
        <v/>
      </c>
      <c r="B174">
        <f>Holdings!C171</f>
        <v/>
      </c>
      <c r="C174">
        <f>Holdings!F171</f>
        <v/>
      </c>
      <c r="D174">
        <f>Holdings!G171</f>
        <v/>
      </c>
      <c r="E174" s="14">
        <f>C174/D174</f>
        <v/>
      </c>
      <c r="F174">
        <f>IF(ISBLANK(Holdings!H171),"Sector proxy","Reported")</f>
        <v/>
      </c>
      <c r="G174" s="5">
        <f>IF(ISBLANK(Holdings!H171),D174*VLOOKUP(B174,Inputs!$A$15:$B$36,2,FALSE),Holdings!H171)</f>
        <v/>
      </c>
      <c r="H174" s="5">
        <f>_xlfn.XLOOKUP(B174,'Emission Factors'!$G$5:$G$26,'Emission Factors'!$H$5:$H$26)</f>
        <v/>
      </c>
      <c r="I174" s="5">
        <f>E174*G174*H174</f>
        <v/>
      </c>
      <c r="J174">
        <f>IF(ISBLANK(Holdings!H171),5,4)</f>
        <v/>
      </c>
      <c r="K174" s="10">
        <f>C174/SUM($C$5:$C$304)</f>
        <v/>
      </c>
      <c r="L174" s="7">
        <f>K174*H174</f>
        <v/>
      </c>
    </row>
    <row r="175">
      <c r="A175">
        <f>Holdings!A172</f>
        <v/>
      </c>
      <c r="B175">
        <f>Holdings!C172</f>
        <v/>
      </c>
      <c r="C175">
        <f>Holdings!F172</f>
        <v/>
      </c>
      <c r="D175">
        <f>Holdings!G172</f>
        <v/>
      </c>
      <c r="E175" s="14">
        <f>C175/D175</f>
        <v/>
      </c>
      <c r="F175">
        <f>IF(ISBLANK(Holdings!H172),"Sector proxy","Reported")</f>
        <v/>
      </c>
      <c r="G175" s="5">
        <f>IF(ISBLANK(Holdings!H172),D175*VLOOKUP(B175,Inputs!$A$15:$B$36,2,FALSE),Holdings!H172)</f>
        <v/>
      </c>
      <c r="H175" s="5">
        <f>_xlfn.XLOOKUP(B175,'Emission Factors'!$G$5:$G$26,'Emission Factors'!$H$5:$H$26)</f>
        <v/>
      </c>
      <c r="I175" s="5">
        <f>E175*G175*H175</f>
        <v/>
      </c>
      <c r="J175">
        <f>IF(ISBLANK(Holdings!H172),5,4)</f>
        <v/>
      </c>
      <c r="K175" s="10">
        <f>C175/SUM($C$5:$C$304)</f>
        <v/>
      </c>
      <c r="L175" s="7">
        <f>K175*H175</f>
        <v/>
      </c>
    </row>
    <row r="176">
      <c r="A176">
        <f>Holdings!A173</f>
        <v/>
      </c>
      <c r="B176">
        <f>Holdings!C173</f>
        <v/>
      </c>
      <c r="C176">
        <f>Holdings!F173</f>
        <v/>
      </c>
      <c r="D176">
        <f>Holdings!G173</f>
        <v/>
      </c>
      <c r="E176" s="14">
        <f>C176/D176</f>
        <v/>
      </c>
      <c r="F176">
        <f>IF(ISBLANK(Holdings!H173),"Sector proxy","Reported")</f>
        <v/>
      </c>
      <c r="G176" s="5">
        <f>IF(ISBLANK(Holdings!H173),D176*VLOOKUP(B176,Inputs!$A$15:$B$36,2,FALSE),Holdings!H173)</f>
        <v/>
      </c>
      <c r="H176" s="5">
        <f>_xlfn.XLOOKUP(B176,'Emission Factors'!$G$5:$G$26,'Emission Factors'!$H$5:$H$26)</f>
        <v/>
      </c>
      <c r="I176" s="5">
        <f>E176*G176*H176</f>
        <v/>
      </c>
      <c r="J176">
        <f>IF(ISBLANK(Holdings!H173),5,4)</f>
        <v/>
      </c>
      <c r="K176" s="10">
        <f>C176/SUM($C$5:$C$304)</f>
        <v/>
      </c>
      <c r="L176" s="7">
        <f>K176*H176</f>
        <v/>
      </c>
    </row>
    <row r="177">
      <c r="A177">
        <f>Holdings!A174</f>
        <v/>
      </c>
      <c r="B177">
        <f>Holdings!C174</f>
        <v/>
      </c>
      <c r="C177">
        <f>Holdings!F174</f>
        <v/>
      </c>
      <c r="D177">
        <f>Holdings!G174</f>
        <v/>
      </c>
      <c r="E177" s="14">
        <f>C177/D177</f>
        <v/>
      </c>
      <c r="F177">
        <f>IF(ISBLANK(Holdings!H174),"Sector proxy","Reported")</f>
        <v/>
      </c>
      <c r="G177" s="5">
        <f>IF(ISBLANK(Holdings!H174),D177*VLOOKUP(B177,Inputs!$A$15:$B$36,2,FALSE),Holdings!H174)</f>
        <v/>
      </c>
      <c r="H177" s="5">
        <f>_xlfn.XLOOKUP(B177,'Emission Factors'!$G$5:$G$26,'Emission Factors'!$H$5:$H$26)</f>
        <v/>
      </c>
      <c r="I177" s="5">
        <f>E177*G177*H177</f>
        <v/>
      </c>
      <c r="J177">
        <f>IF(ISBLANK(Holdings!H174),5,4)</f>
        <v/>
      </c>
      <c r="K177" s="10">
        <f>C177/SUM($C$5:$C$304)</f>
        <v/>
      </c>
      <c r="L177" s="7">
        <f>K177*H177</f>
        <v/>
      </c>
    </row>
    <row r="178">
      <c r="A178">
        <f>Holdings!A175</f>
        <v/>
      </c>
      <c r="B178">
        <f>Holdings!C175</f>
        <v/>
      </c>
      <c r="C178">
        <f>Holdings!F175</f>
        <v/>
      </c>
      <c r="D178">
        <f>Holdings!G175</f>
        <v/>
      </c>
      <c r="E178" s="14">
        <f>C178/D178</f>
        <v/>
      </c>
      <c r="F178">
        <f>IF(ISBLANK(Holdings!H175),"Sector proxy","Reported")</f>
        <v/>
      </c>
      <c r="G178" s="5">
        <f>IF(ISBLANK(Holdings!H175),D178*VLOOKUP(B178,Inputs!$A$15:$B$36,2,FALSE),Holdings!H175)</f>
        <v/>
      </c>
      <c r="H178" s="5">
        <f>_xlfn.XLOOKUP(B178,'Emission Factors'!$G$5:$G$26,'Emission Factors'!$H$5:$H$26)</f>
        <v/>
      </c>
      <c r="I178" s="5">
        <f>E178*G178*H178</f>
        <v/>
      </c>
      <c r="J178">
        <f>IF(ISBLANK(Holdings!H175),5,4)</f>
        <v/>
      </c>
      <c r="K178" s="10">
        <f>C178/SUM($C$5:$C$304)</f>
        <v/>
      </c>
      <c r="L178" s="7">
        <f>K178*H178</f>
        <v/>
      </c>
    </row>
    <row r="179">
      <c r="A179">
        <f>Holdings!A176</f>
        <v/>
      </c>
      <c r="B179">
        <f>Holdings!C176</f>
        <v/>
      </c>
      <c r="C179">
        <f>Holdings!F176</f>
        <v/>
      </c>
      <c r="D179">
        <f>Holdings!G176</f>
        <v/>
      </c>
      <c r="E179" s="14">
        <f>C179/D179</f>
        <v/>
      </c>
      <c r="F179">
        <f>IF(ISBLANK(Holdings!H176),"Sector proxy","Reported")</f>
        <v/>
      </c>
      <c r="G179" s="5">
        <f>IF(ISBLANK(Holdings!H176),D179*VLOOKUP(B179,Inputs!$A$15:$B$36,2,FALSE),Holdings!H176)</f>
        <v/>
      </c>
      <c r="H179" s="5">
        <f>_xlfn.XLOOKUP(B179,'Emission Factors'!$G$5:$G$26,'Emission Factors'!$H$5:$H$26)</f>
        <v/>
      </c>
      <c r="I179" s="5">
        <f>E179*G179*H179</f>
        <v/>
      </c>
      <c r="J179">
        <f>IF(ISBLANK(Holdings!H176),5,4)</f>
        <v/>
      </c>
      <c r="K179" s="10">
        <f>C179/SUM($C$5:$C$304)</f>
        <v/>
      </c>
      <c r="L179" s="7">
        <f>K179*H179</f>
        <v/>
      </c>
    </row>
    <row r="180">
      <c r="A180">
        <f>Holdings!A177</f>
        <v/>
      </c>
      <c r="B180">
        <f>Holdings!C177</f>
        <v/>
      </c>
      <c r="C180">
        <f>Holdings!F177</f>
        <v/>
      </c>
      <c r="D180">
        <f>Holdings!G177</f>
        <v/>
      </c>
      <c r="E180" s="14">
        <f>C180/D180</f>
        <v/>
      </c>
      <c r="F180">
        <f>IF(ISBLANK(Holdings!H177),"Sector proxy","Reported")</f>
        <v/>
      </c>
      <c r="G180" s="5">
        <f>IF(ISBLANK(Holdings!H177),D180*VLOOKUP(B180,Inputs!$A$15:$B$36,2,FALSE),Holdings!H177)</f>
        <v/>
      </c>
      <c r="H180" s="5">
        <f>_xlfn.XLOOKUP(B180,'Emission Factors'!$G$5:$G$26,'Emission Factors'!$H$5:$H$26)</f>
        <v/>
      </c>
      <c r="I180" s="5">
        <f>E180*G180*H180</f>
        <v/>
      </c>
      <c r="J180">
        <f>IF(ISBLANK(Holdings!H177),5,4)</f>
        <v/>
      </c>
      <c r="K180" s="10">
        <f>C180/SUM($C$5:$C$304)</f>
        <v/>
      </c>
      <c r="L180" s="7">
        <f>K180*H180</f>
        <v/>
      </c>
    </row>
    <row r="181">
      <c r="A181">
        <f>Holdings!A178</f>
        <v/>
      </c>
      <c r="B181">
        <f>Holdings!C178</f>
        <v/>
      </c>
      <c r="C181">
        <f>Holdings!F178</f>
        <v/>
      </c>
      <c r="D181">
        <f>Holdings!G178</f>
        <v/>
      </c>
      <c r="E181" s="14">
        <f>C181/D181</f>
        <v/>
      </c>
      <c r="F181">
        <f>IF(ISBLANK(Holdings!H178),"Sector proxy","Reported")</f>
        <v/>
      </c>
      <c r="G181" s="5">
        <f>IF(ISBLANK(Holdings!H178),D181*VLOOKUP(B181,Inputs!$A$15:$B$36,2,FALSE),Holdings!H178)</f>
        <v/>
      </c>
      <c r="H181" s="5">
        <f>_xlfn.XLOOKUP(B181,'Emission Factors'!$G$5:$G$26,'Emission Factors'!$H$5:$H$26)</f>
        <v/>
      </c>
      <c r="I181" s="5">
        <f>E181*G181*H181</f>
        <v/>
      </c>
      <c r="J181">
        <f>IF(ISBLANK(Holdings!H178),5,4)</f>
        <v/>
      </c>
      <c r="K181" s="10">
        <f>C181/SUM($C$5:$C$304)</f>
        <v/>
      </c>
      <c r="L181" s="7">
        <f>K181*H181</f>
        <v/>
      </c>
    </row>
    <row r="182">
      <c r="A182">
        <f>Holdings!A179</f>
        <v/>
      </c>
      <c r="B182">
        <f>Holdings!C179</f>
        <v/>
      </c>
      <c r="C182">
        <f>Holdings!F179</f>
        <v/>
      </c>
      <c r="D182">
        <f>Holdings!G179</f>
        <v/>
      </c>
      <c r="E182" s="14">
        <f>C182/D182</f>
        <v/>
      </c>
      <c r="F182">
        <f>IF(ISBLANK(Holdings!H179),"Sector proxy","Reported")</f>
        <v/>
      </c>
      <c r="G182" s="5">
        <f>IF(ISBLANK(Holdings!H179),D182*VLOOKUP(B182,Inputs!$A$15:$B$36,2,FALSE),Holdings!H179)</f>
        <v/>
      </c>
      <c r="H182" s="5">
        <f>_xlfn.XLOOKUP(B182,'Emission Factors'!$G$5:$G$26,'Emission Factors'!$H$5:$H$26)</f>
        <v/>
      </c>
      <c r="I182" s="5">
        <f>E182*G182*H182</f>
        <v/>
      </c>
      <c r="J182">
        <f>IF(ISBLANK(Holdings!H179),5,4)</f>
        <v/>
      </c>
      <c r="K182" s="10">
        <f>C182/SUM($C$5:$C$304)</f>
        <v/>
      </c>
      <c r="L182" s="7">
        <f>K182*H182</f>
        <v/>
      </c>
    </row>
    <row r="183">
      <c r="A183">
        <f>Holdings!A180</f>
        <v/>
      </c>
      <c r="B183">
        <f>Holdings!C180</f>
        <v/>
      </c>
      <c r="C183">
        <f>Holdings!F180</f>
        <v/>
      </c>
      <c r="D183">
        <f>Holdings!G180</f>
        <v/>
      </c>
      <c r="E183" s="14">
        <f>C183/D183</f>
        <v/>
      </c>
      <c r="F183">
        <f>IF(ISBLANK(Holdings!H180),"Sector proxy","Reported")</f>
        <v/>
      </c>
      <c r="G183" s="5">
        <f>IF(ISBLANK(Holdings!H180),D183*VLOOKUP(B183,Inputs!$A$15:$B$36,2,FALSE),Holdings!H180)</f>
        <v/>
      </c>
      <c r="H183" s="5">
        <f>_xlfn.XLOOKUP(B183,'Emission Factors'!$G$5:$G$26,'Emission Factors'!$H$5:$H$26)</f>
        <v/>
      </c>
      <c r="I183" s="5">
        <f>E183*G183*H183</f>
        <v/>
      </c>
      <c r="J183">
        <f>IF(ISBLANK(Holdings!H180),5,4)</f>
        <v/>
      </c>
      <c r="K183" s="10">
        <f>C183/SUM($C$5:$C$304)</f>
        <v/>
      </c>
      <c r="L183" s="7">
        <f>K183*H183</f>
        <v/>
      </c>
    </row>
    <row r="184">
      <c r="A184">
        <f>Holdings!A181</f>
        <v/>
      </c>
      <c r="B184">
        <f>Holdings!C181</f>
        <v/>
      </c>
      <c r="C184">
        <f>Holdings!F181</f>
        <v/>
      </c>
      <c r="D184">
        <f>Holdings!G181</f>
        <v/>
      </c>
      <c r="E184" s="14">
        <f>C184/D184</f>
        <v/>
      </c>
      <c r="F184">
        <f>IF(ISBLANK(Holdings!H181),"Sector proxy","Reported")</f>
        <v/>
      </c>
      <c r="G184" s="5">
        <f>IF(ISBLANK(Holdings!H181),D184*VLOOKUP(B184,Inputs!$A$15:$B$36,2,FALSE),Holdings!H181)</f>
        <v/>
      </c>
      <c r="H184" s="5">
        <f>_xlfn.XLOOKUP(B184,'Emission Factors'!$G$5:$G$26,'Emission Factors'!$H$5:$H$26)</f>
        <v/>
      </c>
      <c r="I184" s="5">
        <f>E184*G184*H184</f>
        <v/>
      </c>
      <c r="J184">
        <f>IF(ISBLANK(Holdings!H181),5,4)</f>
        <v/>
      </c>
      <c r="K184" s="10">
        <f>C184/SUM($C$5:$C$304)</f>
        <v/>
      </c>
      <c r="L184" s="7">
        <f>K184*H184</f>
        <v/>
      </c>
    </row>
    <row r="185">
      <c r="A185">
        <f>Holdings!A182</f>
        <v/>
      </c>
      <c r="B185">
        <f>Holdings!C182</f>
        <v/>
      </c>
      <c r="C185">
        <f>Holdings!F182</f>
        <v/>
      </c>
      <c r="D185">
        <f>Holdings!G182</f>
        <v/>
      </c>
      <c r="E185" s="14">
        <f>C185/D185</f>
        <v/>
      </c>
      <c r="F185">
        <f>IF(ISBLANK(Holdings!H182),"Sector proxy","Reported")</f>
        <v/>
      </c>
      <c r="G185" s="5">
        <f>IF(ISBLANK(Holdings!H182),D185*VLOOKUP(B185,Inputs!$A$15:$B$36,2,FALSE),Holdings!H182)</f>
        <v/>
      </c>
      <c r="H185" s="5">
        <f>_xlfn.XLOOKUP(B185,'Emission Factors'!$G$5:$G$26,'Emission Factors'!$H$5:$H$26)</f>
        <v/>
      </c>
      <c r="I185" s="5">
        <f>E185*G185*H185</f>
        <v/>
      </c>
      <c r="J185">
        <f>IF(ISBLANK(Holdings!H182),5,4)</f>
        <v/>
      </c>
      <c r="K185" s="10">
        <f>C185/SUM($C$5:$C$304)</f>
        <v/>
      </c>
      <c r="L185" s="7">
        <f>K185*H185</f>
        <v/>
      </c>
    </row>
    <row r="186">
      <c r="A186">
        <f>Holdings!A183</f>
        <v/>
      </c>
      <c r="B186">
        <f>Holdings!C183</f>
        <v/>
      </c>
      <c r="C186">
        <f>Holdings!F183</f>
        <v/>
      </c>
      <c r="D186">
        <f>Holdings!G183</f>
        <v/>
      </c>
      <c r="E186" s="14">
        <f>C186/D186</f>
        <v/>
      </c>
      <c r="F186">
        <f>IF(ISBLANK(Holdings!H183),"Sector proxy","Reported")</f>
        <v/>
      </c>
      <c r="G186" s="5">
        <f>IF(ISBLANK(Holdings!H183),D186*VLOOKUP(B186,Inputs!$A$15:$B$36,2,FALSE),Holdings!H183)</f>
        <v/>
      </c>
      <c r="H186" s="5">
        <f>_xlfn.XLOOKUP(B186,'Emission Factors'!$G$5:$G$26,'Emission Factors'!$H$5:$H$26)</f>
        <v/>
      </c>
      <c r="I186" s="5">
        <f>E186*G186*H186</f>
        <v/>
      </c>
      <c r="J186">
        <f>IF(ISBLANK(Holdings!H183),5,4)</f>
        <v/>
      </c>
      <c r="K186" s="10">
        <f>C186/SUM($C$5:$C$304)</f>
        <v/>
      </c>
      <c r="L186" s="7">
        <f>K186*H186</f>
        <v/>
      </c>
    </row>
    <row r="187">
      <c r="A187">
        <f>Holdings!A184</f>
        <v/>
      </c>
      <c r="B187">
        <f>Holdings!C184</f>
        <v/>
      </c>
      <c r="C187">
        <f>Holdings!F184</f>
        <v/>
      </c>
      <c r="D187">
        <f>Holdings!G184</f>
        <v/>
      </c>
      <c r="E187" s="14">
        <f>C187/D187</f>
        <v/>
      </c>
      <c r="F187">
        <f>IF(ISBLANK(Holdings!H184),"Sector proxy","Reported")</f>
        <v/>
      </c>
      <c r="G187" s="5">
        <f>IF(ISBLANK(Holdings!H184),D187*VLOOKUP(B187,Inputs!$A$15:$B$36,2,FALSE),Holdings!H184)</f>
        <v/>
      </c>
      <c r="H187" s="5">
        <f>_xlfn.XLOOKUP(B187,'Emission Factors'!$G$5:$G$26,'Emission Factors'!$H$5:$H$26)</f>
        <v/>
      </c>
      <c r="I187" s="5">
        <f>E187*G187*H187</f>
        <v/>
      </c>
      <c r="J187">
        <f>IF(ISBLANK(Holdings!H184),5,4)</f>
        <v/>
      </c>
      <c r="K187" s="10">
        <f>C187/SUM($C$5:$C$304)</f>
        <v/>
      </c>
      <c r="L187" s="7">
        <f>K187*H187</f>
        <v/>
      </c>
    </row>
    <row r="188">
      <c r="A188">
        <f>Holdings!A185</f>
        <v/>
      </c>
      <c r="B188">
        <f>Holdings!C185</f>
        <v/>
      </c>
      <c r="C188">
        <f>Holdings!F185</f>
        <v/>
      </c>
      <c r="D188">
        <f>Holdings!G185</f>
        <v/>
      </c>
      <c r="E188" s="14">
        <f>C188/D188</f>
        <v/>
      </c>
      <c r="F188">
        <f>IF(ISBLANK(Holdings!H185),"Sector proxy","Reported")</f>
        <v/>
      </c>
      <c r="G188" s="5">
        <f>IF(ISBLANK(Holdings!H185),D188*VLOOKUP(B188,Inputs!$A$15:$B$36,2,FALSE),Holdings!H185)</f>
        <v/>
      </c>
      <c r="H188" s="5">
        <f>_xlfn.XLOOKUP(B188,'Emission Factors'!$G$5:$G$26,'Emission Factors'!$H$5:$H$26)</f>
        <v/>
      </c>
      <c r="I188" s="5">
        <f>E188*G188*H188</f>
        <v/>
      </c>
      <c r="J188">
        <f>IF(ISBLANK(Holdings!H185),5,4)</f>
        <v/>
      </c>
      <c r="K188" s="10">
        <f>C188/SUM($C$5:$C$304)</f>
        <v/>
      </c>
      <c r="L188" s="7">
        <f>K188*H188</f>
        <v/>
      </c>
    </row>
    <row r="189">
      <c r="A189">
        <f>Holdings!A186</f>
        <v/>
      </c>
      <c r="B189">
        <f>Holdings!C186</f>
        <v/>
      </c>
      <c r="C189">
        <f>Holdings!F186</f>
        <v/>
      </c>
      <c r="D189">
        <f>Holdings!G186</f>
        <v/>
      </c>
      <c r="E189" s="14">
        <f>C189/D189</f>
        <v/>
      </c>
      <c r="F189">
        <f>IF(ISBLANK(Holdings!H186),"Sector proxy","Reported")</f>
        <v/>
      </c>
      <c r="G189" s="5">
        <f>IF(ISBLANK(Holdings!H186),D189*VLOOKUP(B189,Inputs!$A$15:$B$36,2,FALSE),Holdings!H186)</f>
        <v/>
      </c>
      <c r="H189" s="5">
        <f>_xlfn.XLOOKUP(B189,'Emission Factors'!$G$5:$G$26,'Emission Factors'!$H$5:$H$26)</f>
        <v/>
      </c>
      <c r="I189" s="5">
        <f>E189*G189*H189</f>
        <v/>
      </c>
      <c r="J189">
        <f>IF(ISBLANK(Holdings!H186),5,4)</f>
        <v/>
      </c>
      <c r="K189" s="10">
        <f>C189/SUM($C$5:$C$304)</f>
        <v/>
      </c>
      <c r="L189" s="7">
        <f>K189*H189</f>
        <v/>
      </c>
    </row>
    <row r="190">
      <c r="A190">
        <f>Holdings!A187</f>
        <v/>
      </c>
      <c r="B190">
        <f>Holdings!C187</f>
        <v/>
      </c>
      <c r="C190">
        <f>Holdings!F187</f>
        <v/>
      </c>
      <c r="D190">
        <f>Holdings!G187</f>
        <v/>
      </c>
      <c r="E190" s="14">
        <f>C190/D190</f>
        <v/>
      </c>
      <c r="F190">
        <f>IF(ISBLANK(Holdings!H187),"Sector proxy","Reported")</f>
        <v/>
      </c>
      <c r="G190" s="5">
        <f>IF(ISBLANK(Holdings!H187),D190*VLOOKUP(B190,Inputs!$A$15:$B$36,2,FALSE),Holdings!H187)</f>
        <v/>
      </c>
      <c r="H190" s="5">
        <f>_xlfn.XLOOKUP(B190,'Emission Factors'!$G$5:$G$26,'Emission Factors'!$H$5:$H$26)</f>
        <v/>
      </c>
      <c r="I190" s="5">
        <f>E190*G190*H190</f>
        <v/>
      </c>
      <c r="J190">
        <f>IF(ISBLANK(Holdings!H187),5,4)</f>
        <v/>
      </c>
      <c r="K190" s="10">
        <f>C190/SUM($C$5:$C$304)</f>
        <v/>
      </c>
      <c r="L190" s="7">
        <f>K190*H190</f>
        <v/>
      </c>
    </row>
    <row r="191">
      <c r="A191">
        <f>Holdings!A188</f>
        <v/>
      </c>
      <c r="B191">
        <f>Holdings!C188</f>
        <v/>
      </c>
      <c r="C191">
        <f>Holdings!F188</f>
        <v/>
      </c>
      <c r="D191">
        <f>Holdings!G188</f>
        <v/>
      </c>
      <c r="E191" s="14">
        <f>C191/D191</f>
        <v/>
      </c>
      <c r="F191">
        <f>IF(ISBLANK(Holdings!H188),"Sector proxy","Reported")</f>
        <v/>
      </c>
      <c r="G191" s="5">
        <f>IF(ISBLANK(Holdings!H188),D191*VLOOKUP(B191,Inputs!$A$15:$B$36,2,FALSE),Holdings!H188)</f>
        <v/>
      </c>
      <c r="H191" s="5">
        <f>_xlfn.XLOOKUP(B191,'Emission Factors'!$G$5:$G$26,'Emission Factors'!$H$5:$H$26)</f>
        <v/>
      </c>
      <c r="I191" s="5">
        <f>E191*G191*H191</f>
        <v/>
      </c>
      <c r="J191">
        <f>IF(ISBLANK(Holdings!H188),5,4)</f>
        <v/>
      </c>
      <c r="K191" s="10">
        <f>C191/SUM($C$5:$C$304)</f>
        <v/>
      </c>
      <c r="L191" s="7">
        <f>K191*H191</f>
        <v/>
      </c>
    </row>
    <row r="192">
      <c r="A192">
        <f>Holdings!A189</f>
        <v/>
      </c>
      <c r="B192">
        <f>Holdings!C189</f>
        <v/>
      </c>
      <c r="C192">
        <f>Holdings!F189</f>
        <v/>
      </c>
      <c r="D192">
        <f>Holdings!G189</f>
        <v/>
      </c>
      <c r="E192" s="14">
        <f>C192/D192</f>
        <v/>
      </c>
      <c r="F192">
        <f>IF(ISBLANK(Holdings!H189),"Sector proxy","Reported")</f>
        <v/>
      </c>
      <c r="G192" s="5">
        <f>IF(ISBLANK(Holdings!H189),D192*VLOOKUP(B192,Inputs!$A$15:$B$36,2,FALSE),Holdings!H189)</f>
        <v/>
      </c>
      <c r="H192" s="5">
        <f>_xlfn.XLOOKUP(B192,'Emission Factors'!$G$5:$G$26,'Emission Factors'!$H$5:$H$26)</f>
        <v/>
      </c>
      <c r="I192" s="5">
        <f>E192*G192*H192</f>
        <v/>
      </c>
      <c r="J192">
        <f>IF(ISBLANK(Holdings!H189),5,4)</f>
        <v/>
      </c>
      <c r="K192" s="10">
        <f>C192/SUM($C$5:$C$304)</f>
        <v/>
      </c>
      <c r="L192" s="7">
        <f>K192*H192</f>
        <v/>
      </c>
    </row>
    <row r="193">
      <c r="A193">
        <f>Holdings!A190</f>
        <v/>
      </c>
      <c r="B193">
        <f>Holdings!C190</f>
        <v/>
      </c>
      <c r="C193">
        <f>Holdings!F190</f>
        <v/>
      </c>
      <c r="D193">
        <f>Holdings!G190</f>
        <v/>
      </c>
      <c r="E193" s="14">
        <f>C193/D193</f>
        <v/>
      </c>
      <c r="F193">
        <f>IF(ISBLANK(Holdings!H190),"Sector proxy","Reported")</f>
        <v/>
      </c>
      <c r="G193" s="5">
        <f>IF(ISBLANK(Holdings!H190),D193*VLOOKUP(B193,Inputs!$A$15:$B$36,2,FALSE),Holdings!H190)</f>
        <v/>
      </c>
      <c r="H193" s="5">
        <f>_xlfn.XLOOKUP(B193,'Emission Factors'!$G$5:$G$26,'Emission Factors'!$H$5:$H$26)</f>
        <v/>
      </c>
      <c r="I193" s="5">
        <f>E193*G193*H193</f>
        <v/>
      </c>
      <c r="J193">
        <f>IF(ISBLANK(Holdings!H190),5,4)</f>
        <v/>
      </c>
      <c r="K193" s="10">
        <f>C193/SUM($C$5:$C$304)</f>
        <v/>
      </c>
      <c r="L193" s="7">
        <f>K193*H193</f>
        <v/>
      </c>
    </row>
    <row r="194">
      <c r="A194">
        <f>Holdings!A191</f>
        <v/>
      </c>
      <c r="B194">
        <f>Holdings!C191</f>
        <v/>
      </c>
      <c r="C194">
        <f>Holdings!F191</f>
        <v/>
      </c>
      <c r="D194">
        <f>Holdings!G191</f>
        <v/>
      </c>
      <c r="E194" s="14">
        <f>C194/D194</f>
        <v/>
      </c>
      <c r="F194">
        <f>IF(ISBLANK(Holdings!H191),"Sector proxy","Reported")</f>
        <v/>
      </c>
      <c r="G194" s="5">
        <f>IF(ISBLANK(Holdings!H191),D194*VLOOKUP(B194,Inputs!$A$15:$B$36,2,FALSE),Holdings!H191)</f>
        <v/>
      </c>
      <c r="H194" s="5">
        <f>_xlfn.XLOOKUP(B194,'Emission Factors'!$G$5:$G$26,'Emission Factors'!$H$5:$H$26)</f>
        <v/>
      </c>
      <c r="I194" s="5">
        <f>E194*G194*H194</f>
        <v/>
      </c>
      <c r="J194">
        <f>IF(ISBLANK(Holdings!H191),5,4)</f>
        <v/>
      </c>
      <c r="K194" s="10">
        <f>C194/SUM($C$5:$C$304)</f>
        <v/>
      </c>
      <c r="L194" s="7">
        <f>K194*H194</f>
        <v/>
      </c>
    </row>
    <row r="195">
      <c r="A195">
        <f>Holdings!A192</f>
        <v/>
      </c>
      <c r="B195">
        <f>Holdings!C192</f>
        <v/>
      </c>
      <c r="C195">
        <f>Holdings!F192</f>
        <v/>
      </c>
      <c r="D195">
        <f>Holdings!G192</f>
        <v/>
      </c>
      <c r="E195" s="14">
        <f>C195/D195</f>
        <v/>
      </c>
      <c r="F195">
        <f>IF(ISBLANK(Holdings!H192),"Sector proxy","Reported")</f>
        <v/>
      </c>
      <c r="G195" s="5">
        <f>IF(ISBLANK(Holdings!H192),D195*VLOOKUP(B195,Inputs!$A$15:$B$36,2,FALSE),Holdings!H192)</f>
        <v/>
      </c>
      <c r="H195" s="5">
        <f>_xlfn.XLOOKUP(B195,'Emission Factors'!$G$5:$G$26,'Emission Factors'!$H$5:$H$26)</f>
        <v/>
      </c>
      <c r="I195" s="5">
        <f>E195*G195*H195</f>
        <v/>
      </c>
      <c r="J195">
        <f>IF(ISBLANK(Holdings!H192),5,4)</f>
        <v/>
      </c>
      <c r="K195" s="10">
        <f>C195/SUM($C$5:$C$304)</f>
        <v/>
      </c>
      <c r="L195" s="7">
        <f>K195*H195</f>
        <v/>
      </c>
    </row>
    <row r="196">
      <c r="A196">
        <f>Holdings!A193</f>
        <v/>
      </c>
      <c r="B196">
        <f>Holdings!C193</f>
        <v/>
      </c>
      <c r="C196">
        <f>Holdings!F193</f>
        <v/>
      </c>
      <c r="D196">
        <f>Holdings!G193</f>
        <v/>
      </c>
      <c r="E196" s="14">
        <f>C196/D196</f>
        <v/>
      </c>
      <c r="F196">
        <f>IF(ISBLANK(Holdings!H193),"Sector proxy","Reported")</f>
        <v/>
      </c>
      <c r="G196" s="5">
        <f>IF(ISBLANK(Holdings!H193),D196*VLOOKUP(B196,Inputs!$A$15:$B$36,2,FALSE),Holdings!H193)</f>
        <v/>
      </c>
      <c r="H196" s="5">
        <f>_xlfn.XLOOKUP(B196,'Emission Factors'!$G$5:$G$26,'Emission Factors'!$H$5:$H$26)</f>
        <v/>
      </c>
      <c r="I196" s="5">
        <f>E196*G196*H196</f>
        <v/>
      </c>
      <c r="J196">
        <f>IF(ISBLANK(Holdings!H193),5,4)</f>
        <v/>
      </c>
      <c r="K196" s="10">
        <f>C196/SUM($C$5:$C$304)</f>
        <v/>
      </c>
      <c r="L196" s="7">
        <f>K196*H196</f>
        <v/>
      </c>
    </row>
    <row r="197">
      <c r="A197">
        <f>Holdings!A194</f>
        <v/>
      </c>
      <c r="B197">
        <f>Holdings!C194</f>
        <v/>
      </c>
      <c r="C197">
        <f>Holdings!F194</f>
        <v/>
      </c>
      <c r="D197">
        <f>Holdings!G194</f>
        <v/>
      </c>
      <c r="E197" s="14">
        <f>C197/D197</f>
        <v/>
      </c>
      <c r="F197">
        <f>IF(ISBLANK(Holdings!H194),"Sector proxy","Reported")</f>
        <v/>
      </c>
      <c r="G197" s="5">
        <f>IF(ISBLANK(Holdings!H194),D197*VLOOKUP(B197,Inputs!$A$15:$B$36,2,FALSE),Holdings!H194)</f>
        <v/>
      </c>
      <c r="H197" s="5">
        <f>_xlfn.XLOOKUP(B197,'Emission Factors'!$G$5:$G$26,'Emission Factors'!$H$5:$H$26)</f>
        <v/>
      </c>
      <c r="I197" s="5">
        <f>E197*G197*H197</f>
        <v/>
      </c>
      <c r="J197">
        <f>IF(ISBLANK(Holdings!H194),5,4)</f>
        <v/>
      </c>
      <c r="K197" s="10">
        <f>C197/SUM($C$5:$C$304)</f>
        <v/>
      </c>
      <c r="L197" s="7">
        <f>K197*H197</f>
        <v/>
      </c>
    </row>
    <row r="198">
      <c r="A198">
        <f>Holdings!A195</f>
        <v/>
      </c>
      <c r="B198">
        <f>Holdings!C195</f>
        <v/>
      </c>
      <c r="C198">
        <f>Holdings!F195</f>
        <v/>
      </c>
      <c r="D198">
        <f>Holdings!G195</f>
        <v/>
      </c>
      <c r="E198" s="14">
        <f>C198/D198</f>
        <v/>
      </c>
      <c r="F198">
        <f>IF(ISBLANK(Holdings!H195),"Sector proxy","Reported")</f>
        <v/>
      </c>
      <c r="G198" s="5">
        <f>IF(ISBLANK(Holdings!H195),D198*VLOOKUP(B198,Inputs!$A$15:$B$36,2,FALSE),Holdings!H195)</f>
        <v/>
      </c>
      <c r="H198" s="5">
        <f>_xlfn.XLOOKUP(B198,'Emission Factors'!$G$5:$G$26,'Emission Factors'!$H$5:$H$26)</f>
        <v/>
      </c>
      <c r="I198" s="5">
        <f>E198*G198*H198</f>
        <v/>
      </c>
      <c r="J198">
        <f>IF(ISBLANK(Holdings!H195),5,4)</f>
        <v/>
      </c>
      <c r="K198" s="10">
        <f>C198/SUM($C$5:$C$304)</f>
        <v/>
      </c>
      <c r="L198" s="7">
        <f>K198*H198</f>
        <v/>
      </c>
    </row>
    <row r="199">
      <c r="A199">
        <f>Holdings!A196</f>
        <v/>
      </c>
      <c r="B199">
        <f>Holdings!C196</f>
        <v/>
      </c>
      <c r="C199">
        <f>Holdings!F196</f>
        <v/>
      </c>
      <c r="D199">
        <f>Holdings!G196</f>
        <v/>
      </c>
      <c r="E199" s="14">
        <f>C199/D199</f>
        <v/>
      </c>
      <c r="F199">
        <f>IF(ISBLANK(Holdings!H196),"Sector proxy","Reported")</f>
        <v/>
      </c>
      <c r="G199" s="5">
        <f>IF(ISBLANK(Holdings!H196),D199*VLOOKUP(B199,Inputs!$A$15:$B$36,2,FALSE),Holdings!H196)</f>
        <v/>
      </c>
      <c r="H199" s="5">
        <f>_xlfn.XLOOKUP(B199,'Emission Factors'!$G$5:$G$26,'Emission Factors'!$H$5:$H$26)</f>
        <v/>
      </c>
      <c r="I199" s="5">
        <f>E199*G199*H199</f>
        <v/>
      </c>
      <c r="J199">
        <f>IF(ISBLANK(Holdings!H196),5,4)</f>
        <v/>
      </c>
      <c r="K199" s="10">
        <f>C199/SUM($C$5:$C$304)</f>
        <v/>
      </c>
      <c r="L199" s="7">
        <f>K199*H199</f>
        <v/>
      </c>
    </row>
    <row r="200">
      <c r="A200">
        <f>Holdings!A197</f>
        <v/>
      </c>
      <c r="B200">
        <f>Holdings!C197</f>
        <v/>
      </c>
      <c r="C200">
        <f>Holdings!F197</f>
        <v/>
      </c>
      <c r="D200">
        <f>Holdings!G197</f>
        <v/>
      </c>
      <c r="E200" s="14">
        <f>C200/D200</f>
        <v/>
      </c>
      <c r="F200">
        <f>IF(ISBLANK(Holdings!H197),"Sector proxy","Reported")</f>
        <v/>
      </c>
      <c r="G200" s="5">
        <f>IF(ISBLANK(Holdings!H197),D200*VLOOKUP(B200,Inputs!$A$15:$B$36,2,FALSE),Holdings!H197)</f>
        <v/>
      </c>
      <c r="H200" s="5">
        <f>_xlfn.XLOOKUP(B200,'Emission Factors'!$G$5:$G$26,'Emission Factors'!$H$5:$H$26)</f>
        <v/>
      </c>
      <c r="I200" s="5">
        <f>E200*G200*H200</f>
        <v/>
      </c>
      <c r="J200">
        <f>IF(ISBLANK(Holdings!H197),5,4)</f>
        <v/>
      </c>
      <c r="K200" s="10">
        <f>C200/SUM($C$5:$C$304)</f>
        <v/>
      </c>
      <c r="L200" s="7">
        <f>K200*H200</f>
        <v/>
      </c>
    </row>
    <row r="201">
      <c r="A201">
        <f>Holdings!A198</f>
        <v/>
      </c>
      <c r="B201">
        <f>Holdings!C198</f>
        <v/>
      </c>
      <c r="C201">
        <f>Holdings!F198</f>
        <v/>
      </c>
      <c r="D201">
        <f>Holdings!G198</f>
        <v/>
      </c>
      <c r="E201" s="14">
        <f>C201/D201</f>
        <v/>
      </c>
      <c r="F201">
        <f>IF(ISBLANK(Holdings!H198),"Sector proxy","Reported")</f>
        <v/>
      </c>
      <c r="G201" s="5">
        <f>IF(ISBLANK(Holdings!H198),D201*VLOOKUP(B201,Inputs!$A$15:$B$36,2,FALSE),Holdings!H198)</f>
        <v/>
      </c>
      <c r="H201" s="5">
        <f>_xlfn.XLOOKUP(B201,'Emission Factors'!$G$5:$G$26,'Emission Factors'!$H$5:$H$26)</f>
        <v/>
      </c>
      <c r="I201" s="5">
        <f>E201*G201*H201</f>
        <v/>
      </c>
      <c r="J201">
        <f>IF(ISBLANK(Holdings!H198),5,4)</f>
        <v/>
      </c>
      <c r="K201" s="10">
        <f>C201/SUM($C$5:$C$304)</f>
        <v/>
      </c>
      <c r="L201" s="7">
        <f>K201*H201</f>
        <v/>
      </c>
    </row>
    <row r="202">
      <c r="A202">
        <f>Holdings!A199</f>
        <v/>
      </c>
      <c r="B202">
        <f>Holdings!C199</f>
        <v/>
      </c>
      <c r="C202">
        <f>Holdings!F199</f>
        <v/>
      </c>
      <c r="D202">
        <f>Holdings!G199</f>
        <v/>
      </c>
      <c r="E202" s="14">
        <f>C202/D202</f>
        <v/>
      </c>
      <c r="F202">
        <f>IF(ISBLANK(Holdings!H199),"Sector proxy","Reported")</f>
        <v/>
      </c>
      <c r="G202" s="5">
        <f>IF(ISBLANK(Holdings!H199),D202*VLOOKUP(B202,Inputs!$A$15:$B$36,2,FALSE),Holdings!H199)</f>
        <v/>
      </c>
      <c r="H202" s="5">
        <f>_xlfn.XLOOKUP(B202,'Emission Factors'!$G$5:$G$26,'Emission Factors'!$H$5:$H$26)</f>
        <v/>
      </c>
      <c r="I202" s="5">
        <f>E202*G202*H202</f>
        <v/>
      </c>
      <c r="J202">
        <f>IF(ISBLANK(Holdings!H199),5,4)</f>
        <v/>
      </c>
      <c r="K202" s="10">
        <f>C202/SUM($C$5:$C$304)</f>
        <v/>
      </c>
      <c r="L202" s="7">
        <f>K202*H202</f>
        <v/>
      </c>
    </row>
    <row r="203">
      <c r="A203">
        <f>Holdings!A200</f>
        <v/>
      </c>
      <c r="B203">
        <f>Holdings!C200</f>
        <v/>
      </c>
      <c r="C203">
        <f>Holdings!F200</f>
        <v/>
      </c>
      <c r="D203">
        <f>Holdings!G200</f>
        <v/>
      </c>
      <c r="E203" s="14">
        <f>C203/D203</f>
        <v/>
      </c>
      <c r="F203">
        <f>IF(ISBLANK(Holdings!H200),"Sector proxy","Reported")</f>
        <v/>
      </c>
      <c r="G203" s="5">
        <f>IF(ISBLANK(Holdings!H200),D203*VLOOKUP(B203,Inputs!$A$15:$B$36,2,FALSE),Holdings!H200)</f>
        <v/>
      </c>
      <c r="H203" s="5">
        <f>_xlfn.XLOOKUP(B203,'Emission Factors'!$G$5:$G$26,'Emission Factors'!$H$5:$H$26)</f>
        <v/>
      </c>
      <c r="I203" s="5">
        <f>E203*G203*H203</f>
        <v/>
      </c>
      <c r="J203">
        <f>IF(ISBLANK(Holdings!H200),5,4)</f>
        <v/>
      </c>
      <c r="K203" s="10">
        <f>C203/SUM($C$5:$C$304)</f>
        <v/>
      </c>
      <c r="L203" s="7">
        <f>K203*H203</f>
        <v/>
      </c>
    </row>
    <row r="204">
      <c r="A204">
        <f>Holdings!A201</f>
        <v/>
      </c>
      <c r="B204">
        <f>Holdings!C201</f>
        <v/>
      </c>
      <c r="C204">
        <f>Holdings!F201</f>
        <v/>
      </c>
      <c r="D204">
        <f>Holdings!G201</f>
        <v/>
      </c>
      <c r="E204" s="14">
        <f>C204/D204</f>
        <v/>
      </c>
      <c r="F204">
        <f>IF(ISBLANK(Holdings!H201),"Sector proxy","Reported")</f>
        <v/>
      </c>
      <c r="G204" s="5">
        <f>IF(ISBLANK(Holdings!H201),D204*VLOOKUP(B204,Inputs!$A$15:$B$36,2,FALSE),Holdings!H201)</f>
        <v/>
      </c>
      <c r="H204" s="5">
        <f>_xlfn.XLOOKUP(B204,'Emission Factors'!$G$5:$G$26,'Emission Factors'!$H$5:$H$26)</f>
        <v/>
      </c>
      <c r="I204" s="5">
        <f>E204*G204*H204</f>
        <v/>
      </c>
      <c r="J204">
        <f>IF(ISBLANK(Holdings!H201),5,4)</f>
        <v/>
      </c>
      <c r="K204" s="10">
        <f>C204/SUM($C$5:$C$304)</f>
        <v/>
      </c>
      <c r="L204" s="7">
        <f>K204*H204</f>
        <v/>
      </c>
    </row>
    <row r="205">
      <c r="A205">
        <f>Holdings!A202</f>
        <v/>
      </c>
      <c r="B205">
        <f>Holdings!C202</f>
        <v/>
      </c>
      <c r="C205">
        <f>Holdings!F202</f>
        <v/>
      </c>
      <c r="D205">
        <f>Holdings!G202</f>
        <v/>
      </c>
      <c r="E205" s="14">
        <f>C205/D205</f>
        <v/>
      </c>
      <c r="F205">
        <f>IF(ISBLANK(Holdings!H202),"Sector proxy","Reported")</f>
        <v/>
      </c>
      <c r="G205" s="5">
        <f>IF(ISBLANK(Holdings!H202),D205*VLOOKUP(B205,Inputs!$A$15:$B$36,2,FALSE),Holdings!H202)</f>
        <v/>
      </c>
      <c r="H205" s="5">
        <f>_xlfn.XLOOKUP(B205,'Emission Factors'!$G$5:$G$26,'Emission Factors'!$H$5:$H$26)</f>
        <v/>
      </c>
      <c r="I205" s="5">
        <f>E205*G205*H205</f>
        <v/>
      </c>
      <c r="J205">
        <f>IF(ISBLANK(Holdings!H202),5,4)</f>
        <v/>
      </c>
      <c r="K205" s="10">
        <f>C205/SUM($C$5:$C$304)</f>
        <v/>
      </c>
      <c r="L205" s="7">
        <f>K205*H205</f>
        <v/>
      </c>
    </row>
    <row r="206">
      <c r="A206">
        <f>Holdings!A203</f>
        <v/>
      </c>
      <c r="B206">
        <f>Holdings!C203</f>
        <v/>
      </c>
      <c r="C206">
        <f>Holdings!F203</f>
        <v/>
      </c>
      <c r="D206">
        <f>Holdings!G203</f>
        <v/>
      </c>
      <c r="E206" s="14">
        <f>C206/D206</f>
        <v/>
      </c>
      <c r="F206">
        <f>IF(ISBLANK(Holdings!H203),"Sector proxy","Reported")</f>
        <v/>
      </c>
      <c r="G206" s="5">
        <f>IF(ISBLANK(Holdings!H203),D206*VLOOKUP(B206,Inputs!$A$15:$B$36,2,FALSE),Holdings!H203)</f>
        <v/>
      </c>
      <c r="H206" s="5">
        <f>_xlfn.XLOOKUP(B206,'Emission Factors'!$G$5:$G$26,'Emission Factors'!$H$5:$H$26)</f>
        <v/>
      </c>
      <c r="I206" s="5">
        <f>E206*G206*H206</f>
        <v/>
      </c>
      <c r="J206">
        <f>IF(ISBLANK(Holdings!H203),5,4)</f>
        <v/>
      </c>
      <c r="K206" s="10">
        <f>C206/SUM($C$5:$C$304)</f>
        <v/>
      </c>
      <c r="L206" s="7">
        <f>K206*H206</f>
        <v/>
      </c>
    </row>
    <row r="207">
      <c r="A207">
        <f>Holdings!A204</f>
        <v/>
      </c>
      <c r="B207">
        <f>Holdings!C204</f>
        <v/>
      </c>
      <c r="C207">
        <f>Holdings!F204</f>
        <v/>
      </c>
      <c r="D207">
        <f>Holdings!G204</f>
        <v/>
      </c>
      <c r="E207" s="14">
        <f>C207/D207</f>
        <v/>
      </c>
      <c r="F207">
        <f>IF(ISBLANK(Holdings!H204),"Sector proxy","Reported")</f>
        <v/>
      </c>
      <c r="G207" s="5">
        <f>IF(ISBLANK(Holdings!H204),D207*VLOOKUP(B207,Inputs!$A$15:$B$36,2,FALSE),Holdings!H204)</f>
        <v/>
      </c>
      <c r="H207" s="5">
        <f>_xlfn.XLOOKUP(B207,'Emission Factors'!$G$5:$G$26,'Emission Factors'!$H$5:$H$26)</f>
        <v/>
      </c>
      <c r="I207" s="5">
        <f>E207*G207*H207</f>
        <v/>
      </c>
      <c r="J207">
        <f>IF(ISBLANK(Holdings!H204),5,4)</f>
        <v/>
      </c>
      <c r="K207" s="10">
        <f>C207/SUM($C$5:$C$304)</f>
        <v/>
      </c>
      <c r="L207" s="7">
        <f>K207*H207</f>
        <v/>
      </c>
    </row>
    <row r="208">
      <c r="A208">
        <f>Holdings!A205</f>
        <v/>
      </c>
      <c r="B208">
        <f>Holdings!C205</f>
        <v/>
      </c>
      <c r="C208">
        <f>Holdings!F205</f>
        <v/>
      </c>
      <c r="D208">
        <f>Holdings!G205</f>
        <v/>
      </c>
      <c r="E208" s="14">
        <f>C208/D208</f>
        <v/>
      </c>
      <c r="F208">
        <f>IF(ISBLANK(Holdings!H205),"Sector proxy","Reported")</f>
        <v/>
      </c>
      <c r="G208" s="5">
        <f>IF(ISBLANK(Holdings!H205),D208*VLOOKUP(B208,Inputs!$A$15:$B$36,2,FALSE),Holdings!H205)</f>
        <v/>
      </c>
      <c r="H208" s="5">
        <f>_xlfn.XLOOKUP(B208,'Emission Factors'!$G$5:$G$26,'Emission Factors'!$H$5:$H$26)</f>
        <v/>
      </c>
      <c r="I208" s="5">
        <f>E208*G208*H208</f>
        <v/>
      </c>
      <c r="J208">
        <f>IF(ISBLANK(Holdings!H205),5,4)</f>
        <v/>
      </c>
      <c r="K208" s="10">
        <f>C208/SUM($C$5:$C$304)</f>
        <v/>
      </c>
      <c r="L208" s="7">
        <f>K208*H208</f>
        <v/>
      </c>
    </row>
    <row r="209">
      <c r="A209">
        <f>Holdings!A206</f>
        <v/>
      </c>
      <c r="B209">
        <f>Holdings!C206</f>
        <v/>
      </c>
      <c r="C209">
        <f>Holdings!F206</f>
        <v/>
      </c>
      <c r="D209">
        <f>Holdings!G206</f>
        <v/>
      </c>
      <c r="E209" s="14">
        <f>C209/D209</f>
        <v/>
      </c>
      <c r="F209">
        <f>IF(ISBLANK(Holdings!H206),"Sector proxy","Reported")</f>
        <v/>
      </c>
      <c r="G209" s="5">
        <f>IF(ISBLANK(Holdings!H206),D209*VLOOKUP(B209,Inputs!$A$15:$B$36,2,FALSE),Holdings!H206)</f>
        <v/>
      </c>
      <c r="H209" s="5">
        <f>_xlfn.XLOOKUP(B209,'Emission Factors'!$G$5:$G$26,'Emission Factors'!$H$5:$H$26)</f>
        <v/>
      </c>
      <c r="I209" s="5">
        <f>E209*G209*H209</f>
        <v/>
      </c>
      <c r="J209">
        <f>IF(ISBLANK(Holdings!H206),5,4)</f>
        <v/>
      </c>
      <c r="K209" s="10">
        <f>C209/SUM($C$5:$C$304)</f>
        <v/>
      </c>
      <c r="L209" s="7">
        <f>K209*H209</f>
        <v/>
      </c>
    </row>
    <row r="210">
      <c r="A210">
        <f>Holdings!A207</f>
        <v/>
      </c>
      <c r="B210">
        <f>Holdings!C207</f>
        <v/>
      </c>
      <c r="C210">
        <f>Holdings!F207</f>
        <v/>
      </c>
      <c r="D210">
        <f>Holdings!G207</f>
        <v/>
      </c>
      <c r="E210" s="14">
        <f>C210/D210</f>
        <v/>
      </c>
      <c r="F210">
        <f>IF(ISBLANK(Holdings!H207),"Sector proxy","Reported")</f>
        <v/>
      </c>
      <c r="G210" s="5">
        <f>IF(ISBLANK(Holdings!H207),D210*VLOOKUP(B210,Inputs!$A$15:$B$36,2,FALSE),Holdings!H207)</f>
        <v/>
      </c>
      <c r="H210" s="5">
        <f>_xlfn.XLOOKUP(B210,'Emission Factors'!$G$5:$G$26,'Emission Factors'!$H$5:$H$26)</f>
        <v/>
      </c>
      <c r="I210" s="5">
        <f>E210*G210*H210</f>
        <v/>
      </c>
      <c r="J210">
        <f>IF(ISBLANK(Holdings!H207),5,4)</f>
        <v/>
      </c>
      <c r="K210" s="10">
        <f>C210/SUM($C$5:$C$304)</f>
        <v/>
      </c>
      <c r="L210" s="7">
        <f>K210*H210</f>
        <v/>
      </c>
    </row>
    <row r="211">
      <c r="A211">
        <f>Holdings!A208</f>
        <v/>
      </c>
      <c r="B211">
        <f>Holdings!C208</f>
        <v/>
      </c>
      <c r="C211">
        <f>Holdings!F208</f>
        <v/>
      </c>
      <c r="D211">
        <f>Holdings!G208</f>
        <v/>
      </c>
      <c r="E211" s="14">
        <f>C211/D211</f>
        <v/>
      </c>
      <c r="F211">
        <f>IF(ISBLANK(Holdings!H208),"Sector proxy","Reported")</f>
        <v/>
      </c>
      <c r="G211" s="5">
        <f>IF(ISBLANK(Holdings!H208),D211*VLOOKUP(B211,Inputs!$A$15:$B$36,2,FALSE),Holdings!H208)</f>
        <v/>
      </c>
      <c r="H211" s="5">
        <f>_xlfn.XLOOKUP(B211,'Emission Factors'!$G$5:$G$26,'Emission Factors'!$H$5:$H$26)</f>
        <v/>
      </c>
      <c r="I211" s="5">
        <f>E211*G211*H211</f>
        <v/>
      </c>
      <c r="J211">
        <f>IF(ISBLANK(Holdings!H208),5,4)</f>
        <v/>
      </c>
      <c r="K211" s="10">
        <f>C211/SUM($C$5:$C$304)</f>
        <v/>
      </c>
      <c r="L211" s="7">
        <f>K211*H211</f>
        <v/>
      </c>
    </row>
    <row r="212">
      <c r="A212">
        <f>Holdings!A209</f>
        <v/>
      </c>
      <c r="B212">
        <f>Holdings!C209</f>
        <v/>
      </c>
      <c r="C212">
        <f>Holdings!F209</f>
        <v/>
      </c>
      <c r="D212">
        <f>Holdings!G209</f>
        <v/>
      </c>
      <c r="E212" s="14">
        <f>C212/D212</f>
        <v/>
      </c>
      <c r="F212">
        <f>IF(ISBLANK(Holdings!H209),"Sector proxy","Reported")</f>
        <v/>
      </c>
      <c r="G212" s="5">
        <f>IF(ISBLANK(Holdings!H209),D212*VLOOKUP(B212,Inputs!$A$15:$B$36,2,FALSE),Holdings!H209)</f>
        <v/>
      </c>
      <c r="H212" s="5">
        <f>_xlfn.XLOOKUP(B212,'Emission Factors'!$G$5:$G$26,'Emission Factors'!$H$5:$H$26)</f>
        <v/>
      </c>
      <c r="I212" s="5">
        <f>E212*G212*H212</f>
        <v/>
      </c>
      <c r="J212">
        <f>IF(ISBLANK(Holdings!H209),5,4)</f>
        <v/>
      </c>
      <c r="K212" s="10">
        <f>C212/SUM($C$5:$C$304)</f>
        <v/>
      </c>
      <c r="L212" s="7">
        <f>K212*H212</f>
        <v/>
      </c>
    </row>
    <row r="213">
      <c r="A213">
        <f>Holdings!A210</f>
        <v/>
      </c>
      <c r="B213">
        <f>Holdings!C210</f>
        <v/>
      </c>
      <c r="C213">
        <f>Holdings!F210</f>
        <v/>
      </c>
      <c r="D213">
        <f>Holdings!G210</f>
        <v/>
      </c>
      <c r="E213" s="14">
        <f>C213/D213</f>
        <v/>
      </c>
      <c r="F213">
        <f>IF(ISBLANK(Holdings!H210),"Sector proxy","Reported")</f>
        <v/>
      </c>
      <c r="G213" s="5">
        <f>IF(ISBLANK(Holdings!H210),D213*VLOOKUP(B213,Inputs!$A$15:$B$36,2,FALSE),Holdings!H210)</f>
        <v/>
      </c>
      <c r="H213" s="5">
        <f>_xlfn.XLOOKUP(B213,'Emission Factors'!$G$5:$G$26,'Emission Factors'!$H$5:$H$26)</f>
        <v/>
      </c>
      <c r="I213" s="5">
        <f>E213*G213*H213</f>
        <v/>
      </c>
      <c r="J213">
        <f>IF(ISBLANK(Holdings!H210),5,4)</f>
        <v/>
      </c>
      <c r="K213" s="10">
        <f>C213/SUM($C$5:$C$304)</f>
        <v/>
      </c>
      <c r="L213" s="7">
        <f>K213*H213</f>
        <v/>
      </c>
    </row>
    <row r="214">
      <c r="A214">
        <f>Holdings!A211</f>
        <v/>
      </c>
      <c r="B214">
        <f>Holdings!C211</f>
        <v/>
      </c>
      <c r="C214">
        <f>Holdings!F211</f>
        <v/>
      </c>
      <c r="D214">
        <f>Holdings!G211</f>
        <v/>
      </c>
      <c r="E214" s="14">
        <f>C214/D214</f>
        <v/>
      </c>
      <c r="F214">
        <f>IF(ISBLANK(Holdings!H211),"Sector proxy","Reported")</f>
        <v/>
      </c>
      <c r="G214" s="5">
        <f>IF(ISBLANK(Holdings!H211),D214*VLOOKUP(B214,Inputs!$A$15:$B$36,2,FALSE),Holdings!H211)</f>
        <v/>
      </c>
      <c r="H214" s="5">
        <f>_xlfn.XLOOKUP(B214,'Emission Factors'!$G$5:$G$26,'Emission Factors'!$H$5:$H$26)</f>
        <v/>
      </c>
      <c r="I214" s="5">
        <f>E214*G214*H214</f>
        <v/>
      </c>
      <c r="J214">
        <f>IF(ISBLANK(Holdings!H211),5,4)</f>
        <v/>
      </c>
      <c r="K214" s="10">
        <f>C214/SUM($C$5:$C$304)</f>
        <v/>
      </c>
      <c r="L214" s="7">
        <f>K214*H214</f>
        <v/>
      </c>
    </row>
    <row r="215">
      <c r="A215">
        <f>Holdings!A212</f>
        <v/>
      </c>
      <c r="B215">
        <f>Holdings!C212</f>
        <v/>
      </c>
      <c r="C215">
        <f>Holdings!F212</f>
        <v/>
      </c>
      <c r="D215">
        <f>Holdings!G212</f>
        <v/>
      </c>
      <c r="E215" s="14">
        <f>C215/D215</f>
        <v/>
      </c>
      <c r="F215">
        <f>IF(ISBLANK(Holdings!H212),"Sector proxy","Reported")</f>
        <v/>
      </c>
      <c r="G215" s="5">
        <f>IF(ISBLANK(Holdings!H212),D215*VLOOKUP(B215,Inputs!$A$15:$B$36,2,FALSE),Holdings!H212)</f>
        <v/>
      </c>
      <c r="H215" s="5">
        <f>_xlfn.XLOOKUP(B215,'Emission Factors'!$G$5:$G$26,'Emission Factors'!$H$5:$H$26)</f>
        <v/>
      </c>
      <c r="I215" s="5">
        <f>E215*G215*H215</f>
        <v/>
      </c>
      <c r="J215">
        <f>IF(ISBLANK(Holdings!H212),5,4)</f>
        <v/>
      </c>
      <c r="K215" s="10">
        <f>C215/SUM($C$5:$C$304)</f>
        <v/>
      </c>
      <c r="L215" s="7">
        <f>K215*H215</f>
        <v/>
      </c>
    </row>
    <row r="216">
      <c r="A216">
        <f>Holdings!A213</f>
        <v/>
      </c>
      <c r="B216">
        <f>Holdings!C213</f>
        <v/>
      </c>
      <c r="C216">
        <f>Holdings!F213</f>
        <v/>
      </c>
      <c r="D216">
        <f>Holdings!G213</f>
        <v/>
      </c>
      <c r="E216" s="14">
        <f>C216/D216</f>
        <v/>
      </c>
      <c r="F216">
        <f>IF(ISBLANK(Holdings!H213),"Sector proxy","Reported")</f>
        <v/>
      </c>
      <c r="G216" s="5">
        <f>IF(ISBLANK(Holdings!H213),D216*VLOOKUP(B216,Inputs!$A$15:$B$36,2,FALSE),Holdings!H213)</f>
        <v/>
      </c>
      <c r="H216" s="5">
        <f>_xlfn.XLOOKUP(B216,'Emission Factors'!$G$5:$G$26,'Emission Factors'!$H$5:$H$26)</f>
        <v/>
      </c>
      <c r="I216" s="5">
        <f>E216*G216*H216</f>
        <v/>
      </c>
      <c r="J216">
        <f>IF(ISBLANK(Holdings!H213),5,4)</f>
        <v/>
      </c>
      <c r="K216" s="10">
        <f>C216/SUM($C$5:$C$304)</f>
        <v/>
      </c>
      <c r="L216" s="7">
        <f>K216*H216</f>
        <v/>
      </c>
    </row>
    <row r="217">
      <c r="A217">
        <f>Holdings!A214</f>
        <v/>
      </c>
      <c r="B217">
        <f>Holdings!C214</f>
        <v/>
      </c>
      <c r="C217">
        <f>Holdings!F214</f>
        <v/>
      </c>
      <c r="D217">
        <f>Holdings!G214</f>
        <v/>
      </c>
      <c r="E217" s="14">
        <f>C217/D217</f>
        <v/>
      </c>
      <c r="F217">
        <f>IF(ISBLANK(Holdings!H214),"Sector proxy","Reported")</f>
        <v/>
      </c>
      <c r="G217" s="5">
        <f>IF(ISBLANK(Holdings!H214),D217*VLOOKUP(B217,Inputs!$A$15:$B$36,2,FALSE),Holdings!H214)</f>
        <v/>
      </c>
      <c r="H217" s="5">
        <f>_xlfn.XLOOKUP(B217,'Emission Factors'!$G$5:$G$26,'Emission Factors'!$H$5:$H$26)</f>
        <v/>
      </c>
      <c r="I217" s="5">
        <f>E217*G217*H217</f>
        <v/>
      </c>
      <c r="J217">
        <f>IF(ISBLANK(Holdings!H214),5,4)</f>
        <v/>
      </c>
      <c r="K217" s="10">
        <f>C217/SUM($C$5:$C$304)</f>
        <v/>
      </c>
      <c r="L217" s="7">
        <f>K217*H217</f>
        <v/>
      </c>
    </row>
    <row r="218">
      <c r="A218">
        <f>Holdings!A215</f>
        <v/>
      </c>
      <c r="B218">
        <f>Holdings!C215</f>
        <v/>
      </c>
      <c r="C218">
        <f>Holdings!F215</f>
        <v/>
      </c>
      <c r="D218">
        <f>Holdings!G215</f>
        <v/>
      </c>
      <c r="E218" s="14">
        <f>C218/D218</f>
        <v/>
      </c>
      <c r="F218">
        <f>IF(ISBLANK(Holdings!H215),"Sector proxy","Reported")</f>
        <v/>
      </c>
      <c r="G218" s="5">
        <f>IF(ISBLANK(Holdings!H215),D218*VLOOKUP(B218,Inputs!$A$15:$B$36,2,FALSE),Holdings!H215)</f>
        <v/>
      </c>
      <c r="H218" s="5">
        <f>_xlfn.XLOOKUP(B218,'Emission Factors'!$G$5:$G$26,'Emission Factors'!$H$5:$H$26)</f>
        <v/>
      </c>
      <c r="I218" s="5">
        <f>E218*G218*H218</f>
        <v/>
      </c>
      <c r="J218">
        <f>IF(ISBLANK(Holdings!H215),5,4)</f>
        <v/>
      </c>
      <c r="K218" s="10">
        <f>C218/SUM($C$5:$C$304)</f>
        <v/>
      </c>
      <c r="L218" s="7">
        <f>K218*H218</f>
        <v/>
      </c>
    </row>
    <row r="219">
      <c r="A219">
        <f>Holdings!A216</f>
        <v/>
      </c>
      <c r="B219">
        <f>Holdings!C216</f>
        <v/>
      </c>
      <c r="C219">
        <f>Holdings!F216</f>
        <v/>
      </c>
      <c r="D219">
        <f>Holdings!G216</f>
        <v/>
      </c>
      <c r="E219" s="14">
        <f>C219/D219</f>
        <v/>
      </c>
      <c r="F219">
        <f>IF(ISBLANK(Holdings!H216),"Sector proxy","Reported")</f>
        <v/>
      </c>
      <c r="G219" s="5">
        <f>IF(ISBLANK(Holdings!H216),D219*VLOOKUP(B219,Inputs!$A$15:$B$36,2,FALSE),Holdings!H216)</f>
        <v/>
      </c>
      <c r="H219" s="5">
        <f>_xlfn.XLOOKUP(B219,'Emission Factors'!$G$5:$G$26,'Emission Factors'!$H$5:$H$26)</f>
        <v/>
      </c>
      <c r="I219" s="5">
        <f>E219*G219*H219</f>
        <v/>
      </c>
      <c r="J219">
        <f>IF(ISBLANK(Holdings!H216),5,4)</f>
        <v/>
      </c>
      <c r="K219" s="10">
        <f>C219/SUM($C$5:$C$304)</f>
        <v/>
      </c>
      <c r="L219" s="7">
        <f>K219*H219</f>
        <v/>
      </c>
    </row>
    <row r="220">
      <c r="A220">
        <f>Holdings!A217</f>
        <v/>
      </c>
      <c r="B220">
        <f>Holdings!C217</f>
        <v/>
      </c>
      <c r="C220">
        <f>Holdings!F217</f>
        <v/>
      </c>
      <c r="D220">
        <f>Holdings!G217</f>
        <v/>
      </c>
      <c r="E220" s="14">
        <f>C220/D220</f>
        <v/>
      </c>
      <c r="F220">
        <f>IF(ISBLANK(Holdings!H217),"Sector proxy","Reported")</f>
        <v/>
      </c>
      <c r="G220" s="5">
        <f>IF(ISBLANK(Holdings!H217),D220*VLOOKUP(B220,Inputs!$A$15:$B$36,2,FALSE),Holdings!H217)</f>
        <v/>
      </c>
      <c r="H220" s="5">
        <f>_xlfn.XLOOKUP(B220,'Emission Factors'!$G$5:$G$26,'Emission Factors'!$H$5:$H$26)</f>
        <v/>
      </c>
      <c r="I220" s="5">
        <f>E220*G220*H220</f>
        <v/>
      </c>
      <c r="J220">
        <f>IF(ISBLANK(Holdings!H217),5,4)</f>
        <v/>
      </c>
      <c r="K220" s="10">
        <f>C220/SUM($C$5:$C$304)</f>
        <v/>
      </c>
      <c r="L220" s="7">
        <f>K220*H220</f>
        <v/>
      </c>
    </row>
    <row r="221">
      <c r="A221">
        <f>Holdings!A218</f>
        <v/>
      </c>
      <c r="B221">
        <f>Holdings!C218</f>
        <v/>
      </c>
      <c r="C221">
        <f>Holdings!F218</f>
        <v/>
      </c>
      <c r="D221">
        <f>Holdings!G218</f>
        <v/>
      </c>
      <c r="E221" s="14">
        <f>C221/D221</f>
        <v/>
      </c>
      <c r="F221">
        <f>IF(ISBLANK(Holdings!H218),"Sector proxy","Reported")</f>
        <v/>
      </c>
      <c r="G221" s="5">
        <f>IF(ISBLANK(Holdings!H218),D221*VLOOKUP(B221,Inputs!$A$15:$B$36,2,FALSE),Holdings!H218)</f>
        <v/>
      </c>
      <c r="H221" s="5">
        <f>_xlfn.XLOOKUP(B221,'Emission Factors'!$G$5:$G$26,'Emission Factors'!$H$5:$H$26)</f>
        <v/>
      </c>
      <c r="I221" s="5">
        <f>E221*G221*H221</f>
        <v/>
      </c>
      <c r="J221">
        <f>IF(ISBLANK(Holdings!H218),5,4)</f>
        <v/>
      </c>
      <c r="K221" s="10">
        <f>C221/SUM($C$5:$C$304)</f>
        <v/>
      </c>
      <c r="L221" s="7">
        <f>K221*H221</f>
        <v/>
      </c>
    </row>
    <row r="222">
      <c r="A222">
        <f>Holdings!A219</f>
        <v/>
      </c>
      <c r="B222">
        <f>Holdings!C219</f>
        <v/>
      </c>
      <c r="C222">
        <f>Holdings!F219</f>
        <v/>
      </c>
      <c r="D222">
        <f>Holdings!G219</f>
        <v/>
      </c>
      <c r="E222" s="14">
        <f>C222/D222</f>
        <v/>
      </c>
      <c r="F222">
        <f>IF(ISBLANK(Holdings!H219),"Sector proxy","Reported")</f>
        <v/>
      </c>
      <c r="G222" s="5">
        <f>IF(ISBLANK(Holdings!H219),D222*VLOOKUP(B222,Inputs!$A$15:$B$36,2,FALSE),Holdings!H219)</f>
        <v/>
      </c>
      <c r="H222" s="5">
        <f>_xlfn.XLOOKUP(B222,'Emission Factors'!$G$5:$G$26,'Emission Factors'!$H$5:$H$26)</f>
        <v/>
      </c>
      <c r="I222" s="5">
        <f>E222*G222*H222</f>
        <v/>
      </c>
      <c r="J222">
        <f>IF(ISBLANK(Holdings!H219),5,4)</f>
        <v/>
      </c>
      <c r="K222" s="10">
        <f>C222/SUM($C$5:$C$304)</f>
        <v/>
      </c>
      <c r="L222" s="7">
        <f>K222*H222</f>
        <v/>
      </c>
    </row>
    <row r="223">
      <c r="A223">
        <f>Holdings!A220</f>
        <v/>
      </c>
      <c r="B223">
        <f>Holdings!C220</f>
        <v/>
      </c>
      <c r="C223">
        <f>Holdings!F220</f>
        <v/>
      </c>
      <c r="D223">
        <f>Holdings!G220</f>
        <v/>
      </c>
      <c r="E223" s="14">
        <f>C223/D223</f>
        <v/>
      </c>
      <c r="F223">
        <f>IF(ISBLANK(Holdings!H220),"Sector proxy","Reported")</f>
        <v/>
      </c>
      <c r="G223" s="5">
        <f>IF(ISBLANK(Holdings!H220),D223*VLOOKUP(B223,Inputs!$A$15:$B$36,2,FALSE),Holdings!H220)</f>
        <v/>
      </c>
      <c r="H223" s="5">
        <f>_xlfn.XLOOKUP(B223,'Emission Factors'!$G$5:$G$26,'Emission Factors'!$H$5:$H$26)</f>
        <v/>
      </c>
      <c r="I223" s="5">
        <f>E223*G223*H223</f>
        <v/>
      </c>
      <c r="J223">
        <f>IF(ISBLANK(Holdings!H220),5,4)</f>
        <v/>
      </c>
      <c r="K223" s="10">
        <f>C223/SUM($C$5:$C$304)</f>
        <v/>
      </c>
      <c r="L223" s="7">
        <f>K223*H223</f>
        <v/>
      </c>
    </row>
    <row r="224">
      <c r="A224">
        <f>Holdings!A221</f>
        <v/>
      </c>
      <c r="B224">
        <f>Holdings!C221</f>
        <v/>
      </c>
      <c r="C224">
        <f>Holdings!F221</f>
        <v/>
      </c>
      <c r="D224">
        <f>Holdings!G221</f>
        <v/>
      </c>
      <c r="E224" s="14">
        <f>C224/D224</f>
        <v/>
      </c>
      <c r="F224">
        <f>IF(ISBLANK(Holdings!H221),"Sector proxy","Reported")</f>
        <v/>
      </c>
      <c r="G224" s="5">
        <f>IF(ISBLANK(Holdings!H221),D224*VLOOKUP(B224,Inputs!$A$15:$B$36,2,FALSE),Holdings!H221)</f>
        <v/>
      </c>
      <c r="H224" s="5">
        <f>_xlfn.XLOOKUP(B224,'Emission Factors'!$G$5:$G$26,'Emission Factors'!$H$5:$H$26)</f>
        <v/>
      </c>
      <c r="I224" s="5">
        <f>E224*G224*H224</f>
        <v/>
      </c>
      <c r="J224">
        <f>IF(ISBLANK(Holdings!H221),5,4)</f>
        <v/>
      </c>
      <c r="K224" s="10">
        <f>C224/SUM($C$5:$C$304)</f>
        <v/>
      </c>
      <c r="L224" s="7">
        <f>K224*H224</f>
        <v/>
      </c>
    </row>
    <row r="225">
      <c r="A225">
        <f>Holdings!A222</f>
        <v/>
      </c>
      <c r="B225">
        <f>Holdings!C222</f>
        <v/>
      </c>
      <c r="C225">
        <f>Holdings!F222</f>
        <v/>
      </c>
      <c r="D225">
        <f>Holdings!G222</f>
        <v/>
      </c>
      <c r="E225" s="14">
        <f>C225/D225</f>
        <v/>
      </c>
      <c r="F225">
        <f>IF(ISBLANK(Holdings!H222),"Sector proxy","Reported")</f>
        <v/>
      </c>
      <c r="G225" s="5">
        <f>IF(ISBLANK(Holdings!H222),D225*VLOOKUP(B225,Inputs!$A$15:$B$36,2,FALSE),Holdings!H222)</f>
        <v/>
      </c>
      <c r="H225" s="5">
        <f>_xlfn.XLOOKUP(B225,'Emission Factors'!$G$5:$G$26,'Emission Factors'!$H$5:$H$26)</f>
        <v/>
      </c>
      <c r="I225" s="5">
        <f>E225*G225*H225</f>
        <v/>
      </c>
      <c r="J225">
        <f>IF(ISBLANK(Holdings!H222),5,4)</f>
        <v/>
      </c>
      <c r="K225" s="10">
        <f>C225/SUM($C$5:$C$304)</f>
        <v/>
      </c>
      <c r="L225" s="7">
        <f>K225*H225</f>
        <v/>
      </c>
    </row>
    <row r="226">
      <c r="A226">
        <f>Holdings!A223</f>
        <v/>
      </c>
      <c r="B226">
        <f>Holdings!C223</f>
        <v/>
      </c>
      <c r="C226">
        <f>Holdings!F223</f>
        <v/>
      </c>
      <c r="D226">
        <f>Holdings!G223</f>
        <v/>
      </c>
      <c r="E226" s="14">
        <f>C226/D226</f>
        <v/>
      </c>
      <c r="F226">
        <f>IF(ISBLANK(Holdings!H223),"Sector proxy","Reported")</f>
        <v/>
      </c>
      <c r="G226" s="5">
        <f>IF(ISBLANK(Holdings!H223),D226*VLOOKUP(B226,Inputs!$A$15:$B$36,2,FALSE),Holdings!H223)</f>
        <v/>
      </c>
      <c r="H226" s="5">
        <f>_xlfn.XLOOKUP(B226,'Emission Factors'!$G$5:$G$26,'Emission Factors'!$H$5:$H$26)</f>
        <v/>
      </c>
      <c r="I226" s="5">
        <f>E226*G226*H226</f>
        <v/>
      </c>
      <c r="J226">
        <f>IF(ISBLANK(Holdings!H223),5,4)</f>
        <v/>
      </c>
      <c r="K226" s="10">
        <f>C226/SUM($C$5:$C$304)</f>
        <v/>
      </c>
      <c r="L226" s="7">
        <f>K226*H226</f>
        <v/>
      </c>
    </row>
    <row r="227">
      <c r="A227">
        <f>Holdings!A224</f>
        <v/>
      </c>
      <c r="B227">
        <f>Holdings!C224</f>
        <v/>
      </c>
      <c r="C227">
        <f>Holdings!F224</f>
        <v/>
      </c>
      <c r="D227">
        <f>Holdings!G224</f>
        <v/>
      </c>
      <c r="E227" s="14">
        <f>C227/D227</f>
        <v/>
      </c>
      <c r="F227">
        <f>IF(ISBLANK(Holdings!H224),"Sector proxy","Reported")</f>
        <v/>
      </c>
      <c r="G227" s="5">
        <f>IF(ISBLANK(Holdings!H224),D227*VLOOKUP(B227,Inputs!$A$15:$B$36,2,FALSE),Holdings!H224)</f>
        <v/>
      </c>
      <c r="H227" s="5">
        <f>_xlfn.XLOOKUP(B227,'Emission Factors'!$G$5:$G$26,'Emission Factors'!$H$5:$H$26)</f>
        <v/>
      </c>
      <c r="I227" s="5">
        <f>E227*G227*H227</f>
        <v/>
      </c>
      <c r="J227">
        <f>IF(ISBLANK(Holdings!H224),5,4)</f>
        <v/>
      </c>
      <c r="K227" s="10">
        <f>C227/SUM($C$5:$C$304)</f>
        <v/>
      </c>
      <c r="L227" s="7">
        <f>K227*H227</f>
        <v/>
      </c>
    </row>
    <row r="228">
      <c r="A228">
        <f>Holdings!A225</f>
        <v/>
      </c>
      <c r="B228">
        <f>Holdings!C225</f>
        <v/>
      </c>
      <c r="C228">
        <f>Holdings!F225</f>
        <v/>
      </c>
      <c r="D228">
        <f>Holdings!G225</f>
        <v/>
      </c>
      <c r="E228" s="14">
        <f>C228/D228</f>
        <v/>
      </c>
      <c r="F228">
        <f>IF(ISBLANK(Holdings!H225),"Sector proxy","Reported")</f>
        <v/>
      </c>
      <c r="G228" s="5">
        <f>IF(ISBLANK(Holdings!H225),D228*VLOOKUP(B228,Inputs!$A$15:$B$36,2,FALSE),Holdings!H225)</f>
        <v/>
      </c>
      <c r="H228" s="5">
        <f>_xlfn.XLOOKUP(B228,'Emission Factors'!$G$5:$G$26,'Emission Factors'!$H$5:$H$26)</f>
        <v/>
      </c>
      <c r="I228" s="5">
        <f>E228*G228*H228</f>
        <v/>
      </c>
      <c r="J228">
        <f>IF(ISBLANK(Holdings!H225),5,4)</f>
        <v/>
      </c>
      <c r="K228" s="10">
        <f>C228/SUM($C$5:$C$304)</f>
        <v/>
      </c>
      <c r="L228" s="7">
        <f>K228*H228</f>
        <v/>
      </c>
    </row>
    <row r="229">
      <c r="A229">
        <f>Holdings!A226</f>
        <v/>
      </c>
      <c r="B229">
        <f>Holdings!C226</f>
        <v/>
      </c>
      <c r="C229">
        <f>Holdings!F226</f>
        <v/>
      </c>
      <c r="D229">
        <f>Holdings!G226</f>
        <v/>
      </c>
      <c r="E229" s="14">
        <f>C229/D229</f>
        <v/>
      </c>
      <c r="F229">
        <f>IF(ISBLANK(Holdings!H226),"Sector proxy","Reported")</f>
        <v/>
      </c>
      <c r="G229" s="5">
        <f>IF(ISBLANK(Holdings!H226),D229*VLOOKUP(B229,Inputs!$A$15:$B$36,2,FALSE),Holdings!H226)</f>
        <v/>
      </c>
      <c r="H229" s="5">
        <f>_xlfn.XLOOKUP(B229,'Emission Factors'!$G$5:$G$26,'Emission Factors'!$H$5:$H$26)</f>
        <v/>
      </c>
      <c r="I229" s="5">
        <f>E229*G229*H229</f>
        <v/>
      </c>
      <c r="J229">
        <f>IF(ISBLANK(Holdings!H226),5,4)</f>
        <v/>
      </c>
      <c r="K229" s="10">
        <f>C229/SUM($C$5:$C$304)</f>
        <v/>
      </c>
      <c r="L229" s="7">
        <f>K229*H229</f>
        <v/>
      </c>
    </row>
    <row r="230">
      <c r="A230">
        <f>Holdings!A227</f>
        <v/>
      </c>
      <c r="B230">
        <f>Holdings!C227</f>
        <v/>
      </c>
      <c r="C230">
        <f>Holdings!F227</f>
        <v/>
      </c>
      <c r="D230">
        <f>Holdings!G227</f>
        <v/>
      </c>
      <c r="E230" s="14">
        <f>C230/D230</f>
        <v/>
      </c>
      <c r="F230">
        <f>IF(ISBLANK(Holdings!H227),"Sector proxy","Reported")</f>
        <v/>
      </c>
      <c r="G230" s="5">
        <f>IF(ISBLANK(Holdings!H227),D230*VLOOKUP(B230,Inputs!$A$15:$B$36,2,FALSE),Holdings!H227)</f>
        <v/>
      </c>
      <c r="H230" s="5">
        <f>_xlfn.XLOOKUP(B230,'Emission Factors'!$G$5:$G$26,'Emission Factors'!$H$5:$H$26)</f>
        <v/>
      </c>
      <c r="I230" s="5">
        <f>E230*G230*H230</f>
        <v/>
      </c>
      <c r="J230">
        <f>IF(ISBLANK(Holdings!H227),5,4)</f>
        <v/>
      </c>
      <c r="K230" s="10">
        <f>C230/SUM($C$5:$C$304)</f>
        <v/>
      </c>
      <c r="L230" s="7">
        <f>K230*H230</f>
        <v/>
      </c>
    </row>
    <row r="231">
      <c r="A231">
        <f>Holdings!A228</f>
        <v/>
      </c>
      <c r="B231">
        <f>Holdings!C228</f>
        <v/>
      </c>
      <c r="C231">
        <f>Holdings!F228</f>
        <v/>
      </c>
      <c r="D231">
        <f>Holdings!G228</f>
        <v/>
      </c>
      <c r="E231" s="14">
        <f>C231/D231</f>
        <v/>
      </c>
      <c r="F231">
        <f>IF(ISBLANK(Holdings!H228),"Sector proxy","Reported")</f>
        <v/>
      </c>
      <c r="G231" s="5">
        <f>IF(ISBLANK(Holdings!H228),D231*VLOOKUP(B231,Inputs!$A$15:$B$36,2,FALSE),Holdings!H228)</f>
        <v/>
      </c>
      <c r="H231" s="5">
        <f>_xlfn.XLOOKUP(B231,'Emission Factors'!$G$5:$G$26,'Emission Factors'!$H$5:$H$26)</f>
        <v/>
      </c>
      <c r="I231" s="5">
        <f>E231*G231*H231</f>
        <v/>
      </c>
      <c r="J231">
        <f>IF(ISBLANK(Holdings!H228),5,4)</f>
        <v/>
      </c>
      <c r="K231" s="10">
        <f>C231/SUM($C$5:$C$304)</f>
        <v/>
      </c>
      <c r="L231" s="7">
        <f>K231*H231</f>
        <v/>
      </c>
    </row>
    <row r="232">
      <c r="A232">
        <f>Holdings!A229</f>
        <v/>
      </c>
      <c r="B232">
        <f>Holdings!C229</f>
        <v/>
      </c>
      <c r="C232">
        <f>Holdings!F229</f>
        <v/>
      </c>
      <c r="D232">
        <f>Holdings!G229</f>
        <v/>
      </c>
      <c r="E232" s="14">
        <f>C232/D232</f>
        <v/>
      </c>
      <c r="F232">
        <f>IF(ISBLANK(Holdings!H229),"Sector proxy","Reported")</f>
        <v/>
      </c>
      <c r="G232" s="5">
        <f>IF(ISBLANK(Holdings!H229),D232*VLOOKUP(B232,Inputs!$A$15:$B$36,2,FALSE),Holdings!H229)</f>
        <v/>
      </c>
      <c r="H232" s="5">
        <f>_xlfn.XLOOKUP(B232,'Emission Factors'!$G$5:$G$26,'Emission Factors'!$H$5:$H$26)</f>
        <v/>
      </c>
      <c r="I232" s="5">
        <f>E232*G232*H232</f>
        <v/>
      </c>
      <c r="J232">
        <f>IF(ISBLANK(Holdings!H229),5,4)</f>
        <v/>
      </c>
      <c r="K232" s="10">
        <f>C232/SUM($C$5:$C$304)</f>
        <v/>
      </c>
      <c r="L232" s="7">
        <f>K232*H232</f>
        <v/>
      </c>
    </row>
    <row r="233">
      <c r="A233">
        <f>Holdings!A230</f>
        <v/>
      </c>
      <c r="B233">
        <f>Holdings!C230</f>
        <v/>
      </c>
      <c r="C233">
        <f>Holdings!F230</f>
        <v/>
      </c>
      <c r="D233">
        <f>Holdings!G230</f>
        <v/>
      </c>
      <c r="E233" s="14">
        <f>C233/D233</f>
        <v/>
      </c>
      <c r="F233">
        <f>IF(ISBLANK(Holdings!H230),"Sector proxy","Reported")</f>
        <v/>
      </c>
      <c r="G233" s="5">
        <f>IF(ISBLANK(Holdings!H230),D233*VLOOKUP(B233,Inputs!$A$15:$B$36,2,FALSE),Holdings!H230)</f>
        <v/>
      </c>
      <c r="H233" s="5">
        <f>_xlfn.XLOOKUP(B233,'Emission Factors'!$G$5:$G$26,'Emission Factors'!$H$5:$H$26)</f>
        <v/>
      </c>
      <c r="I233" s="5">
        <f>E233*G233*H233</f>
        <v/>
      </c>
      <c r="J233">
        <f>IF(ISBLANK(Holdings!H230),5,4)</f>
        <v/>
      </c>
      <c r="K233" s="10">
        <f>C233/SUM($C$5:$C$304)</f>
        <v/>
      </c>
      <c r="L233" s="7">
        <f>K233*H233</f>
        <v/>
      </c>
    </row>
    <row r="234">
      <c r="A234">
        <f>Holdings!A231</f>
        <v/>
      </c>
      <c r="B234">
        <f>Holdings!C231</f>
        <v/>
      </c>
      <c r="C234">
        <f>Holdings!F231</f>
        <v/>
      </c>
      <c r="D234">
        <f>Holdings!G231</f>
        <v/>
      </c>
      <c r="E234" s="14">
        <f>C234/D234</f>
        <v/>
      </c>
      <c r="F234">
        <f>IF(ISBLANK(Holdings!H231),"Sector proxy","Reported")</f>
        <v/>
      </c>
      <c r="G234" s="5">
        <f>IF(ISBLANK(Holdings!H231),D234*VLOOKUP(B234,Inputs!$A$15:$B$36,2,FALSE),Holdings!H231)</f>
        <v/>
      </c>
      <c r="H234" s="5">
        <f>_xlfn.XLOOKUP(B234,'Emission Factors'!$G$5:$G$26,'Emission Factors'!$H$5:$H$26)</f>
        <v/>
      </c>
      <c r="I234" s="5">
        <f>E234*G234*H234</f>
        <v/>
      </c>
      <c r="J234">
        <f>IF(ISBLANK(Holdings!H231),5,4)</f>
        <v/>
      </c>
      <c r="K234" s="10">
        <f>C234/SUM($C$5:$C$304)</f>
        <v/>
      </c>
      <c r="L234" s="7">
        <f>K234*H234</f>
        <v/>
      </c>
    </row>
    <row r="235">
      <c r="A235">
        <f>Holdings!A232</f>
        <v/>
      </c>
      <c r="B235">
        <f>Holdings!C232</f>
        <v/>
      </c>
      <c r="C235">
        <f>Holdings!F232</f>
        <v/>
      </c>
      <c r="D235">
        <f>Holdings!G232</f>
        <v/>
      </c>
      <c r="E235" s="14">
        <f>C235/D235</f>
        <v/>
      </c>
      <c r="F235">
        <f>IF(ISBLANK(Holdings!H232),"Sector proxy","Reported")</f>
        <v/>
      </c>
      <c r="G235" s="5">
        <f>IF(ISBLANK(Holdings!H232),D235*VLOOKUP(B235,Inputs!$A$15:$B$36,2,FALSE),Holdings!H232)</f>
        <v/>
      </c>
      <c r="H235" s="5">
        <f>_xlfn.XLOOKUP(B235,'Emission Factors'!$G$5:$G$26,'Emission Factors'!$H$5:$H$26)</f>
        <v/>
      </c>
      <c r="I235" s="5">
        <f>E235*G235*H235</f>
        <v/>
      </c>
      <c r="J235">
        <f>IF(ISBLANK(Holdings!H232),5,4)</f>
        <v/>
      </c>
      <c r="K235" s="10">
        <f>C235/SUM($C$5:$C$304)</f>
        <v/>
      </c>
      <c r="L235" s="7">
        <f>K235*H235</f>
        <v/>
      </c>
    </row>
    <row r="236">
      <c r="A236">
        <f>Holdings!A233</f>
        <v/>
      </c>
      <c r="B236">
        <f>Holdings!C233</f>
        <v/>
      </c>
      <c r="C236">
        <f>Holdings!F233</f>
        <v/>
      </c>
      <c r="D236">
        <f>Holdings!G233</f>
        <v/>
      </c>
      <c r="E236" s="14">
        <f>C236/D236</f>
        <v/>
      </c>
      <c r="F236">
        <f>IF(ISBLANK(Holdings!H233),"Sector proxy","Reported")</f>
        <v/>
      </c>
      <c r="G236" s="5">
        <f>IF(ISBLANK(Holdings!H233),D236*VLOOKUP(B236,Inputs!$A$15:$B$36,2,FALSE),Holdings!H233)</f>
        <v/>
      </c>
      <c r="H236" s="5">
        <f>_xlfn.XLOOKUP(B236,'Emission Factors'!$G$5:$G$26,'Emission Factors'!$H$5:$H$26)</f>
        <v/>
      </c>
      <c r="I236" s="5">
        <f>E236*G236*H236</f>
        <v/>
      </c>
      <c r="J236">
        <f>IF(ISBLANK(Holdings!H233),5,4)</f>
        <v/>
      </c>
      <c r="K236" s="10">
        <f>C236/SUM($C$5:$C$304)</f>
        <v/>
      </c>
      <c r="L236" s="7">
        <f>K236*H236</f>
        <v/>
      </c>
    </row>
    <row r="237">
      <c r="A237">
        <f>Holdings!A234</f>
        <v/>
      </c>
      <c r="B237">
        <f>Holdings!C234</f>
        <v/>
      </c>
      <c r="C237">
        <f>Holdings!F234</f>
        <v/>
      </c>
      <c r="D237">
        <f>Holdings!G234</f>
        <v/>
      </c>
      <c r="E237" s="14">
        <f>C237/D237</f>
        <v/>
      </c>
      <c r="F237">
        <f>IF(ISBLANK(Holdings!H234),"Sector proxy","Reported")</f>
        <v/>
      </c>
      <c r="G237" s="5">
        <f>IF(ISBLANK(Holdings!H234),D237*VLOOKUP(B237,Inputs!$A$15:$B$36,2,FALSE),Holdings!H234)</f>
        <v/>
      </c>
      <c r="H237" s="5">
        <f>_xlfn.XLOOKUP(B237,'Emission Factors'!$G$5:$G$26,'Emission Factors'!$H$5:$H$26)</f>
        <v/>
      </c>
      <c r="I237" s="5">
        <f>E237*G237*H237</f>
        <v/>
      </c>
      <c r="J237">
        <f>IF(ISBLANK(Holdings!H234),5,4)</f>
        <v/>
      </c>
      <c r="K237" s="10">
        <f>C237/SUM($C$5:$C$304)</f>
        <v/>
      </c>
      <c r="L237" s="7">
        <f>K237*H237</f>
        <v/>
      </c>
    </row>
    <row r="238">
      <c r="A238">
        <f>Holdings!A235</f>
        <v/>
      </c>
      <c r="B238">
        <f>Holdings!C235</f>
        <v/>
      </c>
      <c r="C238">
        <f>Holdings!F235</f>
        <v/>
      </c>
      <c r="D238">
        <f>Holdings!G235</f>
        <v/>
      </c>
      <c r="E238" s="14">
        <f>C238/D238</f>
        <v/>
      </c>
      <c r="F238">
        <f>IF(ISBLANK(Holdings!H235),"Sector proxy","Reported")</f>
        <v/>
      </c>
      <c r="G238" s="5">
        <f>IF(ISBLANK(Holdings!H235),D238*VLOOKUP(B238,Inputs!$A$15:$B$36,2,FALSE),Holdings!H235)</f>
        <v/>
      </c>
      <c r="H238" s="5">
        <f>_xlfn.XLOOKUP(B238,'Emission Factors'!$G$5:$G$26,'Emission Factors'!$H$5:$H$26)</f>
        <v/>
      </c>
      <c r="I238" s="5">
        <f>E238*G238*H238</f>
        <v/>
      </c>
      <c r="J238">
        <f>IF(ISBLANK(Holdings!H235),5,4)</f>
        <v/>
      </c>
      <c r="K238" s="10">
        <f>C238/SUM($C$5:$C$304)</f>
        <v/>
      </c>
      <c r="L238" s="7">
        <f>K238*H238</f>
        <v/>
      </c>
    </row>
    <row r="239">
      <c r="A239">
        <f>Holdings!A236</f>
        <v/>
      </c>
      <c r="B239">
        <f>Holdings!C236</f>
        <v/>
      </c>
      <c r="C239">
        <f>Holdings!F236</f>
        <v/>
      </c>
      <c r="D239">
        <f>Holdings!G236</f>
        <v/>
      </c>
      <c r="E239" s="14">
        <f>C239/D239</f>
        <v/>
      </c>
      <c r="F239">
        <f>IF(ISBLANK(Holdings!H236),"Sector proxy","Reported")</f>
        <v/>
      </c>
      <c r="G239" s="5">
        <f>IF(ISBLANK(Holdings!H236),D239*VLOOKUP(B239,Inputs!$A$15:$B$36,2,FALSE),Holdings!H236)</f>
        <v/>
      </c>
      <c r="H239" s="5">
        <f>_xlfn.XLOOKUP(B239,'Emission Factors'!$G$5:$G$26,'Emission Factors'!$H$5:$H$26)</f>
        <v/>
      </c>
      <c r="I239" s="5">
        <f>E239*G239*H239</f>
        <v/>
      </c>
      <c r="J239">
        <f>IF(ISBLANK(Holdings!H236),5,4)</f>
        <v/>
      </c>
      <c r="K239" s="10">
        <f>C239/SUM($C$5:$C$304)</f>
        <v/>
      </c>
      <c r="L239" s="7">
        <f>K239*H239</f>
        <v/>
      </c>
    </row>
    <row r="240">
      <c r="A240">
        <f>Holdings!A237</f>
        <v/>
      </c>
      <c r="B240">
        <f>Holdings!C237</f>
        <v/>
      </c>
      <c r="C240">
        <f>Holdings!F237</f>
        <v/>
      </c>
      <c r="D240">
        <f>Holdings!G237</f>
        <v/>
      </c>
      <c r="E240" s="14">
        <f>C240/D240</f>
        <v/>
      </c>
      <c r="F240">
        <f>IF(ISBLANK(Holdings!H237),"Sector proxy","Reported")</f>
        <v/>
      </c>
      <c r="G240" s="5">
        <f>IF(ISBLANK(Holdings!H237),D240*VLOOKUP(B240,Inputs!$A$15:$B$36,2,FALSE),Holdings!H237)</f>
        <v/>
      </c>
      <c r="H240" s="5">
        <f>_xlfn.XLOOKUP(B240,'Emission Factors'!$G$5:$G$26,'Emission Factors'!$H$5:$H$26)</f>
        <v/>
      </c>
      <c r="I240" s="5">
        <f>E240*G240*H240</f>
        <v/>
      </c>
      <c r="J240">
        <f>IF(ISBLANK(Holdings!H237),5,4)</f>
        <v/>
      </c>
      <c r="K240" s="10">
        <f>C240/SUM($C$5:$C$304)</f>
        <v/>
      </c>
      <c r="L240" s="7">
        <f>K240*H240</f>
        <v/>
      </c>
    </row>
    <row r="241">
      <c r="A241">
        <f>Holdings!A238</f>
        <v/>
      </c>
      <c r="B241">
        <f>Holdings!C238</f>
        <v/>
      </c>
      <c r="C241">
        <f>Holdings!F238</f>
        <v/>
      </c>
      <c r="D241">
        <f>Holdings!G238</f>
        <v/>
      </c>
      <c r="E241" s="14">
        <f>C241/D241</f>
        <v/>
      </c>
      <c r="F241">
        <f>IF(ISBLANK(Holdings!H238),"Sector proxy","Reported")</f>
        <v/>
      </c>
      <c r="G241" s="5">
        <f>IF(ISBLANK(Holdings!H238),D241*VLOOKUP(B241,Inputs!$A$15:$B$36,2,FALSE),Holdings!H238)</f>
        <v/>
      </c>
      <c r="H241" s="5">
        <f>_xlfn.XLOOKUP(B241,'Emission Factors'!$G$5:$G$26,'Emission Factors'!$H$5:$H$26)</f>
        <v/>
      </c>
      <c r="I241" s="5">
        <f>E241*G241*H241</f>
        <v/>
      </c>
      <c r="J241">
        <f>IF(ISBLANK(Holdings!H238),5,4)</f>
        <v/>
      </c>
      <c r="K241" s="10">
        <f>C241/SUM($C$5:$C$304)</f>
        <v/>
      </c>
      <c r="L241" s="7">
        <f>K241*H241</f>
        <v/>
      </c>
    </row>
    <row r="242">
      <c r="A242">
        <f>Holdings!A239</f>
        <v/>
      </c>
      <c r="B242">
        <f>Holdings!C239</f>
        <v/>
      </c>
      <c r="C242">
        <f>Holdings!F239</f>
        <v/>
      </c>
      <c r="D242">
        <f>Holdings!G239</f>
        <v/>
      </c>
      <c r="E242" s="14">
        <f>C242/D242</f>
        <v/>
      </c>
      <c r="F242">
        <f>IF(ISBLANK(Holdings!H239),"Sector proxy","Reported")</f>
        <v/>
      </c>
      <c r="G242" s="5">
        <f>IF(ISBLANK(Holdings!H239),D242*VLOOKUP(B242,Inputs!$A$15:$B$36,2,FALSE),Holdings!H239)</f>
        <v/>
      </c>
      <c r="H242" s="5">
        <f>_xlfn.XLOOKUP(B242,'Emission Factors'!$G$5:$G$26,'Emission Factors'!$H$5:$H$26)</f>
        <v/>
      </c>
      <c r="I242" s="5">
        <f>E242*G242*H242</f>
        <v/>
      </c>
      <c r="J242">
        <f>IF(ISBLANK(Holdings!H239),5,4)</f>
        <v/>
      </c>
      <c r="K242" s="10">
        <f>C242/SUM($C$5:$C$304)</f>
        <v/>
      </c>
      <c r="L242" s="7">
        <f>K242*H242</f>
        <v/>
      </c>
    </row>
    <row r="243">
      <c r="A243">
        <f>Holdings!A240</f>
        <v/>
      </c>
      <c r="B243">
        <f>Holdings!C240</f>
        <v/>
      </c>
      <c r="C243">
        <f>Holdings!F240</f>
        <v/>
      </c>
      <c r="D243">
        <f>Holdings!G240</f>
        <v/>
      </c>
      <c r="E243" s="14">
        <f>C243/D243</f>
        <v/>
      </c>
      <c r="F243">
        <f>IF(ISBLANK(Holdings!H240),"Sector proxy","Reported")</f>
        <v/>
      </c>
      <c r="G243" s="5">
        <f>IF(ISBLANK(Holdings!H240),D243*VLOOKUP(B243,Inputs!$A$15:$B$36,2,FALSE),Holdings!H240)</f>
        <v/>
      </c>
      <c r="H243" s="5">
        <f>_xlfn.XLOOKUP(B243,'Emission Factors'!$G$5:$G$26,'Emission Factors'!$H$5:$H$26)</f>
        <v/>
      </c>
      <c r="I243" s="5">
        <f>E243*G243*H243</f>
        <v/>
      </c>
      <c r="J243">
        <f>IF(ISBLANK(Holdings!H240),5,4)</f>
        <v/>
      </c>
      <c r="K243" s="10">
        <f>C243/SUM($C$5:$C$304)</f>
        <v/>
      </c>
      <c r="L243" s="7">
        <f>K243*H243</f>
        <v/>
      </c>
    </row>
    <row r="244">
      <c r="A244">
        <f>Holdings!A241</f>
        <v/>
      </c>
      <c r="B244">
        <f>Holdings!C241</f>
        <v/>
      </c>
      <c r="C244">
        <f>Holdings!F241</f>
        <v/>
      </c>
      <c r="D244">
        <f>Holdings!G241</f>
        <v/>
      </c>
      <c r="E244" s="14">
        <f>C244/D244</f>
        <v/>
      </c>
      <c r="F244">
        <f>IF(ISBLANK(Holdings!H241),"Sector proxy","Reported")</f>
        <v/>
      </c>
      <c r="G244" s="5">
        <f>IF(ISBLANK(Holdings!H241),D244*VLOOKUP(B244,Inputs!$A$15:$B$36,2,FALSE),Holdings!H241)</f>
        <v/>
      </c>
      <c r="H244" s="5">
        <f>_xlfn.XLOOKUP(B244,'Emission Factors'!$G$5:$G$26,'Emission Factors'!$H$5:$H$26)</f>
        <v/>
      </c>
      <c r="I244" s="5">
        <f>E244*G244*H244</f>
        <v/>
      </c>
      <c r="J244">
        <f>IF(ISBLANK(Holdings!H241),5,4)</f>
        <v/>
      </c>
      <c r="K244" s="10">
        <f>C244/SUM($C$5:$C$304)</f>
        <v/>
      </c>
      <c r="L244" s="7">
        <f>K244*H244</f>
        <v/>
      </c>
    </row>
    <row r="245">
      <c r="A245">
        <f>Holdings!A242</f>
        <v/>
      </c>
      <c r="B245">
        <f>Holdings!C242</f>
        <v/>
      </c>
      <c r="C245">
        <f>Holdings!F242</f>
        <v/>
      </c>
      <c r="D245">
        <f>Holdings!G242</f>
        <v/>
      </c>
      <c r="E245" s="14">
        <f>C245/D245</f>
        <v/>
      </c>
      <c r="F245">
        <f>IF(ISBLANK(Holdings!H242),"Sector proxy","Reported")</f>
        <v/>
      </c>
      <c r="G245" s="5">
        <f>IF(ISBLANK(Holdings!H242),D245*VLOOKUP(B245,Inputs!$A$15:$B$36,2,FALSE),Holdings!H242)</f>
        <v/>
      </c>
      <c r="H245" s="5">
        <f>_xlfn.XLOOKUP(B245,'Emission Factors'!$G$5:$G$26,'Emission Factors'!$H$5:$H$26)</f>
        <v/>
      </c>
      <c r="I245" s="5">
        <f>E245*G245*H245</f>
        <v/>
      </c>
      <c r="J245">
        <f>IF(ISBLANK(Holdings!H242),5,4)</f>
        <v/>
      </c>
      <c r="K245" s="10">
        <f>C245/SUM($C$5:$C$304)</f>
        <v/>
      </c>
      <c r="L245" s="7">
        <f>K245*H245</f>
        <v/>
      </c>
    </row>
    <row r="246">
      <c r="A246">
        <f>Holdings!A243</f>
        <v/>
      </c>
      <c r="B246">
        <f>Holdings!C243</f>
        <v/>
      </c>
      <c r="C246">
        <f>Holdings!F243</f>
        <v/>
      </c>
      <c r="D246">
        <f>Holdings!G243</f>
        <v/>
      </c>
      <c r="E246" s="14">
        <f>C246/D246</f>
        <v/>
      </c>
      <c r="F246">
        <f>IF(ISBLANK(Holdings!H243),"Sector proxy","Reported")</f>
        <v/>
      </c>
      <c r="G246" s="5">
        <f>IF(ISBLANK(Holdings!H243),D246*VLOOKUP(B246,Inputs!$A$15:$B$36,2,FALSE),Holdings!H243)</f>
        <v/>
      </c>
      <c r="H246" s="5">
        <f>_xlfn.XLOOKUP(B246,'Emission Factors'!$G$5:$G$26,'Emission Factors'!$H$5:$H$26)</f>
        <v/>
      </c>
      <c r="I246" s="5">
        <f>E246*G246*H246</f>
        <v/>
      </c>
      <c r="J246">
        <f>IF(ISBLANK(Holdings!H243),5,4)</f>
        <v/>
      </c>
      <c r="K246" s="10">
        <f>C246/SUM($C$5:$C$304)</f>
        <v/>
      </c>
      <c r="L246" s="7">
        <f>K246*H246</f>
        <v/>
      </c>
    </row>
    <row r="247">
      <c r="A247">
        <f>Holdings!A244</f>
        <v/>
      </c>
      <c r="B247">
        <f>Holdings!C244</f>
        <v/>
      </c>
      <c r="C247">
        <f>Holdings!F244</f>
        <v/>
      </c>
      <c r="D247">
        <f>Holdings!G244</f>
        <v/>
      </c>
      <c r="E247" s="14">
        <f>C247/D247</f>
        <v/>
      </c>
      <c r="F247">
        <f>IF(ISBLANK(Holdings!H244),"Sector proxy","Reported")</f>
        <v/>
      </c>
      <c r="G247" s="5">
        <f>IF(ISBLANK(Holdings!H244),D247*VLOOKUP(B247,Inputs!$A$15:$B$36,2,FALSE),Holdings!H244)</f>
        <v/>
      </c>
      <c r="H247" s="5">
        <f>_xlfn.XLOOKUP(B247,'Emission Factors'!$G$5:$G$26,'Emission Factors'!$H$5:$H$26)</f>
        <v/>
      </c>
      <c r="I247" s="5">
        <f>E247*G247*H247</f>
        <v/>
      </c>
      <c r="J247">
        <f>IF(ISBLANK(Holdings!H244),5,4)</f>
        <v/>
      </c>
      <c r="K247" s="10">
        <f>C247/SUM($C$5:$C$304)</f>
        <v/>
      </c>
      <c r="L247" s="7">
        <f>K247*H247</f>
        <v/>
      </c>
    </row>
    <row r="248">
      <c r="A248">
        <f>Holdings!A245</f>
        <v/>
      </c>
      <c r="B248">
        <f>Holdings!C245</f>
        <v/>
      </c>
      <c r="C248">
        <f>Holdings!F245</f>
        <v/>
      </c>
      <c r="D248">
        <f>Holdings!G245</f>
        <v/>
      </c>
      <c r="E248" s="14">
        <f>C248/D248</f>
        <v/>
      </c>
      <c r="F248">
        <f>IF(ISBLANK(Holdings!H245),"Sector proxy","Reported")</f>
        <v/>
      </c>
      <c r="G248" s="5">
        <f>IF(ISBLANK(Holdings!H245),D248*VLOOKUP(B248,Inputs!$A$15:$B$36,2,FALSE),Holdings!H245)</f>
        <v/>
      </c>
      <c r="H248" s="5">
        <f>_xlfn.XLOOKUP(B248,'Emission Factors'!$G$5:$G$26,'Emission Factors'!$H$5:$H$26)</f>
        <v/>
      </c>
      <c r="I248" s="5">
        <f>E248*G248*H248</f>
        <v/>
      </c>
      <c r="J248">
        <f>IF(ISBLANK(Holdings!H245),5,4)</f>
        <v/>
      </c>
      <c r="K248" s="10">
        <f>C248/SUM($C$5:$C$304)</f>
        <v/>
      </c>
      <c r="L248" s="7">
        <f>K248*H248</f>
        <v/>
      </c>
    </row>
    <row r="249">
      <c r="A249">
        <f>Holdings!A246</f>
        <v/>
      </c>
      <c r="B249">
        <f>Holdings!C246</f>
        <v/>
      </c>
      <c r="C249">
        <f>Holdings!F246</f>
        <v/>
      </c>
      <c r="D249">
        <f>Holdings!G246</f>
        <v/>
      </c>
      <c r="E249" s="14">
        <f>C249/D249</f>
        <v/>
      </c>
      <c r="F249">
        <f>IF(ISBLANK(Holdings!H246),"Sector proxy","Reported")</f>
        <v/>
      </c>
      <c r="G249" s="5">
        <f>IF(ISBLANK(Holdings!H246),D249*VLOOKUP(B249,Inputs!$A$15:$B$36,2,FALSE),Holdings!H246)</f>
        <v/>
      </c>
      <c r="H249" s="5">
        <f>_xlfn.XLOOKUP(B249,'Emission Factors'!$G$5:$G$26,'Emission Factors'!$H$5:$H$26)</f>
        <v/>
      </c>
      <c r="I249" s="5">
        <f>E249*G249*H249</f>
        <v/>
      </c>
      <c r="J249">
        <f>IF(ISBLANK(Holdings!H246),5,4)</f>
        <v/>
      </c>
      <c r="K249" s="10">
        <f>C249/SUM($C$5:$C$304)</f>
        <v/>
      </c>
      <c r="L249" s="7">
        <f>K249*H249</f>
        <v/>
      </c>
    </row>
    <row r="250">
      <c r="A250">
        <f>Holdings!A247</f>
        <v/>
      </c>
      <c r="B250">
        <f>Holdings!C247</f>
        <v/>
      </c>
      <c r="C250">
        <f>Holdings!F247</f>
        <v/>
      </c>
      <c r="D250">
        <f>Holdings!G247</f>
        <v/>
      </c>
      <c r="E250" s="14">
        <f>C250/D250</f>
        <v/>
      </c>
      <c r="F250">
        <f>IF(ISBLANK(Holdings!H247),"Sector proxy","Reported")</f>
        <v/>
      </c>
      <c r="G250" s="5">
        <f>IF(ISBLANK(Holdings!H247),D250*VLOOKUP(B250,Inputs!$A$15:$B$36,2,FALSE),Holdings!H247)</f>
        <v/>
      </c>
      <c r="H250" s="5">
        <f>_xlfn.XLOOKUP(B250,'Emission Factors'!$G$5:$G$26,'Emission Factors'!$H$5:$H$26)</f>
        <v/>
      </c>
      <c r="I250" s="5">
        <f>E250*G250*H250</f>
        <v/>
      </c>
      <c r="J250">
        <f>IF(ISBLANK(Holdings!H247),5,4)</f>
        <v/>
      </c>
      <c r="K250" s="10">
        <f>C250/SUM($C$5:$C$304)</f>
        <v/>
      </c>
      <c r="L250" s="7">
        <f>K250*H250</f>
        <v/>
      </c>
    </row>
    <row r="251">
      <c r="A251">
        <f>Holdings!A248</f>
        <v/>
      </c>
      <c r="B251">
        <f>Holdings!C248</f>
        <v/>
      </c>
      <c r="C251">
        <f>Holdings!F248</f>
        <v/>
      </c>
      <c r="D251">
        <f>Holdings!G248</f>
        <v/>
      </c>
      <c r="E251" s="14">
        <f>C251/D251</f>
        <v/>
      </c>
      <c r="F251">
        <f>IF(ISBLANK(Holdings!H248),"Sector proxy","Reported")</f>
        <v/>
      </c>
      <c r="G251" s="5">
        <f>IF(ISBLANK(Holdings!H248),D251*VLOOKUP(B251,Inputs!$A$15:$B$36,2,FALSE),Holdings!H248)</f>
        <v/>
      </c>
      <c r="H251" s="5">
        <f>_xlfn.XLOOKUP(B251,'Emission Factors'!$G$5:$G$26,'Emission Factors'!$H$5:$H$26)</f>
        <v/>
      </c>
      <c r="I251" s="5">
        <f>E251*G251*H251</f>
        <v/>
      </c>
      <c r="J251">
        <f>IF(ISBLANK(Holdings!H248),5,4)</f>
        <v/>
      </c>
      <c r="K251" s="10">
        <f>C251/SUM($C$5:$C$304)</f>
        <v/>
      </c>
      <c r="L251" s="7">
        <f>K251*H251</f>
        <v/>
      </c>
    </row>
    <row r="252">
      <c r="A252">
        <f>Holdings!A249</f>
        <v/>
      </c>
      <c r="B252">
        <f>Holdings!C249</f>
        <v/>
      </c>
      <c r="C252">
        <f>Holdings!F249</f>
        <v/>
      </c>
      <c r="D252">
        <f>Holdings!G249</f>
        <v/>
      </c>
      <c r="E252" s="14">
        <f>C252/D252</f>
        <v/>
      </c>
      <c r="F252">
        <f>IF(ISBLANK(Holdings!H249),"Sector proxy","Reported")</f>
        <v/>
      </c>
      <c r="G252" s="5">
        <f>IF(ISBLANK(Holdings!H249),D252*VLOOKUP(B252,Inputs!$A$15:$B$36,2,FALSE),Holdings!H249)</f>
        <v/>
      </c>
      <c r="H252" s="5">
        <f>_xlfn.XLOOKUP(B252,'Emission Factors'!$G$5:$G$26,'Emission Factors'!$H$5:$H$26)</f>
        <v/>
      </c>
      <c r="I252" s="5">
        <f>E252*G252*H252</f>
        <v/>
      </c>
      <c r="J252">
        <f>IF(ISBLANK(Holdings!H249),5,4)</f>
        <v/>
      </c>
      <c r="K252" s="10">
        <f>C252/SUM($C$5:$C$304)</f>
        <v/>
      </c>
      <c r="L252" s="7">
        <f>K252*H252</f>
        <v/>
      </c>
    </row>
    <row r="253">
      <c r="A253">
        <f>Holdings!A250</f>
        <v/>
      </c>
      <c r="B253">
        <f>Holdings!C250</f>
        <v/>
      </c>
      <c r="C253">
        <f>Holdings!F250</f>
        <v/>
      </c>
      <c r="D253">
        <f>Holdings!G250</f>
        <v/>
      </c>
      <c r="E253" s="14">
        <f>C253/D253</f>
        <v/>
      </c>
      <c r="F253">
        <f>IF(ISBLANK(Holdings!H250),"Sector proxy","Reported")</f>
        <v/>
      </c>
      <c r="G253" s="5">
        <f>IF(ISBLANK(Holdings!H250),D253*VLOOKUP(B253,Inputs!$A$15:$B$36,2,FALSE),Holdings!H250)</f>
        <v/>
      </c>
      <c r="H253" s="5">
        <f>_xlfn.XLOOKUP(B253,'Emission Factors'!$G$5:$G$26,'Emission Factors'!$H$5:$H$26)</f>
        <v/>
      </c>
      <c r="I253" s="5">
        <f>E253*G253*H253</f>
        <v/>
      </c>
      <c r="J253">
        <f>IF(ISBLANK(Holdings!H250),5,4)</f>
        <v/>
      </c>
      <c r="K253" s="10">
        <f>C253/SUM($C$5:$C$304)</f>
        <v/>
      </c>
      <c r="L253" s="7">
        <f>K253*H253</f>
        <v/>
      </c>
    </row>
    <row r="254">
      <c r="A254">
        <f>Holdings!A251</f>
        <v/>
      </c>
      <c r="B254">
        <f>Holdings!C251</f>
        <v/>
      </c>
      <c r="C254">
        <f>Holdings!F251</f>
        <v/>
      </c>
      <c r="D254">
        <f>Holdings!G251</f>
        <v/>
      </c>
      <c r="E254" s="14">
        <f>C254/D254</f>
        <v/>
      </c>
      <c r="F254">
        <f>IF(ISBLANK(Holdings!H251),"Sector proxy","Reported")</f>
        <v/>
      </c>
      <c r="G254" s="5">
        <f>IF(ISBLANK(Holdings!H251),D254*VLOOKUP(B254,Inputs!$A$15:$B$36,2,FALSE),Holdings!H251)</f>
        <v/>
      </c>
      <c r="H254" s="5">
        <f>_xlfn.XLOOKUP(B254,'Emission Factors'!$G$5:$G$26,'Emission Factors'!$H$5:$H$26)</f>
        <v/>
      </c>
      <c r="I254" s="5">
        <f>E254*G254*H254</f>
        <v/>
      </c>
      <c r="J254">
        <f>IF(ISBLANK(Holdings!H251),5,4)</f>
        <v/>
      </c>
      <c r="K254" s="10">
        <f>C254/SUM($C$5:$C$304)</f>
        <v/>
      </c>
      <c r="L254" s="7">
        <f>K254*H254</f>
        <v/>
      </c>
    </row>
    <row r="255">
      <c r="A255">
        <f>Holdings!A252</f>
        <v/>
      </c>
      <c r="B255">
        <f>Holdings!C252</f>
        <v/>
      </c>
      <c r="C255">
        <f>Holdings!F252</f>
        <v/>
      </c>
      <c r="D255">
        <f>Holdings!G252</f>
        <v/>
      </c>
      <c r="E255" s="14">
        <f>C255/D255</f>
        <v/>
      </c>
      <c r="F255">
        <f>IF(ISBLANK(Holdings!H252),"Sector proxy","Reported")</f>
        <v/>
      </c>
      <c r="G255" s="5">
        <f>IF(ISBLANK(Holdings!H252),D255*VLOOKUP(B255,Inputs!$A$15:$B$36,2,FALSE),Holdings!H252)</f>
        <v/>
      </c>
      <c r="H255" s="5">
        <f>_xlfn.XLOOKUP(B255,'Emission Factors'!$G$5:$G$26,'Emission Factors'!$H$5:$H$26)</f>
        <v/>
      </c>
      <c r="I255" s="5">
        <f>E255*G255*H255</f>
        <v/>
      </c>
      <c r="J255">
        <f>IF(ISBLANK(Holdings!H252),5,4)</f>
        <v/>
      </c>
      <c r="K255" s="10">
        <f>C255/SUM($C$5:$C$304)</f>
        <v/>
      </c>
      <c r="L255" s="7">
        <f>K255*H255</f>
        <v/>
      </c>
    </row>
    <row r="256">
      <c r="A256">
        <f>Holdings!A253</f>
        <v/>
      </c>
      <c r="B256">
        <f>Holdings!C253</f>
        <v/>
      </c>
      <c r="C256">
        <f>Holdings!F253</f>
        <v/>
      </c>
      <c r="D256">
        <f>Holdings!G253</f>
        <v/>
      </c>
      <c r="E256" s="14">
        <f>C256/D256</f>
        <v/>
      </c>
      <c r="F256">
        <f>IF(ISBLANK(Holdings!H253),"Sector proxy","Reported")</f>
        <v/>
      </c>
      <c r="G256" s="5">
        <f>IF(ISBLANK(Holdings!H253),D256*VLOOKUP(B256,Inputs!$A$15:$B$36,2,FALSE),Holdings!H253)</f>
        <v/>
      </c>
      <c r="H256" s="5">
        <f>_xlfn.XLOOKUP(B256,'Emission Factors'!$G$5:$G$26,'Emission Factors'!$H$5:$H$26)</f>
        <v/>
      </c>
      <c r="I256" s="5">
        <f>E256*G256*H256</f>
        <v/>
      </c>
      <c r="J256">
        <f>IF(ISBLANK(Holdings!H253),5,4)</f>
        <v/>
      </c>
      <c r="K256" s="10">
        <f>C256/SUM($C$5:$C$304)</f>
        <v/>
      </c>
      <c r="L256" s="7">
        <f>K256*H256</f>
        <v/>
      </c>
    </row>
    <row r="257">
      <c r="A257">
        <f>Holdings!A254</f>
        <v/>
      </c>
      <c r="B257">
        <f>Holdings!C254</f>
        <v/>
      </c>
      <c r="C257">
        <f>Holdings!F254</f>
        <v/>
      </c>
      <c r="D257">
        <f>Holdings!G254</f>
        <v/>
      </c>
      <c r="E257" s="14">
        <f>C257/D257</f>
        <v/>
      </c>
      <c r="F257">
        <f>IF(ISBLANK(Holdings!H254),"Sector proxy","Reported")</f>
        <v/>
      </c>
      <c r="G257" s="5">
        <f>IF(ISBLANK(Holdings!H254),D257*VLOOKUP(B257,Inputs!$A$15:$B$36,2,FALSE),Holdings!H254)</f>
        <v/>
      </c>
      <c r="H257" s="5">
        <f>_xlfn.XLOOKUP(B257,'Emission Factors'!$G$5:$G$26,'Emission Factors'!$H$5:$H$26)</f>
        <v/>
      </c>
      <c r="I257" s="5">
        <f>E257*G257*H257</f>
        <v/>
      </c>
      <c r="J257">
        <f>IF(ISBLANK(Holdings!H254),5,4)</f>
        <v/>
      </c>
      <c r="K257" s="10">
        <f>C257/SUM($C$5:$C$304)</f>
        <v/>
      </c>
      <c r="L257" s="7">
        <f>K257*H257</f>
        <v/>
      </c>
    </row>
    <row r="258">
      <c r="A258">
        <f>Holdings!A255</f>
        <v/>
      </c>
      <c r="B258">
        <f>Holdings!C255</f>
        <v/>
      </c>
      <c r="C258">
        <f>Holdings!F255</f>
        <v/>
      </c>
      <c r="D258">
        <f>Holdings!G255</f>
        <v/>
      </c>
      <c r="E258" s="14">
        <f>C258/D258</f>
        <v/>
      </c>
      <c r="F258">
        <f>IF(ISBLANK(Holdings!H255),"Sector proxy","Reported")</f>
        <v/>
      </c>
      <c r="G258" s="5">
        <f>IF(ISBLANK(Holdings!H255),D258*VLOOKUP(B258,Inputs!$A$15:$B$36,2,FALSE),Holdings!H255)</f>
        <v/>
      </c>
      <c r="H258" s="5">
        <f>_xlfn.XLOOKUP(B258,'Emission Factors'!$G$5:$G$26,'Emission Factors'!$H$5:$H$26)</f>
        <v/>
      </c>
      <c r="I258" s="5">
        <f>E258*G258*H258</f>
        <v/>
      </c>
      <c r="J258">
        <f>IF(ISBLANK(Holdings!H255),5,4)</f>
        <v/>
      </c>
      <c r="K258" s="10">
        <f>C258/SUM($C$5:$C$304)</f>
        <v/>
      </c>
      <c r="L258" s="7">
        <f>K258*H258</f>
        <v/>
      </c>
    </row>
    <row r="259">
      <c r="A259">
        <f>Holdings!A256</f>
        <v/>
      </c>
      <c r="B259">
        <f>Holdings!C256</f>
        <v/>
      </c>
      <c r="C259">
        <f>Holdings!F256</f>
        <v/>
      </c>
      <c r="D259">
        <f>Holdings!G256</f>
        <v/>
      </c>
      <c r="E259" s="14">
        <f>C259/D259</f>
        <v/>
      </c>
      <c r="F259">
        <f>IF(ISBLANK(Holdings!H256),"Sector proxy","Reported")</f>
        <v/>
      </c>
      <c r="G259" s="5">
        <f>IF(ISBLANK(Holdings!H256),D259*VLOOKUP(B259,Inputs!$A$15:$B$36,2,FALSE),Holdings!H256)</f>
        <v/>
      </c>
      <c r="H259" s="5">
        <f>_xlfn.XLOOKUP(B259,'Emission Factors'!$G$5:$G$26,'Emission Factors'!$H$5:$H$26)</f>
        <v/>
      </c>
      <c r="I259" s="5">
        <f>E259*G259*H259</f>
        <v/>
      </c>
      <c r="J259">
        <f>IF(ISBLANK(Holdings!H256),5,4)</f>
        <v/>
      </c>
      <c r="K259" s="10">
        <f>C259/SUM($C$5:$C$304)</f>
        <v/>
      </c>
      <c r="L259" s="7">
        <f>K259*H259</f>
        <v/>
      </c>
    </row>
    <row r="260">
      <c r="A260">
        <f>Holdings!A257</f>
        <v/>
      </c>
      <c r="B260">
        <f>Holdings!C257</f>
        <v/>
      </c>
      <c r="C260">
        <f>Holdings!F257</f>
        <v/>
      </c>
      <c r="D260">
        <f>Holdings!G257</f>
        <v/>
      </c>
      <c r="E260" s="14">
        <f>C260/D260</f>
        <v/>
      </c>
      <c r="F260">
        <f>IF(ISBLANK(Holdings!H257),"Sector proxy","Reported")</f>
        <v/>
      </c>
      <c r="G260" s="5">
        <f>IF(ISBLANK(Holdings!H257),D260*VLOOKUP(B260,Inputs!$A$15:$B$36,2,FALSE),Holdings!H257)</f>
        <v/>
      </c>
      <c r="H260" s="5">
        <f>_xlfn.XLOOKUP(B260,'Emission Factors'!$G$5:$G$26,'Emission Factors'!$H$5:$H$26)</f>
        <v/>
      </c>
      <c r="I260" s="5">
        <f>E260*G260*H260</f>
        <v/>
      </c>
      <c r="J260">
        <f>IF(ISBLANK(Holdings!H257),5,4)</f>
        <v/>
      </c>
      <c r="K260" s="10">
        <f>C260/SUM($C$5:$C$304)</f>
        <v/>
      </c>
      <c r="L260" s="7">
        <f>K260*H260</f>
        <v/>
      </c>
    </row>
    <row r="261">
      <c r="A261">
        <f>Holdings!A258</f>
        <v/>
      </c>
      <c r="B261">
        <f>Holdings!C258</f>
        <v/>
      </c>
      <c r="C261">
        <f>Holdings!F258</f>
        <v/>
      </c>
      <c r="D261">
        <f>Holdings!G258</f>
        <v/>
      </c>
      <c r="E261" s="14">
        <f>C261/D261</f>
        <v/>
      </c>
      <c r="F261">
        <f>IF(ISBLANK(Holdings!H258),"Sector proxy","Reported")</f>
        <v/>
      </c>
      <c r="G261" s="5">
        <f>IF(ISBLANK(Holdings!H258),D261*VLOOKUP(B261,Inputs!$A$15:$B$36,2,FALSE),Holdings!H258)</f>
        <v/>
      </c>
      <c r="H261" s="5">
        <f>_xlfn.XLOOKUP(B261,'Emission Factors'!$G$5:$G$26,'Emission Factors'!$H$5:$H$26)</f>
        <v/>
      </c>
      <c r="I261" s="5">
        <f>E261*G261*H261</f>
        <v/>
      </c>
      <c r="J261">
        <f>IF(ISBLANK(Holdings!H258),5,4)</f>
        <v/>
      </c>
      <c r="K261" s="10">
        <f>C261/SUM($C$5:$C$304)</f>
        <v/>
      </c>
      <c r="L261" s="7">
        <f>K261*H261</f>
        <v/>
      </c>
    </row>
    <row r="262">
      <c r="A262">
        <f>Holdings!A259</f>
        <v/>
      </c>
      <c r="B262">
        <f>Holdings!C259</f>
        <v/>
      </c>
      <c r="C262">
        <f>Holdings!F259</f>
        <v/>
      </c>
      <c r="D262">
        <f>Holdings!G259</f>
        <v/>
      </c>
      <c r="E262" s="14">
        <f>C262/D262</f>
        <v/>
      </c>
      <c r="F262">
        <f>IF(ISBLANK(Holdings!H259),"Sector proxy","Reported")</f>
        <v/>
      </c>
      <c r="G262" s="5">
        <f>IF(ISBLANK(Holdings!H259),D262*VLOOKUP(B262,Inputs!$A$15:$B$36,2,FALSE),Holdings!H259)</f>
        <v/>
      </c>
      <c r="H262" s="5">
        <f>_xlfn.XLOOKUP(B262,'Emission Factors'!$G$5:$G$26,'Emission Factors'!$H$5:$H$26)</f>
        <v/>
      </c>
      <c r="I262" s="5">
        <f>E262*G262*H262</f>
        <v/>
      </c>
      <c r="J262">
        <f>IF(ISBLANK(Holdings!H259),5,4)</f>
        <v/>
      </c>
      <c r="K262" s="10">
        <f>C262/SUM($C$5:$C$304)</f>
        <v/>
      </c>
      <c r="L262" s="7">
        <f>K262*H262</f>
        <v/>
      </c>
    </row>
    <row r="263">
      <c r="A263">
        <f>Holdings!A260</f>
        <v/>
      </c>
      <c r="B263">
        <f>Holdings!C260</f>
        <v/>
      </c>
      <c r="C263">
        <f>Holdings!F260</f>
        <v/>
      </c>
      <c r="D263">
        <f>Holdings!G260</f>
        <v/>
      </c>
      <c r="E263" s="14">
        <f>C263/D263</f>
        <v/>
      </c>
      <c r="F263">
        <f>IF(ISBLANK(Holdings!H260),"Sector proxy","Reported")</f>
        <v/>
      </c>
      <c r="G263" s="5">
        <f>IF(ISBLANK(Holdings!H260),D263*VLOOKUP(B263,Inputs!$A$15:$B$36,2,FALSE),Holdings!H260)</f>
        <v/>
      </c>
      <c r="H263" s="5">
        <f>_xlfn.XLOOKUP(B263,'Emission Factors'!$G$5:$G$26,'Emission Factors'!$H$5:$H$26)</f>
        <v/>
      </c>
      <c r="I263" s="5">
        <f>E263*G263*H263</f>
        <v/>
      </c>
      <c r="J263">
        <f>IF(ISBLANK(Holdings!H260),5,4)</f>
        <v/>
      </c>
      <c r="K263" s="10">
        <f>C263/SUM($C$5:$C$304)</f>
        <v/>
      </c>
      <c r="L263" s="7">
        <f>K263*H263</f>
        <v/>
      </c>
    </row>
    <row r="264">
      <c r="A264">
        <f>Holdings!A261</f>
        <v/>
      </c>
      <c r="B264">
        <f>Holdings!C261</f>
        <v/>
      </c>
      <c r="C264">
        <f>Holdings!F261</f>
        <v/>
      </c>
      <c r="D264">
        <f>Holdings!G261</f>
        <v/>
      </c>
      <c r="E264" s="14">
        <f>C264/D264</f>
        <v/>
      </c>
      <c r="F264">
        <f>IF(ISBLANK(Holdings!H261),"Sector proxy","Reported")</f>
        <v/>
      </c>
      <c r="G264" s="5">
        <f>IF(ISBLANK(Holdings!H261),D264*VLOOKUP(B264,Inputs!$A$15:$B$36,2,FALSE),Holdings!H261)</f>
        <v/>
      </c>
      <c r="H264" s="5">
        <f>_xlfn.XLOOKUP(B264,'Emission Factors'!$G$5:$G$26,'Emission Factors'!$H$5:$H$26)</f>
        <v/>
      </c>
      <c r="I264" s="5">
        <f>E264*G264*H264</f>
        <v/>
      </c>
      <c r="J264">
        <f>IF(ISBLANK(Holdings!H261),5,4)</f>
        <v/>
      </c>
      <c r="K264" s="10">
        <f>C264/SUM($C$5:$C$304)</f>
        <v/>
      </c>
      <c r="L264" s="7">
        <f>K264*H264</f>
        <v/>
      </c>
    </row>
    <row r="265">
      <c r="A265">
        <f>Holdings!A262</f>
        <v/>
      </c>
      <c r="B265">
        <f>Holdings!C262</f>
        <v/>
      </c>
      <c r="C265">
        <f>Holdings!F262</f>
        <v/>
      </c>
      <c r="D265">
        <f>Holdings!G262</f>
        <v/>
      </c>
      <c r="E265" s="14">
        <f>C265/D265</f>
        <v/>
      </c>
      <c r="F265">
        <f>IF(ISBLANK(Holdings!H262),"Sector proxy","Reported")</f>
        <v/>
      </c>
      <c r="G265" s="5">
        <f>IF(ISBLANK(Holdings!H262),D265*VLOOKUP(B265,Inputs!$A$15:$B$36,2,FALSE),Holdings!H262)</f>
        <v/>
      </c>
      <c r="H265" s="5">
        <f>_xlfn.XLOOKUP(B265,'Emission Factors'!$G$5:$G$26,'Emission Factors'!$H$5:$H$26)</f>
        <v/>
      </c>
      <c r="I265" s="5">
        <f>E265*G265*H265</f>
        <v/>
      </c>
      <c r="J265">
        <f>IF(ISBLANK(Holdings!H262),5,4)</f>
        <v/>
      </c>
      <c r="K265" s="10">
        <f>C265/SUM($C$5:$C$304)</f>
        <v/>
      </c>
      <c r="L265" s="7">
        <f>K265*H265</f>
        <v/>
      </c>
    </row>
    <row r="266">
      <c r="A266">
        <f>Holdings!A263</f>
        <v/>
      </c>
      <c r="B266">
        <f>Holdings!C263</f>
        <v/>
      </c>
      <c r="C266">
        <f>Holdings!F263</f>
        <v/>
      </c>
      <c r="D266">
        <f>Holdings!G263</f>
        <v/>
      </c>
      <c r="E266" s="14">
        <f>C266/D266</f>
        <v/>
      </c>
      <c r="F266">
        <f>IF(ISBLANK(Holdings!H263),"Sector proxy","Reported")</f>
        <v/>
      </c>
      <c r="G266" s="5">
        <f>IF(ISBLANK(Holdings!H263),D266*VLOOKUP(B266,Inputs!$A$15:$B$36,2,FALSE),Holdings!H263)</f>
        <v/>
      </c>
      <c r="H266" s="5">
        <f>_xlfn.XLOOKUP(B266,'Emission Factors'!$G$5:$G$26,'Emission Factors'!$H$5:$H$26)</f>
        <v/>
      </c>
      <c r="I266" s="5">
        <f>E266*G266*H266</f>
        <v/>
      </c>
      <c r="J266">
        <f>IF(ISBLANK(Holdings!H263),5,4)</f>
        <v/>
      </c>
      <c r="K266" s="10">
        <f>C266/SUM($C$5:$C$304)</f>
        <v/>
      </c>
      <c r="L266" s="7">
        <f>K266*H266</f>
        <v/>
      </c>
    </row>
    <row r="267">
      <c r="A267">
        <f>Holdings!A264</f>
        <v/>
      </c>
      <c r="B267">
        <f>Holdings!C264</f>
        <v/>
      </c>
      <c r="C267">
        <f>Holdings!F264</f>
        <v/>
      </c>
      <c r="D267">
        <f>Holdings!G264</f>
        <v/>
      </c>
      <c r="E267" s="14">
        <f>C267/D267</f>
        <v/>
      </c>
      <c r="F267">
        <f>IF(ISBLANK(Holdings!H264),"Sector proxy","Reported")</f>
        <v/>
      </c>
      <c r="G267" s="5">
        <f>IF(ISBLANK(Holdings!H264),D267*VLOOKUP(B267,Inputs!$A$15:$B$36,2,FALSE),Holdings!H264)</f>
        <v/>
      </c>
      <c r="H267" s="5">
        <f>_xlfn.XLOOKUP(B267,'Emission Factors'!$G$5:$G$26,'Emission Factors'!$H$5:$H$26)</f>
        <v/>
      </c>
      <c r="I267" s="5">
        <f>E267*G267*H267</f>
        <v/>
      </c>
      <c r="J267">
        <f>IF(ISBLANK(Holdings!H264),5,4)</f>
        <v/>
      </c>
      <c r="K267" s="10">
        <f>C267/SUM($C$5:$C$304)</f>
        <v/>
      </c>
      <c r="L267" s="7">
        <f>K267*H267</f>
        <v/>
      </c>
    </row>
    <row r="268">
      <c r="A268">
        <f>Holdings!A265</f>
        <v/>
      </c>
      <c r="B268">
        <f>Holdings!C265</f>
        <v/>
      </c>
      <c r="C268">
        <f>Holdings!F265</f>
        <v/>
      </c>
      <c r="D268">
        <f>Holdings!G265</f>
        <v/>
      </c>
      <c r="E268" s="14">
        <f>C268/D268</f>
        <v/>
      </c>
      <c r="F268">
        <f>IF(ISBLANK(Holdings!H265),"Sector proxy","Reported")</f>
        <v/>
      </c>
      <c r="G268" s="5">
        <f>IF(ISBLANK(Holdings!H265),D268*VLOOKUP(B268,Inputs!$A$15:$B$36,2,FALSE),Holdings!H265)</f>
        <v/>
      </c>
      <c r="H268" s="5">
        <f>_xlfn.XLOOKUP(B268,'Emission Factors'!$G$5:$G$26,'Emission Factors'!$H$5:$H$26)</f>
        <v/>
      </c>
      <c r="I268" s="5">
        <f>E268*G268*H268</f>
        <v/>
      </c>
      <c r="J268">
        <f>IF(ISBLANK(Holdings!H265),5,4)</f>
        <v/>
      </c>
      <c r="K268" s="10">
        <f>C268/SUM($C$5:$C$304)</f>
        <v/>
      </c>
      <c r="L268" s="7">
        <f>K268*H268</f>
        <v/>
      </c>
    </row>
    <row r="269">
      <c r="A269">
        <f>Holdings!A266</f>
        <v/>
      </c>
      <c r="B269">
        <f>Holdings!C266</f>
        <v/>
      </c>
      <c r="C269">
        <f>Holdings!F266</f>
        <v/>
      </c>
      <c r="D269">
        <f>Holdings!G266</f>
        <v/>
      </c>
      <c r="E269" s="14">
        <f>C269/D269</f>
        <v/>
      </c>
      <c r="F269">
        <f>IF(ISBLANK(Holdings!H266),"Sector proxy","Reported")</f>
        <v/>
      </c>
      <c r="G269" s="5">
        <f>IF(ISBLANK(Holdings!H266),D269*VLOOKUP(B269,Inputs!$A$15:$B$36,2,FALSE),Holdings!H266)</f>
        <v/>
      </c>
      <c r="H269" s="5">
        <f>_xlfn.XLOOKUP(B269,'Emission Factors'!$G$5:$G$26,'Emission Factors'!$H$5:$H$26)</f>
        <v/>
      </c>
      <c r="I269" s="5">
        <f>E269*G269*H269</f>
        <v/>
      </c>
      <c r="J269">
        <f>IF(ISBLANK(Holdings!H266),5,4)</f>
        <v/>
      </c>
      <c r="K269" s="10">
        <f>C269/SUM($C$5:$C$304)</f>
        <v/>
      </c>
      <c r="L269" s="7">
        <f>K269*H269</f>
        <v/>
      </c>
    </row>
    <row r="270">
      <c r="A270">
        <f>Holdings!A267</f>
        <v/>
      </c>
      <c r="B270">
        <f>Holdings!C267</f>
        <v/>
      </c>
      <c r="C270">
        <f>Holdings!F267</f>
        <v/>
      </c>
      <c r="D270">
        <f>Holdings!G267</f>
        <v/>
      </c>
      <c r="E270" s="14">
        <f>C270/D270</f>
        <v/>
      </c>
      <c r="F270">
        <f>IF(ISBLANK(Holdings!H267),"Sector proxy","Reported")</f>
        <v/>
      </c>
      <c r="G270" s="5">
        <f>IF(ISBLANK(Holdings!H267),D270*VLOOKUP(B270,Inputs!$A$15:$B$36,2,FALSE),Holdings!H267)</f>
        <v/>
      </c>
      <c r="H270" s="5">
        <f>_xlfn.XLOOKUP(B270,'Emission Factors'!$G$5:$G$26,'Emission Factors'!$H$5:$H$26)</f>
        <v/>
      </c>
      <c r="I270" s="5">
        <f>E270*G270*H270</f>
        <v/>
      </c>
      <c r="J270">
        <f>IF(ISBLANK(Holdings!H267),5,4)</f>
        <v/>
      </c>
      <c r="K270" s="10">
        <f>C270/SUM($C$5:$C$304)</f>
        <v/>
      </c>
      <c r="L270" s="7">
        <f>K270*H270</f>
        <v/>
      </c>
    </row>
    <row r="271">
      <c r="A271">
        <f>Holdings!A268</f>
        <v/>
      </c>
      <c r="B271">
        <f>Holdings!C268</f>
        <v/>
      </c>
      <c r="C271">
        <f>Holdings!F268</f>
        <v/>
      </c>
      <c r="D271">
        <f>Holdings!G268</f>
        <v/>
      </c>
      <c r="E271" s="14">
        <f>C271/D271</f>
        <v/>
      </c>
      <c r="F271">
        <f>IF(ISBLANK(Holdings!H268),"Sector proxy","Reported")</f>
        <v/>
      </c>
      <c r="G271" s="5">
        <f>IF(ISBLANK(Holdings!H268),D271*VLOOKUP(B271,Inputs!$A$15:$B$36,2,FALSE),Holdings!H268)</f>
        <v/>
      </c>
      <c r="H271" s="5">
        <f>_xlfn.XLOOKUP(B271,'Emission Factors'!$G$5:$G$26,'Emission Factors'!$H$5:$H$26)</f>
        <v/>
      </c>
      <c r="I271" s="5">
        <f>E271*G271*H271</f>
        <v/>
      </c>
      <c r="J271">
        <f>IF(ISBLANK(Holdings!H268),5,4)</f>
        <v/>
      </c>
      <c r="K271" s="10">
        <f>C271/SUM($C$5:$C$304)</f>
        <v/>
      </c>
      <c r="L271" s="7">
        <f>K271*H271</f>
        <v/>
      </c>
    </row>
    <row r="272">
      <c r="A272">
        <f>Holdings!A269</f>
        <v/>
      </c>
      <c r="B272">
        <f>Holdings!C269</f>
        <v/>
      </c>
      <c r="C272">
        <f>Holdings!F269</f>
        <v/>
      </c>
      <c r="D272">
        <f>Holdings!G269</f>
        <v/>
      </c>
      <c r="E272" s="14">
        <f>C272/D272</f>
        <v/>
      </c>
      <c r="F272">
        <f>IF(ISBLANK(Holdings!H269),"Sector proxy","Reported")</f>
        <v/>
      </c>
      <c r="G272" s="5">
        <f>IF(ISBLANK(Holdings!H269),D272*VLOOKUP(B272,Inputs!$A$15:$B$36,2,FALSE),Holdings!H269)</f>
        <v/>
      </c>
      <c r="H272" s="5">
        <f>_xlfn.XLOOKUP(B272,'Emission Factors'!$G$5:$G$26,'Emission Factors'!$H$5:$H$26)</f>
        <v/>
      </c>
      <c r="I272" s="5">
        <f>E272*G272*H272</f>
        <v/>
      </c>
      <c r="J272">
        <f>IF(ISBLANK(Holdings!H269),5,4)</f>
        <v/>
      </c>
      <c r="K272" s="10">
        <f>C272/SUM($C$5:$C$304)</f>
        <v/>
      </c>
      <c r="L272" s="7">
        <f>K272*H272</f>
        <v/>
      </c>
    </row>
    <row r="273">
      <c r="A273">
        <f>Holdings!A270</f>
        <v/>
      </c>
      <c r="B273">
        <f>Holdings!C270</f>
        <v/>
      </c>
      <c r="C273">
        <f>Holdings!F270</f>
        <v/>
      </c>
      <c r="D273">
        <f>Holdings!G270</f>
        <v/>
      </c>
      <c r="E273" s="14">
        <f>C273/D273</f>
        <v/>
      </c>
      <c r="F273">
        <f>IF(ISBLANK(Holdings!H270),"Sector proxy","Reported")</f>
        <v/>
      </c>
      <c r="G273" s="5">
        <f>IF(ISBLANK(Holdings!H270),D273*VLOOKUP(B273,Inputs!$A$15:$B$36,2,FALSE),Holdings!H270)</f>
        <v/>
      </c>
      <c r="H273" s="5">
        <f>_xlfn.XLOOKUP(B273,'Emission Factors'!$G$5:$G$26,'Emission Factors'!$H$5:$H$26)</f>
        <v/>
      </c>
      <c r="I273" s="5">
        <f>E273*G273*H273</f>
        <v/>
      </c>
      <c r="J273">
        <f>IF(ISBLANK(Holdings!H270),5,4)</f>
        <v/>
      </c>
      <c r="K273" s="10">
        <f>C273/SUM($C$5:$C$304)</f>
        <v/>
      </c>
      <c r="L273" s="7">
        <f>K273*H273</f>
        <v/>
      </c>
    </row>
    <row r="274">
      <c r="A274">
        <f>Holdings!A271</f>
        <v/>
      </c>
      <c r="B274">
        <f>Holdings!C271</f>
        <v/>
      </c>
      <c r="C274">
        <f>Holdings!F271</f>
        <v/>
      </c>
      <c r="D274">
        <f>Holdings!G271</f>
        <v/>
      </c>
      <c r="E274" s="14">
        <f>C274/D274</f>
        <v/>
      </c>
      <c r="F274">
        <f>IF(ISBLANK(Holdings!H271),"Sector proxy","Reported")</f>
        <v/>
      </c>
      <c r="G274" s="5">
        <f>IF(ISBLANK(Holdings!H271),D274*VLOOKUP(B274,Inputs!$A$15:$B$36,2,FALSE),Holdings!H271)</f>
        <v/>
      </c>
      <c r="H274" s="5">
        <f>_xlfn.XLOOKUP(B274,'Emission Factors'!$G$5:$G$26,'Emission Factors'!$H$5:$H$26)</f>
        <v/>
      </c>
      <c r="I274" s="5">
        <f>E274*G274*H274</f>
        <v/>
      </c>
      <c r="J274">
        <f>IF(ISBLANK(Holdings!H271),5,4)</f>
        <v/>
      </c>
      <c r="K274" s="10">
        <f>C274/SUM($C$5:$C$304)</f>
        <v/>
      </c>
      <c r="L274" s="7">
        <f>K274*H274</f>
        <v/>
      </c>
    </row>
    <row r="275">
      <c r="A275">
        <f>Holdings!A272</f>
        <v/>
      </c>
      <c r="B275">
        <f>Holdings!C272</f>
        <v/>
      </c>
      <c r="C275">
        <f>Holdings!F272</f>
        <v/>
      </c>
      <c r="D275">
        <f>Holdings!G272</f>
        <v/>
      </c>
      <c r="E275" s="14">
        <f>C275/D275</f>
        <v/>
      </c>
      <c r="F275">
        <f>IF(ISBLANK(Holdings!H272),"Sector proxy","Reported")</f>
        <v/>
      </c>
      <c r="G275" s="5">
        <f>IF(ISBLANK(Holdings!H272),D275*VLOOKUP(B275,Inputs!$A$15:$B$36,2,FALSE),Holdings!H272)</f>
        <v/>
      </c>
      <c r="H275" s="5">
        <f>_xlfn.XLOOKUP(B275,'Emission Factors'!$G$5:$G$26,'Emission Factors'!$H$5:$H$26)</f>
        <v/>
      </c>
      <c r="I275" s="5">
        <f>E275*G275*H275</f>
        <v/>
      </c>
      <c r="J275">
        <f>IF(ISBLANK(Holdings!H272),5,4)</f>
        <v/>
      </c>
      <c r="K275" s="10">
        <f>C275/SUM($C$5:$C$304)</f>
        <v/>
      </c>
      <c r="L275" s="7">
        <f>K275*H275</f>
        <v/>
      </c>
    </row>
    <row r="276">
      <c r="A276">
        <f>Holdings!A273</f>
        <v/>
      </c>
      <c r="B276">
        <f>Holdings!C273</f>
        <v/>
      </c>
      <c r="C276">
        <f>Holdings!F273</f>
        <v/>
      </c>
      <c r="D276">
        <f>Holdings!G273</f>
        <v/>
      </c>
      <c r="E276" s="14">
        <f>C276/D276</f>
        <v/>
      </c>
      <c r="F276">
        <f>IF(ISBLANK(Holdings!H273),"Sector proxy","Reported")</f>
        <v/>
      </c>
      <c r="G276" s="5">
        <f>IF(ISBLANK(Holdings!H273),D276*VLOOKUP(B276,Inputs!$A$15:$B$36,2,FALSE),Holdings!H273)</f>
        <v/>
      </c>
      <c r="H276" s="5">
        <f>_xlfn.XLOOKUP(B276,'Emission Factors'!$G$5:$G$26,'Emission Factors'!$H$5:$H$26)</f>
        <v/>
      </c>
      <c r="I276" s="5">
        <f>E276*G276*H276</f>
        <v/>
      </c>
      <c r="J276">
        <f>IF(ISBLANK(Holdings!H273),5,4)</f>
        <v/>
      </c>
      <c r="K276" s="10">
        <f>C276/SUM($C$5:$C$304)</f>
        <v/>
      </c>
      <c r="L276" s="7">
        <f>K276*H276</f>
        <v/>
      </c>
    </row>
    <row r="277">
      <c r="A277">
        <f>Holdings!A274</f>
        <v/>
      </c>
      <c r="B277">
        <f>Holdings!C274</f>
        <v/>
      </c>
      <c r="C277">
        <f>Holdings!F274</f>
        <v/>
      </c>
      <c r="D277">
        <f>Holdings!G274</f>
        <v/>
      </c>
      <c r="E277" s="14">
        <f>C277/D277</f>
        <v/>
      </c>
      <c r="F277">
        <f>IF(ISBLANK(Holdings!H274),"Sector proxy","Reported")</f>
        <v/>
      </c>
      <c r="G277" s="5">
        <f>IF(ISBLANK(Holdings!H274),D277*VLOOKUP(B277,Inputs!$A$15:$B$36,2,FALSE),Holdings!H274)</f>
        <v/>
      </c>
      <c r="H277" s="5">
        <f>_xlfn.XLOOKUP(B277,'Emission Factors'!$G$5:$G$26,'Emission Factors'!$H$5:$H$26)</f>
        <v/>
      </c>
      <c r="I277" s="5">
        <f>E277*G277*H277</f>
        <v/>
      </c>
      <c r="J277">
        <f>IF(ISBLANK(Holdings!H274),5,4)</f>
        <v/>
      </c>
      <c r="K277" s="10">
        <f>C277/SUM($C$5:$C$304)</f>
        <v/>
      </c>
      <c r="L277" s="7">
        <f>K277*H277</f>
        <v/>
      </c>
    </row>
    <row r="278">
      <c r="A278">
        <f>Holdings!A275</f>
        <v/>
      </c>
      <c r="B278">
        <f>Holdings!C275</f>
        <v/>
      </c>
      <c r="C278">
        <f>Holdings!F275</f>
        <v/>
      </c>
      <c r="D278">
        <f>Holdings!G275</f>
        <v/>
      </c>
      <c r="E278" s="14">
        <f>C278/D278</f>
        <v/>
      </c>
      <c r="F278">
        <f>IF(ISBLANK(Holdings!H275),"Sector proxy","Reported")</f>
        <v/>
      </c>
      <c r="G278" s="5">
        <f>IF(ISBLANK(Holdings!H275),D278*VLOOKUP(B278,Inputs!$A$15:$B$36,2,FALSE),Holdings!H275)</f>
        <v/>
      </c>
      <c r="H278" s="5">
        <f>_xlfn.XLOOKUP(B278,'Emission Factors'!$G$5:$G$26,'Emission Factors'!$H$5:$H$26)</f>
        <v/>
      </c>
      <c r="I278" s="5">
        <f>E278*G278*H278</f>
        <v/>
      </c>
      <c r="J278">
        <f>IF(ISBLANK(Holdings!H275),5,4)</f>
        <v/>
      </c>
      <c r="K278" s="10">
        <f>C278/SUM($C$5:$C$304)</f>
        <v/>
      </c>
      <c r="L278" s="7">
        <f>K278*H278</f>
        <v/>
      </c>
    </row>
    <row r="279">
      <c r="A279">
        <f>Holdings!A276</f>
        <v/>
      </c>
      <c r="B279">
        <f>Holdings!C276</f>
        <v/>
      </c>
      <c r="C279">
        <f>Holdings!F276</f>
        <v/>
      </c>
      <c r="D279">
        <f>Holdings!G276</f>
        <v/>
      </c>
      <c r="E279" s="14">
        <f>C279/D279</f>
        <v/>
      </c>
      <c r="F279">
        <f>IF(ISBLANK(Holdings!H276),"Sector proxy","Reported")</f>
        <v/>
      </c>
      <c r="G279" s="5">
        <f>IF(ISBLANK(Holdings!H276),D279*VLOOKUP(B279,Inputs!$A$15:$B$36,2,FALSE),Holdings!H276)</f>
        <v/>
      </c>
      <c r="H279" s="5">
        <f>_xlfn.XLOOKUP(B279,'Emission Factors'!$G$5:$G$26,'Emission Factors'!$H$5:$H$26)</f>
        <v/>
      </c>
      <c r="I279" s="5">
        <f>E279*G279*H279</f>
        <v/>
      </c>
      <c r="J279">
        <f>IF(ISBLANK(Holdings!H276),5,4)</f>
        <v/>
      </c>
      <c r="K279" s="10">
        <f>C279/SUM($C$5:$C$304)</f>
        <v/>
      </c>
      <c r="L279" s="7">
        <f>K279*H279</f>
        <v/>
      </c>
    </row>
    <row r="280">
      <c r="A280">
        <f>Holdings!A277</f>
        <v/>
      </c>
      <c r="B280">
        <f>Holdings!C277</f>
        <v/>
      </c>
      <c r="C280">
        <f>Holdings!F277</f>
        <v/>
      </c>
      <c r="D280">
        <f>Holdings!G277</f>
        <v/>
      </c>
      <c r="E280" s="14">
        <f>C280/D280</f>
        <v/>
      </c>
      <c r="F280">
        <f>IF(ISBLANK(Holdings!H277),"Sector proxy","Reported")</f>
        <v/>
      </c>
      <c r="G280" s="5">
        <f>IF(ISBLANK(Holdings!H277),D280*VLOOKUP(B280,Inputs!$A$15:$B$36,2,FALSE),Holdings!H277)</f>
        <v/>
      </c>
      <c r="H280" s="5">
        <f>_xlfn.XLOOKUP(B280,'Emission Factors'!$G$5:$G$26,'Emission Factors'!$H$5:$H$26)</f>
        <v/>
      </c>
      <c r="I280" s="5">
        <f>E280*G280*H280</f>
        <v/>
      </c>
      <c r="J280">
        <f>IF(ISBLANK(Holdings!H277),5,4)</f>
        <v/>
      </c>
      <c r="K280" s="10">
        <f>C280/SUM($C$5:$C$304)</f>
        <v/>
      </c>
      <c r="L280" s="7">
        <f>K280*H280</f>
        <v/>
      </c>
    </row>
    <row r="281">
      <c r="A281">
        <f>Holdings!A278</f>
        <v/>
      </c>
      <c r="B281">
        <f>Holdings!C278</f>
        <v/>
      </c>
      <c r="C281">
        <f>Holdings!F278</f>
        <v/>
      </c>
      <c r="D281">
        <f>Holdings!G278</f>
        <v/>
      </c>
      <c r="E281" s="14">
        <f>C281/D281</f>
        <v/>
      </c>
      <c r="F281">
        <f>IF(ISBLANK(Holdings!H278),"Sector proxy","Reported")</f>
        <v/>
      </c>
      <c r="G281" s="5">
        <f>IF(ISBLANK(Holdings!H278),D281*VLOOKUP(B281,Inputs!$A$15:$B$36,2,FALSE),Holdings!H278)</f>
        <v/>
      </c>
      <c r="H281" s="5">
        <f>_xlfn.XLOOKUP(B281,'Emission Factors'!$G$5:$G$26,'Emission Factors'!$H$5:$H$26)</f>
        <v/>
      </c>
      <c r="I281" s="5">
        <f>E281*G281*H281</f>
        <v/>
      </c>
      <c r="J281">
        <f>IF(ISBLANK(Holdings!H278),5,4)</f>
        <v/>
      </c>
      <c r="K281" s="10">
        <f>C281/SUM($C$5:$C$304)</f>
        <v/>
      </c>
      <c r="L281" s="7">
        <f>K281*H281</f>
        <v/>
      </c>
    </row>
    <row r="282">
      <c r="A282">
        <f>Holdings!A279</f>
        <v/>
      </c>
      <c r="B282">
        <f>Holdings!C279</f>
        <v/>
      </c>
      <c r="C282">
        <f>Holdings!F279</f>
        <v/>
      </c>
      <c r="D282">
        <f>Holdings!G279</f>
        <v/>
      </c>
      <c r="E282" s="14">
        <f>C282/D282</f>
        <v/>
      </c>
      <c r="F282">
        <f>IF(ISBLANK(Holdings!H279),"Sector proxy","Reported")</f>
        <v/>
      </c>
      <c r="G282" s="5">
        <f>IF(ISBLANK(Holdings!H279),D282*VLOOKUP(B282,Inputs!$A$15:$B$36,2,FALSE),Holdings!H279)</f>
        <v/>
      </c>
      <c r="H282" s="5">
        <f>_xlfn.XLOOKUP(B282,'Emission Factors'!$G$5:$G$26,'Emission Factors'!$H$5:$H$26)</f>
        <v/>
      </c>
      <c r="I282" s="5">
        <f>E282*G282*H282</f>
        <v/>
      </c>
      <c r="J282">
        <f>IF(ISBLANK(Holdings!H279),5,4)</f>
        <v/>
      </c>
      <c r="K282" s="10">
        <f>C282/SUM($C$5:$C$304)</f>
        <v/>
      </c>
      <c r="L282" s="7">
        <f>K282*H282</f>
        <v/>
      </c>
    </row>
    <row r="283">
      <c r="A283">
        <f>Holdings!A280</f>
        <v/>
      </c>
      <c r="B283">
        <f>Holdings!C280</f>
        <v/>
      </c>
      <c r="C283">
        <f>Holdings!F280</f>
        <v/>
      </c>
      <c r="D283">
        <f>Holdings!G280</f>
        <v/>
      </c>
      <c r="E283" s="14">
        <f>C283/D283</f>
        <v/>
      </c>
      <c r="F283">
        <f>IF(ISBLANK(Holdings!H280),"Sector proxy","Reported")</f>
        <v/>
      </c>
      <c r="G283" s="5">
        <f>IF(ISBLANK(Holdings!H280),D283*VLOOKUP(B283,Inputs!$A$15:$B$36,2,FALSE),Holdings!H280)</f>
        <v/>
      </c>
      <c r="H283" s="5">
        <f>_xlfn.XLOOKUP(B283,'Emission Factors'!$G$5:$G$26,'Emission Factors'!$H$5:$H$26)</f>
        <v/>
      </c>
      <c r="I283" s="5">
        <f>E283*G283*H283</f>
        <v/>
      </c>
      <c r="J283">
        <f>IF(ISBLANK(Holdings!H280),5,4)</f>
        <v/>
      </c>
      <c r="K283" s="10">
        <f>C283/SUM($C$5:$C$304)</f>
        <v/>
      </c>
      <c r="L283" s="7">
        <f>K283*H283</f>
        <v/>
      </c>
    </row>
    <row r="284">
      <c r="A284">
        <f>Holdings!A281</f>
        <v/>
      </c>
      <c r="B284">
        <f>Holdings!C281</f>
        <v/>
      </c>
      <c r="C284">
        <f>Holdings!F281</f>
        <v/>
      </c>
      <c r="D284">
        <f>Holdings!G281</f>
        <v/>
      </c>
      <c r="E284" s="14">
        <f>C284/D284</f>
        <v/>
      </c>
      <c r="F284">
        <f>IF(ISBLANK(Holdings!H281),"Sector proxy","Reported")</f>
        <v/>
      </c>
      <c r="G284" s="5">
        <f>IF(ISBLANK(Holdings!H281),D284*VLOOKUP(B284,Inputs!$A$15:$B$36,2,FALSE),Holdings!H281)</f>
        <v/>
      </c>
      <c r="H284" s="5">
        <f>_xlfn.XLOOKUP(B284,'Emission Factors'!$G$5:$G$26,'Emission Factors'!$H$5:$H$26)</f>
        <v/>
      </c>
      <c r="I284" s="5">
        <f>E284*G284*H284</f>
        <v/>
      </c>
      <c r="J284">
        <f>IF(ISBLANK(Holdings!H281),5,4)</f>
        <v/>
      </c>
      <c r="K284" s="10">
        <f>C284/SUM($C$5:$C$304)</f>
        <v/>
      </c>
      <c r="L284" s="7">
        <f>K284*H284</f>
        <v/>
      </c>
    </row>
    <row r="285">
      <c r="A285">
        <f>Holdings!A282</f>
        <v/>
      </c>
      <c r="B285">
        <f>Holdings!C282</f>
        <v/>
      </c>
      <c r="C285">
        <f>Holdings!F282</f>
        <v/>
      </c>
      <c r="D285">
        <f>Holdings!G282</f>
        <v/>
      </c>
      <c r="E285" s="14">
        <f>C285/D285</f>
        <v/>
      </c>
      <c r="F285">
        <f>IF(ISBLANK(Holdings!H282),"Sector proxy","Reported")</f>
        <v/>
      </c>
      <c r="G285" s="5">
        <f>IF(ISBLANK(Holdings!H282),D285*VLOOKUP(B285,Inputs!$A$15:$B$36,2,FALSE),Holdings!H282)</f>
        <v/>
      </c>
      <c r="H285" s="5">
        <f>_xlfn.XLOOKUP(B285,'Emission Factors'!$G$5:$G$26,'Emission Factors'!$H$5:$H$26)</f>
        <v/>
      </c>
      <c r="I285" s="5">
        <f>E285*G285*H285</f>
        <v/>
      </c>
      <c r="J285">
        <f>IF(ISBLANK(Holdings!H282),5,4)</f>
        <v/>
      </c>
      <c r="K285" s="10">
        <f>C285/SUM($C$5:$C$304)</f>
        <v/>
      </c>
      <c r="L285" s="7">
        <f>K285*H285</f>
        <v/>
      </c>
    </row>
    <row r="286">
      <c r="A286">
        <f>Holdings!A283</f>
        <v/>
      </c>
      <c r="B286">
        <f>Holdings!C283</f>
        <v/>
      </c>
      <c r="C286">
        <f>Holdings!F283</f>
        <v/>
      </c>
      <c r="D286">
        <f>Holdings!G283</f>
        <v/>
      </c>
      <c r="E286" s="14">
        <f>C286/D286</f>
        <v/>
      </c>
      <c r="F286">
        <f>IF(ISBLANK(Holdings!H283),"Sector proxy","Reported")</f>
        <v/>
      </c>
      <c r="G286" s="5">
        <f>IF(ISBLANK(Holdings!H283),D286*VLOOKUP(B286,Inputs!$A$15:$B$36,2,FALSE),Holdings!H283)</f>
        <v/>
      </c>
      <c r="H286" s="5">
        <f>_xlfn.XLOOKUP(B286,'Emission Factors'!$G$5:$G$26,'Emission Factors'!$H$5:$H$26)</f>
        <v/>
      </c>
      <c r="I286" s="5">
        <f>E286*G286*H286</f>
        <v/>
      </c>
      <c r="J286">
        <f>IF(ISBLANK(Holdings!H283),5,4)</f>
        <v/>
      </c>
      <c r="K286" s="10">
        <f>C286/SUM($C$5:$C$304)</f>
        <v/>
      </c>
      <c r="L286" s="7">
        <f>K286*H286</f>
        <v/>
      </c>
    </row>
    <row r="287">
      <c r="A287">
        <f>Holdings!A284</f>
        <v/>
      </c>
      <c r="B287">
        <f>Holdings!C284</f>
        <v/>
      </c>
      <c r="C287">
        <f>Holdings!F284</f>
        <v/>
      </c>
      <c r="D287">
        <f>Holdings!G284</f>
        <v/>
      </c>
      <c r="E287" s="14">
        <f>C287/D287</f>
        <v/>
      </c>
      <c r="F287">
        <f>IF(ISBLANK(Holdings!H284),"Sector proxy","Reported")</f>
        <v/>
      </c>
      <c r="G287" s="5">
        <f>IF(ISBLANK(Holdings!H284),D287*VLOOKUP(B287,Inputs!$A$15:$B$36,2,FALSE),Holdings!H284)</f>
        <v/>
      </c>
      <c r="H287" s="5">
        <f>_xlfn.XLOOKUP(B287,'Emission Factors'!$G$5:$G$26,'Emission Factors'!$H$5:$H$26)</f>
        <v/>
      </c>
      <c r="I287" s="5">
        <f>E287*G287*H287</f>
        <v/>
      </c>
      <c r="J287">
        <f>IF(ISBLANK(Holdings!H284),5,4)</f>
        <v/>
      </c>
      <c r="K287" s="10">
        <f>C287/SUM($C$5:$C$304)</f>
        <v/>
      </c>
      <c r="L287" s="7">
        <f>K287*H287</f>
        <v/>
      </c>
    </row>
    <row r="288">
      <c r="A288">
        <f>Holdings!A285</f>
        <v/>
      </c>
      <c r="B288">
        <f>Holdings!C285</f>
        <v/>
      </c>
      <c r="C288">
        <f>Holdings!F285</f>
        <v/>
      </c>
      <c r="D288">
        <f>Holdings!G285</f>
        <v/>
      </c>
      <c r="E288" s="14">
        <f>C288/D288</f>
        <v/>
      </c>
      <c r="F288">
        <f>IF(ISBLANK(Holdings!H285),"Sector proxy","Reported")</f>
        <v/>
      </c>
      <c r="G288" s="5">
        <f>IF(ISBLANK(Holdings!H285),D288*VLOOKUP(B288,Inputs!$A$15:$B$36,2,FALSE),Holdings!H285)</f>
        <v/>
      </c>
      <c r="H288" s="5">
        <f>_xlfn.XLOOKUP(B288,'Emission Factors'!$G$5:$G$26,'Emission Factors'!$H$5:$H$26)</f>
        <v/>
      </c>
      <c r="I288" s="5">
        <f>E288*G288*H288</f>
        <v/>
      </c>
      <c r="J288">
        <f>IF(ISBLANK(Holdings!H285),5,4)</f>
        <v/>
      </c>
      <c r="K288" s="10">
        <f>C288/SUM($C$5:$C$304)</f>
        <v/>
      </c>
      <c r="L288" s="7">
        <f>K288*H288</f>
        <v/>
      </c>
    </row>
    <row r="289">
      <c r="A289">
        <f>Holdings!A286</f>
        <v/>
      </c>
      <c r="B289">
        <f>Holdings!C286</f>
        <v/>
      </c>
      <c r="C289">
        <f>Holdings!F286</f>
        <v/>
      </c>
      <c r="D289">
        <f>Holdings!G286</f>
        <v/>
      </c>
      <c r="E289" s="14">
        <f>C289/D289</f>
        <v/>
      </c>
      <c r="F289">
        <f>IF(ISBLANK(Holdings!H286),"Sector proxy","Reported")</f>
        <v/>
      </c>
      <c r="G289" s="5">
        <f>IF(ISBLANK(Holdings!H286),D289*VLOOKUP(B289,Inputs!$A$15:$B$36,2,FALSE),Holdings!H286)</f>
        <v/>
      </c>
      <c r="H289" s="5">
        <f>_xlfn.XLOOKUP(B289,'Emission Factors'!$G$5:$G$26,'Emission Factors'!$H$5:$H$26)</f>
        <v/>
      </c>
      <c r="I289" s="5">
        <f>E289*G289*H289</f>
        <v/>
      </c>
      <c r="J289">
        <f>IF(ISBLANK(Holdings!H286),5,4)</f>
        <v/>
      </c>
      <c r="K289" s="10">
        <f>C289/SUM($C$5:$C$304)</f>
        <v/>
      </c>
      <c r="L289" s="7">
        <f>K289*H289</f>
        <v/>
      </c>
    </row>
    <row r="290">
      <c r="A290">
        <f>Holdings!A287</f>
        <v/>
      </c>
      <c r="B290">
        <f>Holdings!C287</f>
        <v/>
      </c>
      <c r="C290">
        <f>Holdings!F287</f>
        <v/>
      </c>
      <c r="D290">
        <f>Holdings!G287</f>
        <v/>
      </c>
      <c r="E290" s="14">
        <f>C290/D290</f>
        <v/>
      </c>
      <c r="F290">
        <f>IF(ISBLANK(Holdings!H287),"Sector proxy","Reported")</f>
        <v/>
      </c>
      <c r="G290" s="5">
        <f>IF(ISBLANK(Holdings!H287),D290*VLOOKUP(B290,Inputs!$A$15:$B$36,2,FALSE),Holdings!H287)</f>
        <v/>
      </c>
      <c r="H290" s="5">
        <f>_xlfn.XLOOKUP(B290,'Emission Factors'!$G$5:$G$26,'Emission Factors'!$H$5:$H$26)</f>
        <v/>
      </c>
      <c r="I290" s="5">
        <f>E290*G290*H290</f>
        <v/>
      </c>
      <c r="J290">
        <f>IF(ISBLANK(Holdings!H287),5,4)</f>
        <v/>
      </c>
      <c r="K290" s="10">
        <f>C290/SUM($C$5:$C$304)</f>
        <v/>
      </c>
      <c r="L290" s="7">
        <f>K290*H290</f>
        <v/>
      </c>
    </row>
    <row r="291">
      <c r="A291">
        <f>Holdings!A288</f>
        <v/>
      </c>
      <c r="B291">
        <f>Holdings!C288</f>
        <v/>
      </c>
      <c r="C291">
        <f>Holdings!F288</f>
        <v/>
      </c>
      <c r="D291">
        <f>Holdings!G288</f>
        <v/>
      </c>
      <c r="E291" s="14">
        <f>C291/D291</f>
        <v/>
      </c>
      <c r="F291">
        <f>IF(ISBLANK(Holdings!H288),"Sector proxy","Reported")</f>
        <v/>
      </c>
      <c r="G291" s="5">
        <f>IF(ISBLANK(Holdings!H288),D291*VLOOKUP(B291,Inputs!$A$15:$B$36,2,FALSE),Holdings!H288)</f>
        <v/>
      </c>
      <c r="H291" s="5">
        <f>_xlfn.XLOOKUP(B291,'Emission Factors'!$G$5:$G$26,'Emission Factors'!$H$5:$H$26)</f>
        <v/>
      </c>
      <c r="I291" s="5">
        <f>E291*G291*H291</f>
        <v/>
      </c>
      <c r="J291">
        <f>IF(ISBLANK(Holdings!H288),5,4)</f>
        <v/>
      </c>
      <c r="K291" s="10">
        <f>C291/SUM($C$5:$C$304)</f>
        <v/>
      </c>
      <c r="L291" s="7">
        <f>K291*H291</f>
        <v/>
      </c>
    </row>
    <row r="292">
      <c r="A292">
        <f>Holdings!A289</f>
        <v/>
      </c>
      <c r="B292">
        <f>Holdings!C289</f>
        <v/>
      </c>
      <c r="C292">
        <f>Holdings!F289</f>
        <v/>
      </c>
      <c r="D292">
        <f>Holdings!G289</f>
        <v/>
      </c>
      <c r="E292" s="14">
        <f>C292/D292</f>
        <v/>
      </c>
      <c r="F292">
        <f>IF(ISBLANK(Holdings!H289),"Sector proxy","Reported")</f>
        <v/>
      </c>
      <c r="G292" s="5">
        <f>IF(ISBLANK(Holdings!H289),D292*VLOOKUP(B292,Inputs!$A$15:$B$36,2,FALSE),Holdings!H289)</f>
        <v/>
      </c>
      <c r="H292" s="5">
        <f>_xlfn.XLOOKUP(B292,'Emission Factors'!$G$5:$G$26,'Emission Factors'!$H$5:$H$26)</f>
        <v/>
      </c>
      <c r="I292" s="5">
        <f>E292*G292*H292</f>
        <v/>
      </c>
      <c r="J292">
        <f>IF(ISBLANK(Holdings!H289),5,4)</f>
        <v/>
      </c>
      <c r="K292" s="10">
        <f>C292/SUM($C$5:$C$304)</f>
        <v/>
      </c>
      <c r="L292" s="7">
        <f>K292*H292</f>
        <v/>
      </c>
    </row>
    <row r="293">
      <c r="A293">
        <f>Holdings!A290</f>
        <v/>
      </c>
      <c r="B293">
        <f>Holdings!C290</f>
        <v/>
      </c>
      <c r="C293">
        <f>Holdings!F290</f>
        <v/>
      </c>
      <c r="D293">
        <f>Holdings!G290</f>
        <v/>
      </c>
      <c r="E293" s="14">
        <f>C293/D293</f>
        <v/>
      </c>
      <c r="F293">
        <f>IF(ISBLANK(Holdings!H290),"Sector proxy","Reported")</f>
        <v/>
      </c>
      <c r="G293" s="5">
        <f>IF(ISBLANK(Holdings!H290),D293*VLOOKUP(B293,Inputs!$A$15:$B$36,2,FALSE),Holdings!H290)</f>
        <v/>
      </c>
      <c r="H293" s="5">
        <f>_xlfn.XLOOKUP(B293,'Emission Factors'!$G$5:$G$26,'Emission Factors'!$H$5:$H$26)</f>
        <v/>
      </c>
      <c r="I293" s="5">
        <f>E293*G293*H293</f>
        <v/>
      </c>
      <c r="J293">
        <f>IF(ISBLANK(Holdings!H290),5,4)</f>
        <v/>
      </c>
      <c r="K293" s="10">
        <f>C293/SUM($C$5:$C$304)</f>
        <v/>
      </c>
      <c r="L293" s="7">
        <f>K293*H293</f>
        <v/>
      </c>
    </row>
    <row r="294">
      <c r="A294">
        <f>Holdings!A291</f>
        <v/>
      </c>
      <c r="B294">
        <f>Holdings!C291</f>
        <v/>
      </c>
      <c r="C294">
        <f>Holdings!F291</f>
        <v/>
      </c>
      <c r="D294">
        <f>Holdings!G291</f>
        <v/>
      </c>
      <c r="E294" s="14">
        <f>C294/D294</f>
        <v/>
      </c>
      <c r="F294">
        <f>IF(ISBLANK(Holdings!H291),"Sector proxy","Reported")</f>
        <v/>
      </c>
      <c r="G294" s="5">
        <f>IF(ISBLANK(Holdings!H291),D294*VLOOKUP(B294,Inputs!$A$15:$B$36,2,FALSE),Holdings!H291)</f>
        <v/>
      </c>
      <c r="H294" s="5">
        <f>_xlfn.XLOOKUP(B294,'Emission Factors'!$G$5:$G$26,'Emission Factors'!$H$5:$H$26)</f>
        <v/>
      </c>
      <c r="I294" s="5">
        <f>E294*G294*H294</f>
        <v/>
      </c>
      <c r="J294">
        <f>IF(ISBLANK(Holdings!H291),5,4)</f>
        <v/>
      </c>
      <c r="K294" s="10">
        <f>C294/SUM($C$5:$C$304)</f>
        <v/>
      </c>
      <c r="L294" s="7">
        <f>K294*H294</f>
        <v/>
      </c>
    </row>
    <row r="295">
      <c r="A295">
        <f>Holdings!A292</f>
        <v/>
      </c>
      <c r="B295">
        <f>Holdings!C292</f>
        <v/>
      </c>
      <c r="C295">
        <f>Holdings!F292</f>
        <v/>
      </c>
      <c r="D295">
        <f>Holdings!G292</f>
        <v/>
      </c>
      <c r="E295" s="14">
        <f>C295/D295</f>
        <v/>
      </c>
      <c r="F295">
        <f>IF(ISBLANK(Holdings!H292),"Sector proxy","Reported")</f>
        <v/>
      </c>
      <c r="G295" s="5">
        <f>IF(ISBLANK(Holdings!H292),D295*VLOOKUP(B295,Inputs!$A$15:$B$36,2,FALSE),Holdings!H292)</f>
        <v/>
      </c>
      <c r="H295" s="5">
        <f>_xlfn.XLOOKUP(B295,'Emission Factors'!$G$5:$G$26,'Emission Factors'!$H$5:$H$26)</f>
        <v/>
      </c>
      <c r="I295" s="5">
        <f>E295*G295*H295</f>
        <v/>
      </c>
      <c r="J295">
        <f>IF(ISBLANK(Holdings!H292),5,4)</f>
        <v/>
      </c>
      <c r="K295" s="10">
        <f>C295/SUM($C$5:$C$304)</f>
        <v/>
      </c>
      <c r="L295" s="7">
        <f>K295*H295</f>
        <v/>
      </c>
    </row>
    <row r="296">
      <c r="A296">
        <f>Holdings!A293</f>
        <v/>
      </c>
      <c r="B296">
        <f>Holdings!C293</f>
        <v/>
      </c>
      <c r="C296">
        <f>Holdings!F293</f>
        <v/>
      </c>
      <c r="D296">
        <f>Holdings!G293</f>
        <v/>
      </c>
      <c r="E296" s="14">
        <f>C296/D296</f>
        <v/>
      </c>
      <c r="F296">
        <f>IF(ISBLANK(Holdings!H293),"Sector proxy","Reported")</f>
        <v/>
      </c>
      <c r="G296" s="5">
        <f>IF(ISBLANK(Holdings!H293),D296*VLOOKUP(B296,Inputs!$A$15:$B$36,2,FALSE),Holdings!H293)</f>
        <v/>
      </c>
      <c r="H296" s="5">
        <f>_xlfn.XLOOKUP(B296,'Emission Factors'!$G$5:$G$26,'Emission Factors'!$H$5:$H$26)</f>
        <v/>
      </c>
      <c r="I296" s="5">
        <f>E296*G296*H296</f>
        <v/>
      </c>
      <c r="J296">
        <f>IF(ISBLANK(Holdings!H293),5,4)</f>
        <v/>
      </c>
      <c r="K296" s="10">
        <f>C296/SUM($C$5:$C$304)</f>
        <v/>
      </c>
      <c r="L296" s="7">
        <f>K296*H296</f>
        <v/>
      </c>
    </row>
    <row r="297">
      <c r="A297">
        <f>Holdings!A294</f>
        <v/>
      </c>
      <c r="B297">
        <f>Holdings!C294</f>
        <v/>
      </c>
      <c r="C297">
        <f>Holdings!F294</f>
        <v/>
      </c>
      <c r="D297">
        <f>Holdings!G294</f>
        <v/>
      </c>
      <c r="E297" s="14">
        <f>C297/D297</f>
        <v/>
      </c>
      <c r="F297">
        <f>IF(ISBLANK(Holdings!H294),"Sector proxy","Reported")</f>
        <v/>
      </c>
      <c r="G297" s="5">
        <f>IF(ISBLANK(Holdings!H294),D297*VLOOKUP(B297,Inputs!$A$15:$B$36,2,FALSE),Holdings!H294)</f>
        <v/>
      </c>
      <c r="H297" s="5">
        <f>_xlfn.XLOOKUP(B297,'Emission Factors'!$G$5:$G$26,'Emission Factors'!$H$5:$H$26)</f>
        <v/>
      </c>
      <c r="I297" s="5">
        <f>E297*G297*H297</f>
        <v/>
      </c>
      <c r="J297">
        <f>IF(ISBLANK(Holdings!H294),5,4)</f>
        <v/>
      </c>
      <c r="K297" s="10">
        <f>C297/SUM($C$5:$C$304)</f>
        <v/>
      </c>
      <c r="L297" s="7">
        <f>K297*H297</f>
        <v/>
      </c>
    </row>
    <row r="298">
      <c r="A298">
        <f>Holdings!A295</f>
        <v/>
      </c>
      <c r="B298">
        <f>Holdings!C295</f>
        <v/>
      </c>
      <c r="C298">
        <f>Holdings!F295</f>
        <v/>
      </c>
      <c r="D298">
        <f>Holdings!G295</f>
        <v/>
      </c>
      <c r="E298" s="14">
        <f>C298/D298</f>
        <v/>
      </c>
      <c r="F298">
        <f>IF(ISBLANK(Holdings!H295),"Sector proxy","Reported")</f>
        <v/>
      </c>
      <c r="G298" s="5">
        <f>IF(ISBLANK(Holdings!H295),D298*VLOOKUP(B298,Inputs!$A$15:$B$36,2,FALSE),Holdings!H295)</f>
        <v/>
      </c>
      <c r="H298" s="5">
        <f>_xlfn.XLOOKUP(B298,'Emission Factors'!$G$5:$G$26,'Emission Factors'!$H$5:$H$26)</f>
        <v/>
      </c>
      <c r="I298" s="5">
        <f>E298*G298*H298</f>
        <v/>
      </c>
      <c r="J298">
        <f>IF(ISBLANK(Holdings!H295),5,4)</f>
        <v/>
      </c>
      <c r="K298" s="10">
        <f>C298/SUM($C$5:$C$304)</f>
        <v/>
      </c>
      <c r="L298" s="7">
        <f>K298*H298</f>
        <v/>
      </c>
    </row>
    <row r="299">
      <c r="A299">
        <f>Holdings!A296</f>
        <v/>
      </c>
      <c r="B299">
        <f>Holdings!C296</f>
        <v/>
      </c>
      <c r="C299">
        <f>Holdings!F296</f>
        <v/>
      </c>
      <c r="D299">
        <f>Holdings!G296</f>
        <v/>
      </c>
      <c r="E299" s="14">
        <f>C299/D299</f>
        <v/>
      </c>
      <c r="F299">
        <f>IF(ISBLANK(Holdings!H296),"Sector proxy","Reported")</f>
        <v/>
      </c>
      <c r="G299" s="5">
        <f>IF(ISBLANK(Holdings!H296),D299*VLOOKUP(B299,Inputs!$A$15:$B$36,2,FALSE),Holdings!H296)</f>
        <v/>
      </c>
      <c r="H299" s="5">
        <f>_xlfn.XLOOKUP(B299,'Emission Factors'!$G$5:$G$26,'Emission Factors'!$H$5:$H$26)</f>
        <v/>
      </c>
      <c r="I299" s="5">
        <f>E299*G299*H299</f>
        <v/>
      </c>
      <c r="J299">
        <f>IF(ISBLANK(Holdings!H296),5,4)</f>
        <v/>
      </c>
      <c r="K299" s="10">
        <f>C299/SUM($C$5:$C$304)</f>
        <v/>
      </c>
      <c r="L299" s="7">
        <f>K299*H299</f>
        <v/>
      </c>
    </row>
    <row r="300">
      <c r="A300">
        <f>Holdings!A297</f>
        <v/>
      </c>
      <c r="B300">
        <f>Holdings!C297</f>
        <v/>
      </c>
      <c r="C300">
        <f>Holdings!F297</f>
        <v/>
      </c>
      <c r="D300">
        <f>Holdings!G297</f>
        <v/>
      </c>
      <c r="E300" s="14">
        <f>C300/D300</f>
        <v/>
      </c>
      <c r="F300">
        <f>IF(ISBLANK(Holdings!H297),"Sector proxy","Reported")</f>
        <v/>
      </c>
      <c r="G300" s="5">
        <f>IF(ISBLANK(Holdings!H297),D300*VLOOKUP(B300,Inputs!$A$15:$B$36,2,FALSE),Holdings!H297)</f>
        <v/>
      </c>
      <c r="H300" s="5">
        <f>_xlfn.XLOOKUP(B300,'Emission Factors'!$G$5:$G$26,'Emission Factors'!$H$5:$H$26)</f>
        <v/>
      </c>
      <c r="I300" s="5">
        <f>E300*G300*H300</f>
        <v/>
      </c>
      <c r="J300">
        <f>IF(ISBLANK(Holdings!H297),5,4)</f>
        <v/>
      </c>
      <c r="K300" s="10">
        <f>C300/SUM($C$5:$C$304)</f>
        <v/>
      </c>
      <c r="L300" s="7">
        <f>K300*H300</f>
        <v/>
      </c>
    </row>
    <row r="301">
      <c r="A301">
        <f>Holdings!A298</f>
        <v/>
      </c>
      <c r="B301">
        <f>Holdings!C298</f>
        <v/>
      </c>
      <c r="C301">
        <f>Holdings!F298</f>
        <v/>
      </c>
      <c r="D301">
        <f>Holdings!G298</f>
        <v/>
      </c>
      <c r="E301" s="14">
        <f>C301/D301</f>
        <v/>
      </c>
      <c r="F301">
        <f>IF(ISBLANK(Holdings!H298),"Sector proxy","Reported")</f>
        <v/>
      </c>
      <c r="G301" s="5">
        <f>IF(ISBLANK(Holdings!H298),D301*VLOOKUP(B301,Inputs!$A$15:$B$36,2,FALSE),Holdings!H298)</f>
        <v/>
      </c>
      <c r="H301" s="5">
        <f>_xlfn.XLOOKUP(B301,'Emission Factors'!$G$5:$G$26,'Emission Factors'!$H$5:$H$26)</f>
        <v/>
      </c>
      <c r="I301" s="5">
        <f>E301*G301*H301</f>
        <v/>
      </c>
      <c r="J301">
        <f>IF(ISBLANK(Holdings!H298),5,4)</f>
        <v/>
      </c>
      <c r="K301" s="10">
        <f>C301/SUM($C$5:$C$304)</f>
        <v/>
      </c>
      <c r="L301" s="7">
        <f>K301*H301</f>
        <v/>
      </c>
    </row>
    <row r="302">
      <c r="A302">
        <f>Holdings!A299</f>
        <v/>
      </c>
      <c r="B302">
        <f>Holdings!C299</f>
        <v/>
      </c>
      <c r="C302">
        <f>Holdings!F299</f>
        <v/>
      </c>
      <c r="D302">
        <f>Holdings!G299</f>
        <v/>
      </c>
      <c r="E302" s="14">
        <f>C302/D302</f>
        <v/>
      </c>
      <c r="F302">
        <f>IF(ISBLANK(Holdings!H299),"Sector proxy","Reported")</f>
        <v/>
      </c>
      <c r="G302" s="5">
        <f>IF(ISBLANK(Holdings!H299),D302*VLOOKUP(B302,Inputs!$A$15:$B$36,2,FALSE),Holdings!H299)</f>
        <v/>
      </c>
      <c r="H302" s="5">
        <f>_xlfn.XLOOKUP(B302,'Emission Factors'!$G$5:$G$26,'Emission Factors'!$H$5:$H$26)</f>
        <v/>
      </c>
      <c r="I302" s="5">
        <f>E302*G302*H302</f>
        <v/>
      </c>
      <c r="J302">
        <f>IF(ISBLANK(Holdings!H299),5,4)</f>
        <v/>
      </c>
      <c r="K302" s="10">
        <f>C302/SUM($C$5:$C$304)</f>
        <v/>
      </c>
      <c r="L302" s="7">
        <f>K302*H302</f>
        <v/>
      </c>
    </row>
    <row r="303">
      <c r="A303">
        <f>Holdings!A300</f>
        <v/>
      </c>
      <c r="B303">
        <f>Holdings!C300</f>
        <v/>
      </c>
      <c r="C303">
        <f>Holdings!F300</f>
        <v/>
      </c>
      <c r="D303">
        <f>Holdings!G300</f>
        <v/>
      </c>
      <c r="E303" s="14">
        <f>C303/D303</f>
        <v/>
      </c>
      <c r="F303">
        <f>IF(ISBLANK(Holdings!H300),"Sector proxy","Reported")</f>
        <v/>
      </c>
      <c r="G303" s="5">
        <f>IF(ISBLANK(Holdings!H300),D303*VLOOKUP(B303,Inputs!$A$15:$B$36,2,FALSE),Holdings!H300)</f>
        <v/>
      </c>
      <c r="H303" s="5">
        <f>_xlfn.XLOOKUP(B303,'Emission Factors'!$G$5:$G$26,'Emission Factors'!$H$5:$H$26)</f>
        <v/>
      </c>
      <c r="I303" s="5">
        <f>E303*G303*H303</f>
        <v/>
      </c>
      <c r="J303">
        <f>IF(ISBLANK(Holdings!H300),5,4)</f>
        <v/>
      </c>
      <c r="K303" s="10">
        <f>C303/SUM($C$5:$C$304)</f>
        <v/>
      </c>
      <c r="L303" s="7">
        <f>K303*H303</f>
        <v/>
      </c>
    </row>
    <row r="304">
      <c r="A304">
        <f>Holdings!A301</f>
        <v/>
      </c>
      <c r="B304">
        <f>Holdings!C301</f>
        <v/>
      </c>
      <c r="C304">
        <f>Holdings!F301</f>
        <v/>
      </c>
      <c r="D304">
        <f>Holdings!G301</f>
        <v/>
      </c>
      <c r="E304" s="14">
        <f>C304/D304</f>
        <v/>
      </c>
      <c r="F304">
        <f>IF(ISBLANK(Holdings!H301),"Sector proxy","Reported")</f>
        <v/>
      </c>
      <c r="G304" s="5">
        <f>IF(ISBLANK(Holdings!H301),D304*VLOOKUP(B304,Inputs!$A$15:$B$36,2,FALSE),Holdings!H301)</f>
        <v/>
      </c>
      <c r="H304" s="5">
        <f>_xlfn.XLOOKUP(B304,'Emission Factors'!$G$5:$G$26,'Emission Factors'!$H$5:$H$26)</f>
        <v/>
      </c>
      <c r="I304" s="5">
        <f>E304*G304*H304</f>
        <v/>
      </c>
      <c r="J304">
        <f>IF(ISBLANK(Holdings!H301),5,4)</f>
        <v/>
      </c>
      <c r="K304" s="10">
        <f>C304/SUM($C$5:$C$304)</f>
        <v/>
      </c>
      <c r="L304" s="7">
        <f>K304*H304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Weighted average carbon intensity (tCO2e per $M revenue)</t>
        </is>
      </c>
    </row>
    <row r="2">
      <c r="A2" s="2" t="inlineStr">
        <is>
          <t>WACI = sum over holdings of portfolio weight x issuer carbon intensity; with sector EFs the issuer intensity equals the sector EF.</t>
        </is>
      </c>
    </row>
    <row r="4">
      <c r="A4" s="8" t="inlineStr">
        <is>
          <t>Portfolio sector</t>
        </is>
      </c>
      <c r="B4" s="8" t="inlineStr">
        <is>
          <t>Portfolio weight</t>
        </is>
      </c>
      <c r="C4" s="8" t="inlineStr">
        <is>
          <t>Sector EF (t/$M)</t>
        </is>
      </c>
      <c r="D4" s="8" t="inlineStr">
        <is>
          <t>WACI contribution (t/$M)</t>
        </is>
      </c>
    </row>
    <row r="5">
      <c r="A5" t="inlineStr">
        <is>
          <t>Oil &amp; Gas Producers</t>
        </is>
      </c>
      <c r="B5" s="10">
        <f>SUMIFS('Financed Emissions'!$C$5:$C$304,'Financed Emissions'!$B$5:$B$304,A5)/SUM('Financed Emissions'!$C$5:$C$304)</f>
        <v/>
      </c>
      <c r="C5" s="4">
        <f>INDEX('Emission Factors'!$H$5:$H$26,MATCH(A5,'Emission Factors'!$G$5:$G$26,0))</f>
        <v/>
      </c>
      <c r="D5" s="4">
        <f>B5*C5</f>
        <v/>
      </c>
    </row>
    <row r="6">
      <c r="A6" t="inlineStr">
        <is>
          <t>Petroleum Refining</t>
        </is>
      </c>
      <c r="B6" s="10">
        <f>SUMIFS('Financed Emissions'!$C$5:$C$304,'Financed Emissions'!$B$5:$B$304,A6)/SUM('Financed Emissions'!$C$5:$C$304)</f>
        <v/>
      </c>
      <c r="C6" s="4">
        <f>INDEX('Emission Factors'!$H$5:$H$26,MATCH(A6,'Emission Factors'!$G$5:$G$26,0))</f>
        <v/>
      </c>
      <c r="D6" s="4">
        <f>B6*C6</f>
        <v/>
      </c>
    </row>
    <row r="7">
      <c r="A7" t="inlineStr">
        <is>
          <t>Pipelines</t>
        </is>
      </c>
      <c r="B7" s="10">
        <f>SUMIFS('Financed Emissions'!$C$5:$C$304,'Financed Emissions'!$B$5:$B$304,A7)/SUM('Financed Emissions'!$C$5:$C$304)</f>
        <v/>
      </c>
      <c r="C7" s="4">
        <f>INDEX('Emission Factors'!$H$5:$H$26,MATCH(A7,'Emission Factors'!$G$5:$G$26,0))</f>
        <v/>
      </c>
      <c r="D7" s="4">
        <f>B7*C7</f>
        <v/>
      </c>
    </row>
    <row r="8">
      <c r="A8" t="inlineStr">
        <is>
          <t>Electric Utilities</t>
        </is>
      </c>
      <c r="B8" s="10">
        <f>SUMIFS('Financed Emissions'!$C$5:$C$304,'Financed Emissions'!$B$5:$B$304,A8)/SUM('Financed Emissions'!$C$5:$C$304)</f>
        <v/>
      </c>
      <c r="C8" s="4">
        <f>INDEX('Emission Factors'!$H$5:$H$26,MATCH(A8,'Emission Factors'!$G$5:$G$26,0))</f>
        <v/>
      </c>
      <c r="D8" s="4">
        <f>B8*C8</f>
        <v/>
      </c>
    </row>
    <row r="9">
      <c r="A9" t="inlineStr">
        <is>
          <t>Gas Distribution &amp; Water</t>
        </is>
      </c>
      <c r="B9" s="10">
        <f>SUMIFS('Financed Emissions'!$C$5:$C$304,'Financed Emissions'!$B$5:$B$304,A9)/SUM('Financed Emissions'!$C$5:$C$304)</f>
        <v/>
      </c>
      <c r="C9" s="4">
        <f>INDEX('Emission Factors'!$H$5:$H$26,MATCH(A9,'Emission Factors'!$G$5:$G$26,0))</f>
        <v/>
      </c>
      <c r="D9" s="4">
        <f>B9*C9</f>
        <v/>
      </c>
    </row>
    <row r="10">
      <c r="A10" t="inlineStr">
        <is>
          <t>Mining &amp; Quarrying</t>
        </is>
      </c>
      <c r="B10" s="10">
        <f>SUMIFS('Financed Emissions'!$C$5:$C$304,'Financed Emissions'!$B$5:$B$304,A10)/SUM('Financed Emissions'!$C$5:$C$304)</f>
        <v/>
      </c>
      <c r="C10" s="4">
        <f>INDEX('Emission Factors'!$H$5:$H$26,MATCH(A10,'Emission Factors'!$G$5:$G$26,0))</f>
        <v/>
      </c>
      <c r="D10" s="4">
        <f>B10*C10</f>
        <v/>
      </c>
    </row>
    <row r="11">
      <c r="A11" t="inlineStr">
        <is>
          <t>Cement &amp; Building Materials</t>
        </is>
      </c>
      <c r="B11" s="10">
        <f>SUMIFS('Financed Emissions'!$C$5:$C$304,'Financed Emissions'!$B$5:$B$304,A11)/SUM('Financed Emissions'!$C$5:$C$304)</f>
        <v/>
      </c>
      <c r="C11" s="4">
        <f>INDEX('Emission Factors'!$H$5:$H$26,MATCH(A11,'Emission Factors'!$G$5:$G$26,0))</f>
        <v/>
      </c>
      <c r="D11" s="4">
        <f>B11*C11</f>
        <v/>
      </c>
    </row>
    <row r="12">
      <c r="A12" t="inlineStr">
        <is>
          <t>Metals &amp; Steel</t>
        </is>
      </c>
      <c r="B12" s="10">
        <f>SUMIFS('Financed Emissions'!$C$5:$C$304,'Financed Emissions'!$B$5:$B$304,A12)/SUM('Financed Emissions'!$C$5:$C$304)</f>
        <v/>
      </c>
      <c r="C12" s="4">
        <f>INDEX('Emission Factors'!$H$5:$H$26,MATCH(A12,'Emission Factors'!$G$5:$G$26,0))</f>
        <v/>
      </c>
      <c r="D12" s="4">
        <f>B12*C12</f>
        <v/>
      </c>
    </row>
    <row r="13">
      <c r="A13" t="inlineStr">
        <is>
          <t>Chemicals &amp; Plastics</t>
        </is>
      </c>
      <c r="B13" s="10">
        <f>SUMIFS('Financed Emissions'!$C$5:$C$304,'Financed Emissions'!$B$5:$B$304,A13)/SUM('Financed Emissions'!$C$5:$C$304)</f>
        <v/>
      </c>
      <c r="C13" s="4">
        <f>INDEX('Emission Factors'!$H$5:$H$26,MATCH(A13,'Emission Factors'!$G$5:$G$26,0))</f>
        <v/>
      </c>
      <c r="D13" s="4">
        <f>B13*C13</f>
        <v/>
      </c>
    </row>
    <row r="14">
      <c r="A14" t="inlineStr">
        <is>
          <t>Forest &amp; Paper Products</t>
        </is>
      </c>
      <c r="B14" s="10">
        <f>SUMIFS('Financed Emissions'!$C$5:$C$304,'Financed Emissions'!$B$5:$B$304,A14)/SUM('Financed Emissions'!$C$5:$C$304)</f>
        <v/>
      </c>
      <c r="C14" s="4">
        <f>INDEX('Emission Factors'!$H$5:$H$26,MATCH(A14,'Emission Factors'!$G$5:$G$26,0))</f>
        <v/>
      </c>
      <c r="D14" s="4">
        <f>B14*C14</f>
        <v/>
      </c>
    </row>
    <row r="15">
      <c r="A15" t="inlineStr">
        <is>
          <t>Agriculture &amp; Food</t>
        </is>
      </c>
      <c r="B15" s="10">
        <f>SUMIFS('Financed Emissions'!$C$5:$C$304,'Financed Emissions'!$B$5:$B$304,A15)/SUM('Financed Emissions'!$C$5:$C$304)</f>
        <v/>
      </c>
      <c r="C15" s="4">
        <f>INDEX('Emission Factors'!$H$5:$H$26,MATCH(A15,'Emission Factors'!$G$5:$G$26,0))</f>
        <v/>
      </c>
      <c r="D15" s="4">
        <f>B15*C15</f>
        <v/>
      </c>
    </row>
    <row r="16">
      <c r="A16" t="inlineStr">
        <is>
          <t>Airlines</t>
        </is>
      </c>
      <c r="B16" s="10">
        <f>SUMIFS('Financed Emissions'!$C$5:$C$304,'Financed Emissions'!$B$5:$B$304,A16)/SUM('Financed Emissions'!$C$5:$C$304)</f>
        <v/>
      </c>
      <c r="C16" s="4">
        <f>INDEX('Emission Factors'!$H$5:$H$26,MATCH(A16,'Emission Factors'!$G$5:$G$26,0))</f>
        <v/>
      </c>
      <c r="D16" s="4">
        <f>B16*C16</f>
        <v/>
      </c>
    </row>
    <row r="17">
      <c r="A17" t="inlineStr">
        <is>
          <t>Rail</t>
        </is>
      </c>
      <c r="B17" s="10">
        <f>SUMIFS('Financed Emissions'!$C$5:$C$304,'Financed Emissions'!$B$5:$B$304,A17)/SUM('Financed Emissions'!$C$5:$C$304)</f>
        <v/>
      </c>
      <c r="C17" s="4">
        <f>INDEX('Emission Factors'!$H$5:$H$26,MATCH(A17,'Emission Factors'!$G$5:$G$26,0))</f>
        <v/>
      </c>
      <c r="D17" s="4">
        <f>B17*C17</f>
        <v/>
      </c>
    </row>
    <row r="18">
      <c r="A18" t="inlineStr">
        <is>
          <t>Trucking, Marine &amp; Logistics</t>
        </is>
      </c>
      <c r="B18" s="10">
        <f>SUMIFS('Financed Emissions'!$C$5:$C$304,'Financed Emissions'!$B$5:$B$304,A18)/SUM('Financed Emissions'!$C$5:$C$304)</f>
        <v/>
      </c>
      <c r="C18" s="4">
        <f>INDEX('Emission Factors'!$H$5:$H$26,MATCH(A18,'Emission Factors'!$G$5:$G$26,0))</f>
        <v/>
      </c>
      <c r="D18" s="4">
        <f>B18*C18</f>
        <v/>
      </c>
    </row>
    <row r="19">
      <c r="A19" t="inlineStr">
        <is>
          <t>Construction</t>
        </is>
      </c>
      <c r="B19" s="10">
        <f>SUMIFS('Financed Emissions'!$C$5:$C$304,'Financed Emissions'!$B$5:$B$304,A19)/SUM('Financed Emissions'!$C$5:$C$304)</f>
        <v/>
      </c>
      <c r="C19" s="4">
        <f>INDEX('Emission Factors'!$H$5:$H$26,MATCH(A19,'Emission Factors'!$G$5:$G$26,0))</f>
        <v/>
      </c>
      <c r="D19" s="4">
        <f>B19*C19</f>
        <v/>
      </c>
    </row>
    <row r="20">
      <c r="A20" t="inlineStr">
        <is>
          <t>Autos &amp; Transport Equipment</t>
        </is>
      </c>
      <c r="B20" s="10">
        <f>SUMIFS('Financed Emissions'!$C$5:$C$304,'Financed Emissions'!$B$5:$B$304,A20)/SUM('Financed Emissions'!$C$5:$C$304)</f>
        <v/>
      </c>
      <c r="C20" s="4">
        <f>INDEX('Emission Factors'!$H$5:$H$26,MATCH(A20,'Emission Factors'!$G$5:$G$26,0))</f>
        <v/>
      </c>
      <c r="D20" s="4">
        <f>B20*C20</f>
        <v/>
      </c>
    </row>
    <row r="21">
      <c r="A21" t="inlineStr">
        <is>
          <t>Industrial &amp; Tech Manufacturing</t>
        </is>
      </c>
      <c r="B21" s="10">
        <f>SUMIFS('Financed Emissions'!$C$5:$C$304,'Financed Emissions'!$B$5:$B$304,A21)/SUM('Financed Emissions'!$C$5:$C$304)</f>
        <v/>
      </c>
      <c r="C21" s="4">
        <f>INDEX('Emission Factors'!$H$5:$H$26,MATCH(A21,'Emission Factors'!$G$5:$G$26,0))</f>
        <v/>
      </c>
      <c r="D21" s="4">
        <f>B21*C21</f>
        <v/>
      </c>
    </row>
    <row r="22">
      <c r="A22" t="inlineStr">
        <is>
          <t>Retail &amp; Wholesale</t>
        </is>
      </c>
      <c r="B22" s="10">
        <f>SUMIFS('Financed Emissions'!$C$5:$C$304,'Financed Emissions'!$B$5:$B$304,A22)/SUM('Financed Emissions'!$C$5:$C$304)</f>
        <v/>
      </c>
      <c r="C22" s="4">
        <f>INDEX('Emission Factors'!$H$5:$H$26,MATCH(A22,'Emission Factors'!$G$5:$G$26,0))</f>
        <v/>
      </c>
      <c r="D22" s="4">
        <f>B22*C22</f>
        <v/>
      </c>
    </row>
    <row r="23">
      <c r="A23" t="inlineStr">
        <is>
          <t>Telecom &amp; Media</t>
        </is>
      </c>
      <c r="B23" s="10">
        <f>SUMIFS('Financed Emissions'!$C$5:$C$304,'Financed Emissions'!$B$5:$B$304,A23)/SUM('Financed Emissions'!$C$5:$C$304)</f>
        <v/>
      </c>
      <c r="C23" s="4">
        <f>INDEX('Emission Factors'!$H$5:$H$26,MATCH(A23,'Emission Factors'!$G$5:$G$26,0))</f>
        <v/>
      </c>
      <c r="D23" s="4">
        <f>B23*C23</f>
        <v/>
      </c>
    </row>
    <row r="24">
      <c r="A24" t="inlineStr">
        <is>
          <t>Banks &amp; Insurance</t>
        </is>
      </c>
      <c r="B24" s="10">
        <f>SUMIFS('Financed Emissions'!$C$5:$C$304,'Financed Emissions'!$B$5:$B$304,A24)/SUM('Financed Emissions'!$C$5:$C$304)</f>
        <v/>
      </c>
      <c r="C24" s="4">
        <f>INDEX('Emission Factors'!$H$5:$H$26,MATCH(A24,'Emission Factors'!$G$5:$G$26,0))</f>
        <v/>
      </c>
      <c r="D24" s="4">
        <f>B24*C24</f>
        <v/>
      </c>
    </row>
    <row r="25">
      <c r="A25" t="inlineStr">
        <is>
          <t>Real Estate</t>
        </is>
      </c>
      <c r="B25" s="10">
        <f>SUMIFS('Financed Emissions'!$C$5:$C$304,'Financed Emissions'!$B$5:$B$304,A25)/SUM('Financed Emissions'!$C$5:$C$304)</f>
        <v/>
      </c>
      <c r="C25" s="4">
        <f>INDEX('Emission Factors'!$H$5:$H$26,MATCH(A25,'Emission Factors'!$G$5:$G$26,0))</f>
        <v/>
      </c>
      <c r="D25" s="4">
        <f>B25*C25</f>
        <v/>
      </c>
    </row>
    <row r="26">
      <c r="A26" t="inlineStr">
        <is>
          <t>Business &amp; Consumer Services</t>
        </is>
      </c>
      <c r="B26" s="10">
        <f>SUMIFS('Financed Emissions'!$C$5:$C$304,'Financed Emissions'!$B$5:$B$304,A26)/SUM('Financed Emissions'!$C$5:$C$304)</f>
        <v/>
      </c>
      <c r="C26" s="4">
        <f>INDEX('Emission Factors'!$H$5:$H$26,MATCH(A26,'Emission Factors'!$G$5:$G$26,0))</f>
        <v/>
      </c>
      <c r="D26" s="4">
        <f>B26*C26</f>
        <v/>
      </c>
    </row>
    <row r="27">
      <c r="A27" s="12" t="inlineStr">
        <is>
          <t>Total</t>
        </is>
      </c>
      <c r="B27" s="10">
        <f>SUM(B5:B26)</f>
        <v/>
      </c>
      <c r="C27" s="4" t="n"/>
      <c r="D27" s="4">
        <f>SUM(D5:D26)</f>
        <v/>
      </c>
    </row>
    <row r="29">
      <c r="A29" s="12" t="inlineStr">
        <is>
          <t>WACI, sector roll-up (t/$M revenue)</t>
        </is>
      </c>
      <c r="B29" s="4">
        <f>SUMPRODUCT(B5:B26,C5:C26)</f>
        <v/>
      </c>
    </row>
    <row r="30">
      <c r="A30" s="12" t="inlineStr">
        <is>
          <t>WACI, holding level (t/$M revenue)</t>
        </is>
      </c>
      <c r="B30" s="4">
        <f>SUM('Financed Emissions'!$L$5:$L$304)</f>
        <v/>
      </c>
    </row>
    <row r="31">
      <c r="A31" s="12" t="inlineStr">
        <is>
          <t>Carbon footprint (tCO2e per $M invested)</t>
        </is>
      </c>
      <c r="B31" s="4">
        <f>'Financed Emissions'!Q27/'Financed Emissions'!P27</f>
        <v/>
      </c>
    </row>
    <row r="32">
      <c r="A32" s="12" t="inlineStr">
        <is>
          <t>Total financed emissions (tCO2e)</t>
        </is>
      </c>
      <c r="B32" s="4">
        <f>'Financed Emissions'!Q27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Peer benchmark: portfolio vs economy-weighted benchmark</t>
        </is>
      </c>
    </row>
    <row r="2">
      <c r="A2" s="2" t="inlineStr">
        <is>
          <t>Benchmark weights = each sector's share of Canadian gross output in the reporting year (StatCan 36-10-0488-01).</t>
        </is>
      </c>
    </row>
    <row r="4">
      <c r="A4" s="8" t="inlineStr">
        <is>
          <t>Portfolio sector</t>
        </is>
      </c>
      <c r="B4" s="8" t="inlineStr">
        <is>
          <t>Portfolio weight</t>
        </is>
      </c>
      <c r="C4" s="8" t="inlineStr">
        <is>
          <t>Benchmark weight</t>
        </is>
      </c>
      <c r="D4" s="8" t="inlineStr">
        <is>
          <t>Sector EF (t/$M)</t>
        </is>
      </c>
      <c r="E4" s="8" t="inlineStr">
        <is>
          <t>Portfolio WACI contribution</t>
        </is>
      </c>
      <c r="F4" s="8" t="inlineStr">
        <is>
          <t>Benchmark WACI contribution</t>
        </is>
      </c>
      <c r="G4" s="8" t="inlineStr">
        <is>
          <t>Active weight</t>
        </is>
      </c>
      <c r="H4" s="8" t="inlineStr">
        <is>
          <t>Contribution difference</t>
        </is>
      </c>
      <c r="I4" s="8" t="inlineStr">
        <is>
          <t>Allocation effect</t>
        </is>
      </c>
    </row>
    <row r="5">
      <c r="A5" t="inlineStr">
        <is>
          <t>Oil &amp; Gas Producers</t>
        </is>
      </c>
      <c r="B5" s="10">
        <f>WACI!B5</f>
        <v/>
      </c>
      <c r="C5" s="10">
        <f>VLOOKUP(A5,'Emission Factors'!$G$5:$I$26,3,FALSE)/SUM('Emission Factors'!$I$5:$I$26)</f>
        <v/>
      </c>
      <c r="D5" s="4">
        <f>WACI!C5</f>
        <v/>
      </c>
      <c r="E5" s="4">
        <f>B5*D5</f>
        <v/>
      </c>
      <c r="F5" s="4">
        <f>C5*D5</f>
        <v/>
      </c>
      <c r="G5" s="10">
        <f>B5-C5</f>
        <v/>
      </c>
      <c r="H5" s="4">
        <f>E5-F5</f>
        <v/>
      </c>
      <c r="I5" s="4">
        <f>G5*(D5-$B$30)</f>
        <v/>
      </c>
    </row>
    <row r="6">
      <c r="A6" t="inlineStr">
        <is>
          <t>Petroleum Refining</t>
        </is>
      </c>
      <c r="B6" s="10">
        <f>WACI!B6</f>
        <v/>
      </c>
      <c r="C6" s="10">
        <f>VLOOKUP(A6,'Emission Factors'!$G$5:$I$26,3,FALSE)/SUM('Emission Factors'!$I$5:$I$26)</f>
        <v/>
      </c>
      <c r="D6" s="4">
        <f>WACI!C6</f>
        <v/>
      </c>
      <c r="E6" s="4">
        <f>B6*D6</f>
        <v/>
      </c>
      <c r="F6" s="4">
        <f>C6*D6</f>
        <v/>
      </c>
      <c r="G6" s="10">
        <f>B6-C6</f>
        <v/>
      </c>
      <c r="H6" s="4">
        <f>E6-F6</f>
        <v/>
      </c>
      <c r="I6" s="4">
        <f>G6*(D6-$B$30)</f>
        <v/>
      </c>
    </row>
    <row r="7">
      <c r="A7" t="inlineStr">
        <is>
          <t>Pipelines</t>
        </is>
      </c>
      <c r="B7" s="10">
        <f>WACI!B7</f>
        <v/>
      </c>
      <c r="C7" s="10">
        <f>VLOOKUP(A7,'Emission Factors'!$G$5:$I$26,3,FALSE)/SUM('Emission Factors'!$I$5:$I$26)</f>
        <v/>
      </c>
      <c r="D7" s="4">
        <f>WACI!C7</f>
        <v/>
      </c>
      <c r="E7" s="4">
        <f>B7*D7</f>
        <v/>
      </c>
      <c r="F7" s="4">
        <f>C7*D7</f>
        <v/>
      </c>
      <c r="G7" s="10">
        <f>B7-C7</f>
        <v/>
      </c>
      <c r="H7" s="4">
        <f>E7-F7</f>
        <v/>
      </c>
      <c r="I7" s="4">
        <f>G7*(D7-$B$30)</f>
        <v/>
      </c>
    </row>
    <row r="8">
      <c r="A8" t="inlineStr">
        <is>
          <t>Electric Utilities</t>
        </is>
      </c>
      <c r="B8" s="10">
        <f>WACI!B8</f>
        <v/>
      </c>
      <c r="C8" s="10">
        <f>VLOOKUP(A8,'Emission Factors'!$G$5:$I$26,3,FALSE)/SUM('Emission Factors'!$I$5:$I$26)</f>
        <v/>
      </c>
      <c r="D8" s="4">
        <f>WACI!C8</f>
        <v/>
      </c>
      <c r="E8" s="4">
        <f>B8*D8</f>
        <v/>
      </c>
      <c r="F8" s="4">
        <f>C8*D8</f>
        <v/>
      </c>
      <c r="G8" s="10">
        <f>B8-C8</f>
        <v/>
      </c>
      <c r="H8" s="4">
        <f>E8-F8</f>
        <v/>
      </c>
      <c r="I8" s="4">
        <f>G8*(D8-$B$30)</f>
        <v/>
      </c>
    </row>
    <row r="9">
      <c r="A9" t="inlineStr">
        <is>
          <t>Gas Distribution &amp; Water</t>
        </is>
      </c>
      <c r="B9" s="10">
        <f>WACI!B9</f>
        <v/>
      </c>
      <c r="C9" s="10">
        <f>VLOOKUP(A9,'Emission Factors'!$G$5:$I$26,3,FALSE)/SUM('Emission Factors'!$I$5:$I$26)</f>
        <v/>
      </c>
      <c r="D9" s="4">
        <f>WACI!C9</f>
        <v/>
      </c>
      <c r="E9" s="4">
        <f>B9*D9</f>
        <v/>
      </c>
      <c r="F9" s="4">
        <f>C9*D9</f>
        <v/>
      </c>
      <c r="G9" s="10">
        <f>B9-C9</f>
        <v/>
      </c>
      <c r="H9" s="4">
        <f>E9-F9</f>
        <v/>
      </c>
      <c r="I9" s="4">
        <f>G9*(D9-$B$30)</f>
        <v/>
      </c>
    </row>
    <row r="10">
      <c r="A10" t="inlineStr">
        <is>
          <t>Mining &amp; Quarrying</t>
        </is>
      </c>
      <c r="B10" s="10">
        <f>WACI!B10</f>
        <v/>
      </c>
      <c r="C10" s="10">
        <f>VLOOKUP(A10,'Emission Factors'!$G$5:$I$26,3,FALSE)/SUM('Emission Factors'!$I$5:$I$26)</f>
        <v/>
      </c>
      <c r="D10" s="4">
        <f>WACI!C10</f>
        <v/>
      </c>
      <c r="E10" s="4">
        <f>B10*D10</f>
        <v/>
      </c>
      <c r="F10" s="4">
        <f>C10*D10</f>
        <v/>
      </c>
      <c r="G10" s="10">
        <f>B10-C10</f>
        <v/>
      </c>
      <c r="H10" s="4">
        <f>E10-F10</f>
        <v/>
      </c>
      <c r="I10" s="4">
        <f>G10*(D10-$B$30)</f>
        <v/>
      </c>
    </row>
    <row r="11">
      <c r="A11" t="inlineStr">
        <is>
          <t>Cement &amp; Building Materials</t>
        </is>
      </c>
      <c r="B11" s="10">
        <f>WACI!B11</f>
        <v/>
      </c>
      <c r="C11" s="10">
        <f>VLOOKUP(A11,'Emission Factors'!$G$5:$I$26,3,FALSE)/SUM('Emission Factors'!$I$5:$I$26)</f>
        <v/>
      </c>
      <c r="D11" s="4">
        <f>WACI!C11</f>
        <v/>
      </c>
      <c r="E11" s="4">
        <f>B11*D11</f>
        <v/>
      </c>
      <c r="F11" s="4">
        <f>C11*D11</f>
        <v/>
      </c>
      <c r="G11" s="10">
        <f>B11-C11</f>
        <v/>
      </c>
      <c r="H11" s="4">
        <f>E11-F11</f>
        <v/>
      </c>
      <c r="I11" s="4">
        <f>G11*(D11-$B$30)</f>
        <v/>
      </c>
    </row>
    <row r="12">
      <c r="A12" t="inlineStr">
        <is>
          <t>Metals &amp; Steel</t>
        </is>
      </c>
      <c r="B12" s="10">
        <f>WACI!B12</f>
        <v/>
      </c>
      <c r="C12" s="10">
        <f>VLOOKUP(A12,'Emission Factors'!$G$5:$I$26,3,FALSE)/SUM('Emission Factors'!$I$5:$I$26)</f>
        <v/>
      </c>
      <c r="D12" s="4">
        <f>WACI!C12</f>
        <v/>
      </c>
      <c r="E12" s="4">
        <f>B12*D12</f>
        <v/>
      </c>
      <c r="F12" s="4">
        <f>C12*D12</f>
        <v/>
      </c>
      <c r="G12" s="10">
        <f>B12-C12</f>
        <v/>
      </c>
      <c r="H12" s="4">
        <f>E12-F12</f>
        <v/>
      </c>
      <c r="I12" s="4">
        <f>G12*(D12-$B$30)</f>
        <v/>
      </c>
    </row>
    <row r="13">
      <c r="A13" t="inlineStr">
        <is>
          <t>Chemicals &amp; Plastics</t>
        </is>
      </c>
      <c r="B13" s="10">
        <f>WACI!B13</f>
        <v/>
      </c>
      <c r="C13" s="10">
        <f>VLOOKUP(A13,'Emission Factors'!$G$5:$I$26,3,FALSE)/SUM('Emission Factors'!$I$5:$I$26)</f>
        <v/>
      </c>
      <c r="D13" s="4">
        <f>WACI!C13</f>
        <v/>
      </c>
      <c r="E13" s="4">
        <f>B13*D13</f>
        <v/>
      </c>
      <c r="F13" s="4">
        <f>C13*D13</f>
        <v/>
      </c>
      <c r="G13" s="10">
        <f>B13-C13</f>
        <v/>
      </c>
      <c r="H13" s="4">
        <f>E13-F13</f>
        <v/>
      </c>
      <c r="I13" s="4">
        <f>G13*(D13-$B$30)</f>
        <v/>
      </c>
    </row>
    <row r="14">
      <c r="A14" t="inlineStr">
        <is>
          <t>Forest &amp; Paper Products</t>
        </is>
      </c>
      <c r="B14" s="10">
        <f>WACI!B14</f>
        <v/>
      </c>
      <c r="C14" s="10">
        <f>VLOOKUP(A14,'Emission Factors'!$G$5:$I$26,3,FALSE)/SUM('Emission Factors'!$I$5:$I$26)</f>
        <v/>
      </c>
      <c r="D14" s="4">
        <f>WACI!C14</f>
        <v/>
      </c>
      <c r="E14" s="4">
        <f>B14*D14</f>
        <v/>
      </c>
      <c r="F14" s="4">
        <f>C14*D14</f>
        <v/>
      </c>
      <c r="G14" s="10">
        <f>B14-C14</f>
        <v/>
      </c>
      <c r="H14" s="4">
        <f>E14-F14</f>
        <v/>
      </c>
      <c r="I14" s="4">
        <f>G14*(D14-$B$30)</f>
        <v/>
      </c>
    </row>
    <row r="15">
      <c r="A15" t="inlineStr">
        <is>
          <t>Agriculture &amp; Food</t>
        </is>
      </c>
      <c r="B15" s="10">
        <f>WACI!B15</f>
        <v/>
      </c>
      <c r="C15" s="10">
        <f>VLOOKUP(A15,'Emission Factors'!$G$5:$I$26,3,FALSE)/SUM('Emission Factors'!$I$5:$I$26)</f>
        <v/>
      </c>
      <c r="D15" s="4">
        <f>WACI!C15</f>
        <v/>
      </c>
      <c r="E15" s="4">
        <f>B15*D15</f>
        <v/>
      </c>
      <c r="F15" s="4">
        <f>C15*D15</f>
        <v/>
      </c>
      <c r="G15" s="10">
        <f>B15-C15</f>
        <v/>
      </c>
      <c r="H15" s="4">
        <f>E15-F15</f>
        <v/>
      </c>
      <c r="I15" s="4">
        <f>G15*(D15-$B$30)</f>
        <v/>
      </c>
    </row>
    <row r="16">
      <c r="A16" t="inlineStr">
        <is>
          <t>Airlines</t>
        </is>
      </c>
      <c r="B16" s="10">
        <f>WACI!B16</f>
        <v/>
      </c>
      <c r="C16" s="10">
        <f>VLOOKUP(A16,'Emission Factors'!$G$5:$I$26,3,FALSE)/SUM('Emission Factors'!$I$5:$I$26)</f>
        <v/>
      </c>
      <c r="D16" s="4">
        <f>WACI!C16</f>
        <v/>
      </c>
      <c r="E16" s="4">
        <f>B16*D16</f>
        <v/>
      </c>
      <c r="F16" s="4">
        <f>C16*D16</f>
        <v/>
      </c>
      <c r="G16" s="10">
        <f>B16-C16</f>
        <v/>
      </c>
      <c r="H16" s="4">
        <f>E16-F16</f>
        <v/>
      </c>
      <c r="I16" s="4">
        <f>G16*(D16-$B$30)</f>
        <v/>
      </c>
    </row>
    <row r="17">
      <c r="A17" t="inlineStr">
        <is>
          <t>Rail</t>
        </is>
      </c>
      <c r="B17" s="10">
        <f>WACI!B17</f>
        <v/>
      </c>
      <c r="C17" s="10">
        <f>VLOOKUP(A17,'Emission Factors'!$G$5:$I$26,3,FALSE)/SUM('Emission Factors'!$I$5:$I$26)</f>
        <v/>
      </c>
      <c r="D17" s="4">
        <f>WACI!C17</f>
        <v/>
      </c>
      <c r="E17" s="4">
        <f>B17*D17</f>
        <v/>
      </c>
      <c r="F17" s="4">
        <f>C17*D17</f>
        <v/>
      </c>
      <c r="G17" s="10">
        <f>B17-C17</f>
        <v/>
      </c>
      <c r="H17" s="4">
        <f>E17-F17</f>
        <v/>
      </c>
      <c r="I17" s="4">
        <f>G17*(D17-$B$30)</f>
        <v/>
      </c>
    </row>
    <row r="18">
      <c r="A18" t="inlineStr">
        <is>
          <t>Trucking, Marine &amp; Logistics</t>
        </is>
      </c>
      <c r="B18" s="10">
        <f>WACI!B18</f>
        <v/>
      </c>
      <c r="C18" s="10">
        <f>VLOOKUP(A18,'Emission Factors'!$G$5:$I$26,3,FALSE)/SUM('Emission Factors'!$I$5:$I$26)</f>
        <v/>
      </c>
      <c r="D18" s="4">
        <f>WACI!C18</f>
        <v/>
      </c>
      <c r="E18" s="4">
        <f>B18*D18</f>
        <v/>
      </c>
      <c r="F18" s="4">
        <f>C18*D18</f>
        <v/>
      </c>
      <c r="G18" s="10">
        <f>B18-C18</f>
        <v/>
      </c>
      <c r="H18" s="4">
        <f>E18-F18</f>
        <v/>
      </c>
      <c r="I18" s="4">
        <f>G18*(D18-$B$30)</f>
        <v/>
      </c>
    </row>
    <row r="19">
      <c r="A19" t="inlineStr">
        <is>
          <t>Construction</t>
        </is>
      </c>
      <c r="B19" s="10">
        <f>WACI!B19</f>
        <v/>
      </c>
      <c r="C19" s="10">
        <f>VLOOKUP(A19,'Emission Factors'!$G$5:$I$26,3,FALSE)/SUM('Emission Factors'!$I$5:$I$26)</f>
        <v/>
      </c>
      <c r="D19" s="4">
        <f>WACI!C19</f>
        <v/>
      </c>
      <c r="E19" s="4">
        <f>B19*D19</f>
        <v/>
      </c>
      <c r="F19" s="4">
        <f>C19*D19</f>
        <v/>
      </c>
      <c r="G19" s="10">
        <f>B19-C19</f>
        <v/>
      </c>
      <c r="H19" s="4">
        <f>E19-F19</f>
        <v/>
      </c>
      <c r="I19" s="4">
        <f>G19*(D19-$B$30)</f>
        <v/>
      </c>
    </row>
    <row r="20">
      <c r="A20" t="inlineStr">
        <is>
          <t>Autos &amp; Transport Equipment</t>
        </is>
      </c>
      <c r="B20" s="10">
        <f>WACI!B20</f>
        <v/>
      </c>
      <c r="C20" s="10">
        <f>VLOOKUP(A20,'Emission Factors'!$G$5:$I$26,3,FALSE)/SUM('Emission Factors'!$I$5:$I$26)</f>
        <v/>
      </c>
      <c r="D20" s="4">
        <f>WACI!C20</f>
        <v/>
      </c>
      <c r="E20" s="4">
        <f>B20*D20</f>
        <v/>
      </c>
      <c r="F20" s="4">
        <f>C20*D20</f>
        <v/>
      </c>
      <c r="G20" s="10">
        <f>B20-C20</f>
        <v/>
      </c>
      <c r="H20" s="4">
        <f>E20-F20</f>
        <v/>
      </c>
      <c r="I20" s="4">
        <f>G20*(D20-$B$30)</f>
        <v/>
      </c>
    </row>
    <row r="21">
      <c r="A21" t="inlineStr">
        <is>
          <t>Industrial &amp; Tech Manufacturing</t>
        </is>
      </c>
      <c r="B21" s="10">
        <f>WACI!B21</f>
        <v/>
      </c>
      <c r="C21" s="10">
        <f>VLOOKUP(A21,'Emission Factors'!$G$5:$I$26,3,FALSE)/SUM('Emission Factors'!$I$5:$I$26)</f>
        <v/>
      </c>
      <c r="D21" s="4">
        <f>WACI!C21</f>
        <v/>
      </c>
      <c r="E21" s="4">
        <f>B21*D21</f>
        <v/>
      </c>
      <c r="F21" s="4">
        <f>C21*D21</f>
        <v/>
      </c>
      <c r="G21" s="10">
        <f>B21-C21</f>
        <v/>
      </c>
      <c r="H21" s="4">
        <f>E21-F21</f>
        <v/>
      </c>
      <c r="I21" s="4">
        <f>G21*(D21-$B$30)</f>
        <v/>
      </c>
    </row>
    <row r="22">
      <c r="A22" t="inlineStr">
        <is>
          <t>Retail &amp; Wholesale</t>
        </is>
      </c>
      <c r="B22" s="10">
        <f>WACI!B22</f>
        <v/>
      </c>
      <c r="C22" s="10">
        <f>VLOOKUP(A22,'Emission Factors'!$G$5:$I$26,3,FALSE)/SUM('Emission Factors'!$I$5:$I$26)</f>
        <v/>
      </c>
      <c r="D22" s="4">
        <f>WACI!C22</f>
        <v/>
      </c>
      <c r="E22" s="4">
        <f>B22*D22</f>
        <v/>
      </c>
      <c r="F22" s="4">
        <f>C22*D22</f>
        <v/>
      </c>
      <c r="G22" s="10">
        <f>B22-C22</f>
        <v/>
      </c>
      <c r="H22" s="4">
        <f>E22-F22</f>
        <v/>
      </c>
      <c r="I22" s="4">
        <f>G22*(D22-$B$30)</f>
        <v/>
      </c>
    </row>
    <row r="23">
      <c r="A23" t="inlineStr">
        <is>
          <t>Telecom &amp; Media</t>
        </is>
      </c>
      <c r="B23" s="10">
        <f>WACI!B23</f>
        <v/>
      </c>
      <c r="C23" s="10">
        <f>VLOOKUP(A23,'Emission Factors'!$G$5:$I$26,3,FALSE)/SUM('Emission Factors'!$I$5:$I$26)</f>
        <v/>
      </c>
      <c r="D23" s="4">
        <f>WACI!C23</f>
        <v/>
      </c>
      <c r="E23" s="4">
        <f>B23*D23</f>
        <v/>
      </c>
      <c r="F23" s="4">
        <f>C23*D23</f>
        <v/>
      </c>
      <c r="G23" s="10">
        <f>B23-C23</f>
        <v/>
      </c>
      <c r="H23" s="4">
        <f>E23-F23</f>
        <v/>
      </c>
      <c r="I23" s="4">
        <f>G23*(D23-$B$30)</f>
        <v/>
      </c>
    </row>
    <row r="24">
      <c r="A24" t="inlineStr">
        <is>
          <t>Banks &amp; Insurance</t>
        </is>
      </c>
      <c r="B24" s="10">
        <f>WACI!B24</f>
        <v/>
      </c>
      <c r="C24" s="10">
        <f>VLOOKUP(A24,'Emission Factors'!$G$5:$I$26,3,FALSE)/SUM('Emission Factors'!$I$5:$I$26)</f>
        <v/>
      </c>
      <c r="D24" s="4">
        <f>WACI!C24</f>
        <v/>
      </c>
      <c r="E24" s="4">
        <f>B24*D24</f>
        <v/>
      </c>
      <c r="F24" s="4">
        <f>C24*D24</f>
        <v/>
      </c>
      <c r="G24" s="10">
        <f>B24-C24</f>
        <v/>
      </c>
      <c r="H24" s="4">
        <f>E24-F24</f>
        <v/>
      </c>
      <c r="I24" s="4">
        <f>G24*(D24-$B$30)</f>
        <v/>
      </c>
    </row>
    <row r="25">
      <c r="A25" t="inlineStr">
        <is>
          <t>Real Estate</t>
        </is>
      </c>
      <c r="B25" s="10">
        <f>WACI!B25</f>
        <v/>
      </c>
      <c r="C25" s="10">
        <f>VLOOKUP(A25,'Emission Factors'!$G$5:$I$26,3,FALSE)/SUM('Emission Factors'!$I$5:$I$26)</f>
        <v/>
      </c>
      <c r="D25" s="4">
        <f>WACI!C25</f>
        <v/>
      </c>
      <c r="E25" s="4">
        <f>B25*D25</f>
        <v/>
      </c>
      <c r="F25" s="4">
        <f>C25*D25</f>
        <v/>
      </c>
      <c r="G25" s="10">
        <f>B25-C25</f>
        <v/>
      </c>
      <c r="H25" s="4">
        <f>E25-F25</f>
        <v/>
      </c>
      <c r="I25" s="4">
        <f>G25*(D25-$B$30)</f>
        <v/>
      </c>
    </row>
    <row r="26">
      <c r="A26" t="inlineStr">
        <is>
          <t>Business &amp; Consumer Services</t>
        </is>
      </c>
      <c r="B26" s="10">
        <f>WACI!B26</f>
        <v/>
      </c>
      <c r="C26" s="10">
        <f>VLOOKUP(A26,'Emission Factors'!$G$5:$I$26,3,FALSE)/SUM('Emission Factors'!$I$5:$I$26)</f>
        <v/>
      </c>
      <c r="D26" s="4">
        <f>WACI!C26</f>
        <v/>
      </c>
      <c r="E26" s="4">
        <f>B26*D26</f>
        <v/>
      </c>
      <c r="F26" s="4">
        <f>C26*D26</f>
        <v/>
      </c>
      <c r="G26" s="10">
        <f>B26-C26</f>
        <v/>
      </c>
      <c r="H26" s="4">
        <f>E26-F26</f>
        <v/>
      </c>
      <c r="I26" s="4">
        <f>G26*(D26-$B$30)</f>
        <v/>
      </c>
    </row>
    <row r="27">
      <c r="A27" s="12" t="inlineStr">
        <is>
          <t>Total</t>
        </is>
      </c>
      <c r="B27" s="10">
        <f>SUM(B5:B26)</f>
        <v/>
      </c>
      <c r="C27" s="10">
        <f>SUM(C5:C26)</f>
        <v/>
      </c>
      <c r="D27" s="4" t="n"/>
      <c r="E27" s="4">
        <f>SUM(E5:E26)</f>
        <v/>
      </c>
      <c r="F27" s="4">
        <f>SUM(F5:F26)</f>
        <v/>
      </c>
      <c r="G27" s="10">
        <f>SUM(G5:G26)</f>
        <v/>
      </c>
      <c r="H27" s="4">
        <f>SUM(H5:H26)</f>
        <v/>
      </c>
      <c r="I27" s="4">
        <f>SUM(I5:I26)</f>
        <v/>
      </c>
    </row>
    <row r="29">
      <c r="A29" s="12" t="inlineStr">
        <is>
          <t>Portfolio WACI (t/$M revenue)</t>
        </is>
      </c>
      <c r="B29" s="4">
        <f>SUM(E5:E26)</f>
        <v/>
      </c>
    </row>
    <row r="30">
      <c r="A30" s="12" t="inlineStr">
        <is>
          <t>Benchmark WACI (t/$M revenue)</t>
        </is>
      </c>
      <c r="B30" s="4">
        <f>SUM(F5:F26)</f>
        <v/>
      </c>
    </row>
    <row r="31">
      <c r="A31" s="12" t="inlineStr">
        <is>
          <t>Portfolio vs benchmark</t>
        </is>
      </c>
      <c r="B31" s="6">
        <f>B29/B30-1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Transition-risk stress: carbon cost on financed emissions</t>
        </is>
      </c>
    </row>
    <row r="2">
      <c r="A2" s="2" t="inlineStr">
        <is>
          <t>Cost = financed emissions x carbon price x (1 - free allocation share). Emissions held at the reporting-year level (a static balance sheet, not a forecast). Edit prices on the Inputs tab.</t>
        </is>
      </c>
    </row>
    <row r="4">
      <c r="A4" s="15" t="inlineStr">
        <is>
          <t>Effective price ($/t after free allocation)</t>
        </is>
      </c>
      <c r="B4" s="15">
        <f>Inputs!B8</f>
        <v/>
      </c>
      <c r="C4" s="15">
        <f>Inputs!C8</f>
        <v/>
      </c>
      <c r="D4" s="15">
        <f>Inputs!D8</f>
        <v/>
      </c>
      <c r="E4" s="15">
        <f>Inputs!E8</f>
        <v/>
      </c>
      <c r="F4" s="15">
        <f>Inputs!F8</f>
        <v/>
      </c>
      <c r="G4" s="15">
        <f>Inputs!G8</f>
        <v/>
      </c>
      <c r="H4" s="15">
        <f>Inputs!H8</f>
        <v/>
      </c>
      <c r="I4" s="12" t="inlineStr">
        <is>
          <t>Free allocation share</t>
        </is>
      </c>
    </row>
    <row r="5">
      <c r="A5">
        <f>Inputs!A9</f>
        <v/>
      </c>
      <c r="B5" s="4">
        <f>Inputs!B9*(1-Inputs!$I$9)</f>
        <v/>
      </c>
      <c r="C5" s="4">
        <f>Inputs!C9*(1-Inputs!$I$9)</f>
        <v/>
      </c>
      <c r="D5" s="4">
        <f>Inputs!D9*(1-Inputs!$I$9)</f>
        <v/>
      </c>
      <c r="E5" s="4">
        <f>Inputs!E9*(1-Inputs!$I$9)</f>
        <v/>
      </c>
      <c r="F5" s="4">
        <f>Inputs!F9*(1-Inputs!$I$9)</f>
        <v/>
      </c>
      <c r="G5" s="4">
        <f>Inputs!G9*(1-Inputs!$I$9)</f>
        <v/>
      </c>
      <c r="H5" s="4">
        <f>Inputs!H9*(1-Inputs!$I$9)</f>
        <v/>
      </c>
      <c r="I5" s="16">
        <f>Inputs!I9</f>
        <v/>
      </c>
    </row>
    <row r="6">
      <c r="A6">
        <f>Inputs!A10</f>
        <v/>
      </c>
      <c r="B6" s="4">
        <f>Inputs!B10*(1-Inputs!$I$10)</f>
        <v/>
      </c>
      <c r="C6" s="4">
        <f>Inputs!C10*(1-Inputs!$I$10)</f>
        <v/>
      </c>
      <c r="D6" s="4">
        <f>Inputs!D10*(1-Inputs!$I$10)</f>
        <v/>
      </c>
      <c r="E6" s="4">
        <f>Inputs!E10*(1-Inputs!$I$10)</f>
        <v/>
      </c>
      <c r="F6" s="4">
        <f>Inputs!F10*(1-Inputs!$I$10)</f>
        <v/>
      </c>
      <c r="G6" s="4">
        <f>Inputs!G10*(1-Inputs!$I$10)</f>
        <v/>
      </c>
      <c r="H6" s="4">
        <f>Inputs!H10*(1-Inputs!$I$10)</f>
        <v/>
      </c>
      <c r="I6" s="16">
        <f>Inputs!I10</f>
        <v/>
      </c>
    </row>
    <row r="7">
      <c r="A7">
        <f>Inputs!A11</f>
        <v/>
      </c>
      <c r="B7" s="4">
        <f>Inputs!B11*(1-Inputs!$I$11)</f>
        <v/>
      </c>
      <c r="C7" s="4">
        <f>Inputs!C11*(1-Inputs!$I$11)</f>
        <v/>
      </c>
      <c r="D7" s="4">
        <f>Inputs!D11*(1-Inputs!$I$11)</f>
        <v/>
      </c>
      <c r="E7" s="4">
        <f>Inputs!E11*(1-Inputs!$I$11)</f>
        <v/>
      </c>
      <c r="F7" s="4">
        <f>Inputs!F11*(1-Inputs!$I$11)</f>
        <v/>
      </c>
      <c r="G7" s="4">
        <f>Inputs!G11*(1-Inputs!$I$11)</f>
        <v/>
      </c>
      <c r="H7" s="4">
        <f>Inputs!H11*(1-Inputs!$I$11)</f>
        <v/>
      </c>
      <c r="I7" s="16">
        <f>Inputs!I11</f>
        <v/>
      </c>
    </row>
    <row r="10">
      <c r="A10" s="15" t="inlineStr">
        <is>
          <t>Carbon cost ($M CAD)</t>
        </is>
      </c>
      <c r="B10" s="15">
        <f>Inputs!B8</f>
        <v/>
      </c>
      <c r="C10" s="15">
        <f>Inputs!C8</f>
        <v/>
      </c>
      <c r="D10" s="15">
        <f>Inputs!D8</f>
        <v/>
      </c>
      <c r="E10" s="15">
        <f>Inputs!E8</f>
        <v/>
      </c>
      <c r="F10" s="15">
        <f>Inputs!F8</f>
        <v/>
      </c>
      <c r="G10" s="15">
        <f>Inputs!G8</f>
        <v/>
      </c>
      <c r="H10" s="15">
        <f>Inputs!H8</f>
        <v/>
      </c>
    </row>
    <row r="11">
      <c r="A11">
        <f>Inputs!A9</f>
        <v/>
      </c>
      <c r="B11" s="9">
        <f>'Financed Emissions'!$Q$27*B5/1000000</f>
        <v/>
      </c>
      <c r="C11" s="9">
        <f>'Financed Emissions'!$Q$27*C5/1000000</f>
        <v/>
      </c>
      <c r="D11" s="9">
        <f>'Financed Emissions'!$Q$27*D5/1000000</f>
        <v/>
      </c>
      <c r="E11" s="9">
        <f>'Financed Emissions'!$Q$27*E5/1000000</f>
        <v/>
      </c>
      <c r="F11" s="9">
        <f>'Financed Emissions'!$Q$27*F5/1000000</f>
        <v/>
      </c>
      <c r="G11" s="9">
        <f>'Financed Emissions'!$Q$27*G5/1000000</f>
        <v/>
      </c>
      <c r="H11" s="9">
        <f>'Financed Emissions'!$Q$27*H5/1000000</f>
        <v/>
      </c>
    </row>
    <row r="12">
      <c r="A12">
        <f>Inputs!A10</f>
        <v/>
      </c>
      <c r="B12" s="9">
        <f>'Financed Emissions'!$Q$27*B6/1000000</f>
        <v/>
      </c>
      <c r="C12" s="9">
        <f>'Financed Emissions'!$Q$27*C6/1000000</f>
        <v/>
      </c>
      <c r="D12" s="9">
        <f>'Financed Emissions'!$Q$27*D6/1000000</f>
        <v/>
      </c>
      <c r="E12" s="9">
        <f>'Financed Emissions'!$Q$27*E6/1000000</f>
        <v/>
      </c>
      <c r="F12" s="9">
        <f>'Financed Emissions'!$Q$27*F6/1000000</f>
        <v/>
      </c>
      <c r="G12" s="9">
        <f>'Financed Emissions'!$Q$27*G6/1000000</f>
        <v/>
      </c>
      <c r="H12" s="9">
        <f>'Financed Emissions'!$Q$27*H6/1000000</f>
        <v/>
      </c>
    </row>
    <row r="13">
      <c r="A13">
        <f>Inputs!A11</f>
        <v/>
      </c>
      <c r="B13" s="9">
        <f>'Financed Emissions'!$Q$27*B7/1000000</f>
        <v/>
      </c>
      <c r="C13" s="9">
        <f>'Financed Emissions'!$Q$27*C7/1000000</f>
        <v/>
      </c>
      <c r="D13" s="9">
        <f>'Financed Emissions'!$Q$27*D7/1000000</f>
        <v/>
      </c>
      <c r="E13" s="9">
        <f>'Financed Emissions'!$Q$27*E7/1000000</f>
        <v/>
      </c>
      <c r="F13" s="9">
        <f>'Financed Emissions'!$Q$27*F7/1000000</f>
        <v/>
      </c>
      <c r="G13" s="9">
        <f>'Financed Emissions'!$Q$27*G7/1000000</f>
        <v/>
      </c>
      <c r="H13" s="9">
        <f>'Financed Emissions'!$Q$27*H7/1000000</f>
        <v/>
      </c>
    </row>
    <row r="16">
      <c r="A16" s="15" t="inlineStr">
        <is>
          <t>Carbon cost as % of holdings</t>
        </is>
      </c>
      <c r="B16" s="15">
        <f>Inputs!B8</f>
        <v/>
      </c>
      <c r="C16" s="15">
        <f>Inputs!C8</f>
        <v/>
      </c>
      <c r="D16" s="15">
        <f>Inputs!D8</f>
        <v/>
      </c>
      <c r="E16" s="15">
        <f>Inputs!E8</f>
        <v/>
      </c>
      <c r="F16" s="15">
        <f>Inputs!F8</f>
        <v/>
      </c>
      <c r="G16" s="15">
        <f>Inputs!G8</f>
        <v/>
      </c>
      <c r="H16" s="15">
        <f>Inputs!H8</f>
        <v/>
      </c>
    </row>
    <row r="17">
      <c r="A17">
        <f>Inputs!A9</f>
        <v/>
      </c>
      <c r="B17" s="17">
        <f>B11/'Financed Emissions'!$P$27</f>
        <v/>
      </c>
      <c r="C17" s="17">
        <f>C11/'Financed Emissions'!$P$27</f>
        <v/>
      </c>
      <c r="D17" s="17">
        <f>D11/'Financed Emissions'!$P$27</f>
        <v/>
      </c>
      <c r="E17" s="17">
        <f>E11/'Financed Emissions'!$P$27</f>
        <v/>
      </c>
      <c r="F17" s="17">
        <f>F11/'Financed Emissions'!$P$27</f>
        <v/>
      </c>
      <c r="G17" s="17">
        <f>G11/'Financed Emissions'!$P$27</f>
        <v/>
      </c>
      <c r="H17" s="17">
        <f>H11/'Financed Emissions'!$P$27</f>
        <v/>
      </c>
    </row>
    <row r="18">
      <c r="A18">
        <f>Inputs!A10</f>
        <v/>
      </c>
      <c r="B18" s="17">
        <f>B12/'Financed Emissions'!$P$27</f>
        <v/>
      </c>
      <c r="C18" s="17">
        <f>C12/'Financed Emissions'!$P$27</f>
        <v/>
      </c>
      <c r="D18" s="17">
        <f>D12/'Financed Emissions'!$P$27</f>
        <v/>
      </c>
      <c r="E18" s="17">
        <f>E12/'Financed Emissions'!$P$27</f>
        <v/>
      </c>
      <c r="F18" s="17">
        <f>F12/'Financed Emissions'!$P$27</f>
        <v/>
      </c>
      <c r="G18" s="17">
        <f>G12/'Financed Emissions'!$P$27</f>
        <v/>
      </c>
      <c r="H18" s="17">
        <f>H12/'Financed Emissions'!$P$27</f>
        <v/>
      </c>
    </row>
    <row r="19">
      <c r="A19">
        <f>Inputs!A11</f>
        <v/>
      </c>
      <c r="B19" s="17">
        <f>B13/'Financed Emissions'!$P$27</f>
        <v/>
      </c>
      <c r="C19" s="17">
        <f>C13/'Financed Emissions'!$P$27</f>
        <v/>
      </c>
      <c r="D19" s="17">
        <f>D13/'Financed Emissions'!$P$27</f>
        <v/>
      </c>
      <c r="E19" s="17">
        <f>E13/'Financed Emissions'!$P$27</f>
        <v/>
      </c>
      <c r="F19" s="17">
        <f>F13/'Financed Emissions'!$P$27</f>
        <v/>
      </c>
      <c r="G19" s="17">
        <f>G13/'Financed Emissions'!$P$27</f>
        <v/>
      </c>
      <c r="H19" s="17">
        <f>H13/'Financed Emissions'!$P$27</f>
        <v/>
      </c>
    </row>
    <row r="21">
      <c r="A21" s="12" t="inlineStr">
        <is>
          <t>Sector carbon cost in the headline year (Inputs!B5)</t>
        </is>
      </c>
      <c r="C21" s="12" t="inlineStr">
        <is>
          <t>Carbon cost ($M CAD)</t>
        </is>
      </c>
      <c r="F21" s="12" t="inlineStr">
        <is>
          <t>Cost as % of sector holdings</t>
        </is>
      </c>
    </row>
    <row r="22">
      <c r="A22" s="8" t="inlineStr">
        <is>
          <t>Portfolio sector</t>
        </is>
      </c>
      <c r="B22" s="8" t="inlineStr">
        <is>
          <t>Financed emissions (tCO2e)</t>
        </is>
      </c>
      <c r="C22" s="15">
        <f>Inputs!A9</f>
        <v/>
      </c>
      <c r="D22" s="15">
        <f>Inputs!A10</f>
        <v/>
      </c>
      <c r="E22" s="15">
        <f>Inputs!A11</f>
        <v/>
      </c>
      <c r="F22" s="15">
        <f>Inputs!A9</f>
        <v/>
      </c>
      <c r="G22" s="15">
        <f>Inputs!A10</f>
        <v/>
      </c>
      <c r="H22" s="15">
        <f>Inputs!A11</f>
        <v/>
      </c>
    </row>
    <row r="23">
      <c r="A23" t="inlineStr">
        <is>
          <t>Oil &amp; Gas Producers</t>
        </is>
      </c>
      <c r="B23" s="5">
        <f>'Financed Emissions'!Q5</f>
        <v/>
      </c>
      <c r="C23" s="9">
        <f>B23*INDEX(Inputs!$B$9:$H$11,MATCH(C$22,Inputs!$A$9:$A$11,0),MATCH(Inputs!$B$5,Inputs!$B$8:$H$8,0))*(1-INDEX(Inputs!$I$9:$I$11,MATCH(C$22,Inputs!$A$9:$A$11,0)))/1000000</f>
        <v/>
      </c>
      <c r="D23" s="9">
        <f>B23*INDEX(Inputs!$B$9:$H$11,MATCH(D$22,Inputs!$A$9:$A$11,0),MATCH(Inputs!$B$5,Inputs!$B$8:$H$8,0))*(1-INDEX(Inputs!$I$9:$I$11,MATCH(D$22,Inputs!$A$9:$A$11,0)))/1000000</f>
        <v/>
      </c>
      <c r="E23" s="9">
        <f>B23*INDEX(Inputs!$B$9:$H$11,MATCH(E$22,Inputs!$A$9:$A$11,0),MATCH(Inputs!$B$5,Inputs!$B$8:$H$8,0))*(1-INDEX(Inputs!$I$9:$I$11,MATCH(E$22,Inputs!$A$9:$A$11,0)))/1000000</f>
        <v/>
      </c>
      <c r="F23" s="10">
        <f>C23/'Financed Emissions'!P5</f>
        <v/>
      </c>
      <c r="G23" s="10">
        <f>D23/'Financed Emissions'!P5</f>
        <v/>
      </c>
      <c r="H23" s="10">
        <f>E23/'Financed Emissions'!P5</f>
        <v/>
      </c>
    </row>
    <row r="24">
      <c r="A24" t="inlineStr">
        <is>
          <t>Petroleum Refining</t>
        </is>
      </c>
      <c r="B24" s="5">
        <f>'Financed Emissions'!Q6</f>
        <v/>
      </c>
      <c r="C24" s="9">
        <f>B24*INDEX(Inputs!$B$9:$H$11,MATCH(C$22,Inputs!$A$9:$A$11,0),MATCH(Inputs!$B$5,Inputs!$B$8:$H$8,0))*(1-INDEX(Inputs!$I$9:$I$11,MATCH(C$22,Inputs!$A$9:$A$11,0)))/1000000</f>
        <v/>
      </c>
      <c r="D24" s="9">
        <f>B24*INDEX(Inputs!$B$9:$H$11,MATCH(D$22,Inputs!$A$9:$A$11,0),MATCH(Inputs!$B$5,Inputs!$B$8:$H$8,0))*(1-INDEX(Inputs!$I$9:$I$11,MATCH(D$22,Inputs!$A$9:$A$11,0)))/1000000</f>
        <v/>
      </c>
      <c r="E24" s="9">
        <f>B24*INDEX(Inputs!$B$9:$H$11,MATCH(E$22,Inputs!$A$9:$A$11,0),MATCH(Inputs!$B$5,Inputs!$B$8:$H$8,0))*(1-INDEX(Inputs!$I$9:$I$11,MATCH(E$22,Inputs!$A$9:$A$11,0)))/1000000</f>
        <v/>
      </c>
      <c r="F24" s="10">
        <f>C24/'Financed Emissions'!P6</f>
        <v/>
      </c>
      <c r="G24" s="10">
        <f>D24/'Financed Emissions'!P6</f>
        <v/>
      </c>
      <c r="H24" s="10">
        <f>E24/'Financed Emissions'!P6</f>
        <v/>
      </c>
    </row>
    <row r="25">
      <c r="A25" t="inlineStr">
        <is>
          <t>Pipelines</t>
        </is>
      </c>
      <c r="B25" s="5">
        <f>'Financed Emissions'!Q7</f>
        <v/>
      </c>
      <c r="C25" s="9">
        <f>B25*INDEX(Inputs!$B$9:$H$11,MATCH(C$22,Inputs!$A$9:$A$11,0),MATCH(Inputs!$B$5,Inputs!$B$8:$H$8,0))*(1-INDEX(Inputs!$I$9:$I$11,MATCH(C$22,Inputs!$A$9:$A$11,0)))/1000000</f>
        <v/>
      </c>
      <c r="D25" s="9">
        <f>B25*INDEX(Inputs!$B$9:$H$11,MATCH(D$22,Inputs!$A$9:$A$11,0),MATCH(Inputs!$B$5,Inputs!$B$8:$H$8,0))*(1-INDEX(Inputs!$I$9:$I$11,MATCH(D$22,Inputs!$A$9:$A$11,0)))/1000000</f>
        <v/>
      </c>
      <c r="E25" s="9">
        <f>B25*INDEX(Inputs!$B$9:$H$11,MATCH(E$22,Inputs!$A$9:$A$11,0),MATCH(Inputs!$B$5,Inputs!$B$8:$H$8,0))*(1-INDEX(Inputs!$I$9:$I$11,MATCH(E$22,Inputs!$A$9:$A$11,0)))/1000000</f>
        <v/>
      </c>
      <c r="F25" s="10">
        <f>C25/'Financed Emissions'!P7</f>
        <v/>
      </c>
      <c r="G25" s="10">
        <f>D25/'Financed Emissions'!P7</f>
        <v/>
      </c>
      <c r="H25" s="10">
        <f>E25/'Financed Emissions'!P7</f>
        <v/>
      </c>
    </row>
    <row r="26">
      <c r="A26" t="inlineStr">
        <is>
          <t>Electric Utilities</t>
        </is>
      </c>
      <c r="B26" s="5">
        <f>'Financed Emissions'!Q8</f>
        <v/>
      </c>
      <c r="C26" s="9">
        <f>B26*INDEX(Inputs!$B$9:$H$11,MATCH(C$22,Inputs!$A$9:$A$11,0),MATCH(Inputs!$B$5,Inputs!$B$8:$H$8,0))*(1-INDEX(Inputs!$I$9:$I$11,MATCH(C$22,Inputs!$A$9:$A$11,0)))/1000000</f>
        <v/>
      </c>
      <c r="D26" s="9">
        <f>B26*INDEX(Inputs!$B$9:$H$11,MATCH(D$22,Inputs!$A$9:$A$11,0),MATCH(Inputs!$B$5,Inputs!$B$8:$H$8,0))*(1-INDEX(Inputs!$I$9:$I$11,MATCH(D$22,Inputs!$A$9:$A$11,0)))/1000000</f>
        <v/>
      </c>
      <c r="E26" s="9">
        <f>B26*INDEX(Inputs!$B$9:$H$11,MATCH(E$22,Inputs!$A$9:$A$11,0),MATCH(Inputs!$B$5,Inputs!$B$8:$H$8,0))*(1-INDEX(Inputs!$I$9:$I$11,MATCH(E$22,Inputs!$A$9:$A$11,0)))/1000000</f>
        <v/>
      </c>
      <c r="F26" s="10">
        <f>C26/'Financed Emissions'!P8</f>
        <v/>
      </c>
      <c r="G26" s="10">
        <f>D26/'Financed Emissions'!P8</f>
        <v/>
      </c>
      <c r="H26" s="10">
        <f>E26/'Financed Emissions'!P8</f>
        <v/>
      </c>
    </row>
    <row r="27">
      <c r="A27" t="inlineStr">
        <is>
          <t>Gas Distribution &amp; Water</t>
        </is>
      </c>
      <c r="B27" s="5">
        <f>'Financed Emissions'!Q9</f>
        <v/>
      </c>
      <c r="C27" s="9">
        <f>B27*INDEX(Inputs!$B$9:$H$11,MATCH(C$22,Inputs!$A$9:$A$11,0),MATCH(Inputs!$B$5,Inputs!$B$8:$H$8,0))*(1-INDEX(Inputs!$I$9:$I$11,MATCH(C$22,Inputs!$A$9:$A$11,0)))/1000000</f>
        <v/>
      </c>
      <c r="D27" s="9">
        <f>B27*INDEX(Inputs!$B$9:$H$11,MATCH(D$22,Inputs!$A$9:$A$11,0),MATCH(Inputs!$B$5,Inputs!$B$8:$H$8,0))*(1-INDEX(Inputs!$I$9:$I$11,MATCH(D$22,Inputs!$A$9:$A$11,0)))/1000000</f>
        <v/>
      </c>
      <c r="E27" s="9">
        <f>B27*INDEX(Inputs!$B$9:$H$11,MATCH(E$22,Inputs!$A$9:$A$11,0),MATCH(Inputs!$B$5,Inputs!$B$8:$H$8,0))*(1-INDEX(Inputs!$I$9:$I$11,MATCH(E$22,Inputs!$A$9:$A$11,0)))/1000000</f>
        <v/>
      </c>
      <c r="F27" s="10">
        <f>C27/'Financed Emissions'!P9</f>
        <v/>
      </c>
      <c r="G27" s="10">
        <f>D27/'Financed Emissions'!P9</f>
        <v/>
      </c>
      <c r="H27" s="10">
        <f>E27/'Financed Emissions'!P9</f>
        <v/>
      </c>
    </row>
    <row r="28">
      <c r="A28" t="inlineStr">
        <is>
          <t>Mining &amp; Quarrying</t>
        </is>
      </c>
      <c r="B28" s="5">
        <f>'Financed Emissions'!Q10</f>
        <v/>
      </c>
      <c r="C28" s="9">
        <f>B28*INDEX(Inputs!$B$9:$H$11,MATCH(C$22,Inputs!$A$9:$A$11,0),MATCH(Inputs!$B$5,Inputs!$B$8:$H$8,0))*(1-INDEX(Inputs!$I$9:$I$11,MATCH(C$22,Inputs!$A$9:$A$11,0)))/1000000</f>
        <v/>
      </c>
      <c r="D28" s="9">
        <f>B28*INDEX(Inputs!$B$9:$H$11,MATCH(D$22,Inputs!$A$9:$A$11,0),MATCH(Inputs!$B$5,Inputs!$B$8:$H$8,0))*(1-INDEX(Inputs!$I$9:$I$11,MATCH(D$22,Inputs!$A$9:$A$11,0)))/1000000</f>
        <v/>
      </c>
      <c r="E28" s="9">
        <f>B28*INDEX(Inputs!$B$9:$H$11,MATCH(E$22,Inputs!$A$9:$A$11,0),MATCH(Inputs!$B$5,Inputs!$B$8:$H$8,0))*(1-INDEX(Inputs!$I$9:$I$11,MATCH(E$22,Inputs!$A$9:$A$11,0)))/1000000</f>
        <v/>
      </c>
      <c r="F28" s="10">
        <f>C28/'Financed Emissions'!P10</f>
        <v/>
      </c>
      <c r="G28" s="10">
        <f>D28/'Financed Emissions'!P10</f>
        <v/>
      </c>
      <c r="H28" s="10">
        <f>E28/'Financed Emissions'!P10</f>
        <v/>
      </c>
    </row>
    <row r="29">
      <c r="A29" t="inlineStr">
        <is>
          <t>Cement &amp; Building Materials</t>
        </is>
      </c>
      <c r="B29" s="5">
        <f>'Financed Emissions'!Q11</f>
        <v/>
      </c>
      <c r="C29" s="9">
        <f>B29*INDEX(Inputs!$B$9:$H$11,MATCH(C$22,Inputs!$A$9:$A$11,0),MATCH(Inputs!$B$5,Inputs!$B$8:$H$8,0))*(1-INDEX(Inputs!$I$9:$I$11,MATCH(C$22,Inputs!$A$9:$A$11,0)))/1000000</f>
        <v/>
      </c>
      <c r="D29" s="9">
        <f>B29*INDEX(Inputs!$B$9:$H$11,MATCH(D$22,Inputs!$A$9:$A$11,0),MATCH(Inputs!$B$5,Inputs!$B$8:$H$8,0))*(1-INDEX(Inputs!$I$9:$I$11,MATCH(D$22,Inputs!$A$9:$A$11,0)))/1000000</f>
        <v/>
      </c>
      <c r="E29" s="9">
        <f>B29*INDEX(Inputs!$B$9:$H$11,MATCH(E$22,Inputs!$A$9:$A$11,0),MATCH(Inputs!$B$5,Inputs!$B$8:$H$8,0))*(1-INDEX(Inputs!$I$9:$I$11,MATCH(E$22,Inputs!$A$9:$A$11,0)))/1000000</f>
        <v/>
      </c>
      <c r="F29" s="10">
        <f>C29/'Financed Emissions'!P11</f>
        <v/>
      </c>
      <c r="G29" s="10">
        <f>D29/'Financed Emissions'!P11</f>
        <v/>
      </c>
      <c r="H29" s="10">
        <f>E29/'Financed Emissions'!P11</f>
        <v/>
      </c>
    </row>
    <row r="30">
      <c r="A30" t="inlineStr">
        <is>
          <t>Metals &amp; Steel</t>
        </is>
      </c>
      <c r="B30" s="5">
        <f>'Financed Emissions'!Q12</f>
        <v/>
      </c>
      <c r="C30" s="9">
        <f>B30*INDEX(Inputs!$B$9:$H$11,MATCH(C$22,Inputs!$A$9:$A$11,0),MATCH(Inputs!$B$5,Inputs!$B$8:$H$8,0))*(1-INDEX(Inputs!$I$9:$I$11,MATCH(C$22,Inputs!$A$9:$A$11,0)))/1000000</f>
        <v/>
      </c>
      <c r="D30" s="9">
        <f>B30*INDEX(Inputs!$B$9:$H$11,MATCH(D$22,Inputs!$A$9:$A$11,0),MATCH(Inputs!$B$5,Inputs!$B$8:$H$8,0))*(1-INDEX(Inputs!$I$9:$I$11,MATCH(D$22,Inputs!$A$9:$A$11,0)))/1000000</f>
        <v/>
      </c>
      <c r="E30" s="9">
        <f>B30*INDEX(Inputs!$B$9:$H$11,MATCH(E$22,Inputs!$A$9:$A$11,0),MATCH(Inputs!$B$5,Inputs!$B$8:$H$8,0))*(1-INDEX(Inputs!$I$9:$I$11,MATCH(E$22,Inputs!$A$9:$A$11,0)))/1000000</f>
        <v/>
      </c>
      <c r="F30" s="10">
        <f>C30/'Financed Emissions'!P12</f>
        <v/>
      </c>
      <c r="G30" s="10">
        <f>D30/'Financed Emissions'!P12</f>
        <v/>
      </c>
      <c r="H30" s="10">
        <f>E30/'Financed Emissions'!P12</f>
        <v/>
      </c>
    </row>
    <row r="31">
      <c r="A31" t="inlineStr">
        <is>
          <t>Chemicals &amp; Plastics</t>
        </is>
      </c>
      <c r="B31" s="5">
        <f>'Financed Emissions'!Q13</f>
        <v/>
      </c>
      <c r="C31" s="9">
        <f>B31*INDEX(Inputs!$B$9:$H$11,MATCH(C$22,Inputs!$A$9:$A$11,0),MATCH(Inputs!$B$5,Inputs!$B$8:$H$8,0))*(1-INDEX(Inputs!$I$9:$I$11,MATCH(C$22,Inputs!$A$9:$A$11,0)))/1000000</f>
        <v/>
      </c>
      <c r="D31" s="9">
        <f>B31*INDEX(Inputs!$B$9:$H$11,MATCH(D$22,Inputs!$A$9:$A$11,0),MATCH(Inputs!$B$5,Inputs!$B$8:$H$8,0))*(1-INDEX(Inputs!$I$9:$I$11,MATCH(D$22,Inputs!$A$9:$A$11,0)))/1000000</f>
        <v/>
      </c>
      <c r="E31" s="9">
        <f>B31*INDEX(Inputs!$B$9:$H$11,MATCH(E$22,Inputs!$A$9:$A$11,0),MATCH(Inputs!$B$5,Inputs!$B$8:$H$8,0))*(1-INDEX(Inputs!$I$9:$I$11,MATCH(E$22,Inputs!$A$9:$A$11,0)))/1000000</f>
        <v/>
      </c>
      <c r="F31" s="10">
        <f>C31/'Financed Emissions'!P13</f>
        <v/>
      </c>
      <c r="G31" s="10">
        <f>D31/'Financed Emissions'!P13</f>
        <v/>
      </c>
      <c r="H31" s="10">
        <f>E31/'Financed Emissions'!P13</f>
        <v/>
      </c>
    </row>
    <row r="32">
      <c r="A32" t="inlineStr">
        <is>
          <t>Forest &amp; Paper Products</t>
        </is>
      </c>
      <c r="B32" s="5">
        <f>'Financed Emissions'!Q14</f>
        <v/>
      </c>
      <c r="C32" s="9">
        <f>B32*INDEX(Inputs!$B$9:$H$11,MATCH(C$22,Inputs!$A$9:$A$11,0),MATCH(Inputs!$B$5,Inputs!$B$8:$H$8,0))*(1-INDEX(Inputs!$I$9:$I$11,MATCH(C$22,Inputs!$A$9:$A$11,0)))/1000000</f>
        <v/>
      </c>
      <c r="D32" s="9">
        <f>B32*INDEX(Inputs!$B$9:$H$11,MATCH(D$22,Inputs!$A$9:$A$11,0),MATCH(Inputs!$B$5,Inputs!$B$8:$H$8,0))*(1-INDEX(Inputs!$I$9:$I$11,MATCH(D$22,Inputs!$A$9:$A$11,0)))/1000000</f>
        <v/>
      </c>
      <c r="E32" s="9">
        <f>B32*INDEX(Inputs!$B$9:$H$11,MATCH(E$22,Inputs!$A$9:$A$11,0),MATCH(Inputs!$B$5,Inputs!$B$8:$H$8,0))*(1-INDEX(Inputs!$I$9:$I$11,MATCH(E$22,Inputs!$A$9:$A$11,0)))/1000000</f>
        <v/>
      </c>
      <c r="F32" s="10">
        <f>C32/'Financed Emissions'!P14</f>
        <v/>
      </c>
      <c r="G32" s="10">
        <f>D32/'Financed Emissions'!P14</f>
        <v/>
      </c>
      <c r="H32" s="10">
        <f>E32/'Financed Emissions'!P14</f>
        <v/>
      </c>
    </row>
    <row r="33">
      <c r="A33" t="inlineStr">
        <is>
          <t>Agriculture &amp; Food</t>
        </is>
      </c>
      <c r="B33" s="5">
        <f>'Financed Emissions'!Q15</f>
        <v/>
      </c>
      <c r="C33" s="9">
        <f>B33*INDEX(Inputs!$B$9:$H$11,MATCH(C$22,Inputs!$A$9:$A$11,0),MATCH(Inputs!$B$5,Inputs!$B$8:$H$8,0))*(1-INDEX(Inputs!$I$9:$I$11,MATCH(C$22,Inputs!$A$9:$A$11,0)))/1000000</f>
        <v/>
      </c>
      <c r="D33" s="9">
        <f>B33*INDEX(Inputs!$B$9:$H$11,MATCH(D$22,Inputs!$A$9:$A$11,0),MATCH(Inputs!$B$5,Inputs!$B$8:$H$8,0))*(1-INDEX(Inputs!$I$9:$I$11,MATCH(D$22,Inputs!$A$9:$A$11,0)))/1000000</f>
        <v/>
      </c>
      <c r="E33" s="9">
        <f>B33*INDEX(Inputs!$B$9:$H$11,MATCH(E$22,Inputs!$A$9:$A$11,0),MATCH(Inputs!$B$5,Inputs!$B$8:$H$8,0))*(1-INDEX(Inputs!$I$9:$I$11,MATCH(E$22,Inputs!$A$9:$A$11,0)))/1000000</f>
        <v/>
      </c>
      <c r="F33" s="10">
        <f>C33/'Financed Emissions'!P15</f>
        <v/>
      </c>
      <c r="G33" s="10">
        <f>D33/'Financed Emissions'!P15</f>
        <v/>
      </c>
      <c r="H33" s="10">
        <f>E33/'Financed Emissions'!P15</f>
        <v/>
      </c>
    </row>
    <row r="34">
      <c r="A34" t="inlineStr">
        <is>
          <t>Airlines</t>
        </is>
      </c>
      <c r="B34" s="5">
        <f>'Financed Emissions'!Q16</f>
        <v/>
      </c>
      <c r="C34" s="9">
        <f>B34*INDEX(Inputs!$B$9:$H$11,MATCH(C$22,Inputs!$A$9:$A$11,0),MATCH(Inputs!$B$5,Inputs!$B$8:$H$8,0))*(1-INDEX(Inputs!$I$9:$I$11,MATCH(C$22,Inputs!$A$9:$A$11,0)))/1000000</f>
        <v/>
      </c>
      <c r="D34" s="9">
        <f>B34*INDEX(Inputs!$B$9:$H$11,MATCH(D$22,Inputs!$A$9:$A$11,0),MATCH(Inputs!$B$5,Inputs!$B$8:$H$8,0))*(1-INDEX(Inputs!$I$9:$I$11,MATCH(D$22,Inputs!$A$9:$A$11,0)))/1000000</f>
        <v/>
      </c>
      <c r="E34" s="9">
        <f>B34*INDEX(Inputs!$B$9:$H$11,MATCH(E$22,Inputs!$A$9:$A$11,0),MATCH(Inputs!$B$5,Inputs!$B$8:$H$8,0))*(1-INDEX(Inputs!$I$9:$I$11,MATCH(E$22,Inputs!$A$9:$A$11,0)))/1000000</f>
        <v/>
      </c>
      <c r="F34" s="10">
        <f>C34/'Financed Emissions'!P16</f>
        <v/>
      </c>
      <c r="G34" s="10">
        <f>D34/'Financed Emissions'!P16</f>
        <v/>
      </c>
      <c r="H34" s="10">
        <f>E34/'Financed Emissions'!P16</f>
        <v/>
      </c>
    </row>
    <row r="35">
      <c r="A35" t="inlineStr">
        <is>
          <t>Rail</t>
        </is>
      </c>
      <c r="B35" s="5">
        <f>'Financed Emissions'!Q17</f>
        <v/>
      </c>
      <c r="C35" s="9">
        <f>B35*INDEX(Inputs!$B$9:$H$11,MATCH(C$22,Inputs!$A$9:$A$11,0),MATCH(Inputs!$B$5,Inputs!$B$8:$H$8,0))*(1-INDEX(Inputs!$I$9:$I$11,MATCH(C$22,Inputs!$A$9:$A$11,0)))/1000000</f>
        <v/>
      </c>
      <c r="D35" s="9">
        <f>B35*INDEX(Inputs!$B$9:$H$11,MATCH(D$22,Inputs!$A$9:$A$11,0),MATCH(Inputs!$B$5,Inputs!$B$8:$H$8,0))*(1-INDEX(Inputs!$I$9:$I$11,MATCH(D$22,Inputs!$A$9:$A$11,0)))/1000000</f>
        <v/>
      </c>
      <c r="E35" s="9">
        <f>B35*INDEX(Inputs!$B$9:$H$11,MATCH(E$22,Inputs!$A$9:$A$11,0),MATCH(Inputs!$B$5,Inputs!$B$8:$H$8,0))*(1-INDEX(Inputs!$I$9:$I$11,MATCH(E$22,Inputs!$A$9:$A$11,0)))/1000000</f>
        <v/>
      </c>
      <c r="F35" s="10">
        <f>C35/'Financed Emissions'!P17</f>
        <v/>
      </c>
      <c r="G35" s="10">
        <f>D35/'Financed Emissions'!P17</f>
        <v/>
      </c>
      <c r="H35" s="10">
        <f>E35/'Financed Emissions'!P17</f>
        <v/>
      </c>
    </row>
    <row r="36">
      <c r="A36" t="inlineStr">
        <is>
          <t>Trucking, Marine &amp; Logistics</t>
        </is>
      </c>
      <c r="B36" s="5">
        <f>'Financed Emissions'!Q18</f>
        <v/>
      </c>
      <c r="C36" s="9">
        <f>B36*INDEX(Inputs!$B$9:$H$11,MATCH(C$22,Inputs!$A$9:$A$11,0),MATCH(Inputs!$B$5,Inputs!$B$8:$H$8,0))*(1-INDEX(Inputs!$I$9:$I$11,MATCH(C$22,Inputs!$A$9:$A$11,0)))/1000000</f>
        <v/>
      </c>
      <c r="D36" s="9">
        <f>B36*INDEX(Inputs!$B$9:$H$11,MATCH(D$22,Inputs!$A$9:$A$11,0),MATCH(Inputs!$B$5,Inputs!$B$8:$H$8,0))*(1-INDEX(Inputs!$I$9:$I$11,MATCH(D$22,Inputs!$A$9:$A$11,0)))/1000000</f>
        <v/>
      </c>
      <c r="E36" s="9">
        <f>B36*INDEX(Inputs!$B$9:$H$11,MATCH(E$22,Inputs!$A$9:$A$11,0),MATCH(Inputs!$B$5,Inputs!$B$8:$H$8,0))*(1-INDEX(Inputs!$I$9:$I$11,MATCH(E$22,Inputs!$A$9:$A$11,0)))/1000000</f>
        <v/>
      </c>
      <c r="F36" s="10">
        <f>C36/'Financed Emissions'!P18</f>
        <v/>
      </c>
      <c r="G36" s="10">
        <f>D36/'Financed Emissions'!P18</f>
        <v/>
      </c>
      <c r="H36" s="10">
        <f>E36/'Financed Emissions'!P18</f>
        <v/>
      </c>
    </row>
    <row r="37">
      <c r="A37" t="inlineStr">
        <is>
          <t>Construction</t>
        </is>
      </c>
      <c r="B37" s="5">
        <f>'Financed Emissions'!Q19</f>
        <v/>
      </c>
      <c r="C37" s="9">
        <f>B37*INDEX(Inputs!$B$9:$H$11,MATCH(C$22,Inputs!$A$9:$A$11,0),MATCH(Inputs!$B$5,Inputs!$B$8:$H$8,0))*(1-INDEX(Inputs!$I$9:$I$11,MATCH(C$22,Inputs!$A$9:$A$11,0)))/1000000</f>
        <v/>
      </c>
      <c r="D37" s="9">
        <f>B37*INDEX(Inputs!$B$9:$H$11,MATCH(D$22,Inputs!$A$9:$A$11,0),MATCH(Inputs!$B$5,Inputs!$B$8:$H$8,0))*(1-INDEX(Inputs!$I$9:$I$11,MATCH(D$22,Inputs!$A$9:$A$11,0)))/1000000</f>
        <v/>
      </c>
      <c r="E37" s="9">
        <f>B37*INDEX(Inputs!$B$9:$H$11,MATCH(E$22,Inputs!$A$9:$A$11,0),MATCH(Inputs!$B$5,Inputs!$B$8:$H$8,0))*(1-INDEX(Inputs!$I$9:$I$11,MATCH(E$22,Inputs!$A$9:$A$11,0)))/1000000</f>
        <v/>
      </c>
      <c r="F37" s="10">
        <f>C37/'Financed Emissions'!P19</f>
        <v/>
      </c>
      <c r="G37" s="10">
        <f>D37/'Financed Emissions'!P19</f>
        <v/>
      </c>
      <c r="H37" s="10">
        <f>E37/'Financed Emissions'!P19</f>
        <v/>
      </c>
    </row>
    <row r="38">
      <c r="A38" t="inlineStr">
        <is>
          <t>Autos &amp; Transport Equipment</t>
        </is>
      </c>
      <c r="B38" s="5">
        <f>'Financed Emissions'!Q20</f>
        <v/>
      </c>
      <c r="C38" s="9">
        <f>B38*INDEX(Inputs!$B$9:$H$11,MATCH(C$22,Inputs!$A$9:$A$11,0),MATCH(Inputs!$B$5,Inputs!$B$8:$H$8,0))*(1-INDEX(Inputs!$I$9:$I$11,MATCH(C$22,Inputs!$A$9:$A$11,0)))/1000000</f>
        <v/>
      </c>
      <c r="D38" s="9">
        <f>B38*INDEX(Inputs!$B$9:$H$11,MATCH(D$22,Inputs!$A$9:$A$11,0),MATCH(Inputs!$B$5,Inputs!$B$8:$H$8,0))*(1-INDEX(Inputs!$I$9:$I$11,MATCH(D$22,Inputs!$A$9:$A$11,0)))/1000000</f>
        <v/>
      </c>
      <c r="E38" s="9">
        <f>B38*INDEX(Inputs!$B$9:$H$11,MATCH(E$22,Inputs!$A$9:$A$11,0),MATCH(Inputs!$B$5,Inputs!$B$8:$H$8,0))*(1-INDEX(Inputs!$I$9:$I$11,MATCH(E$22,Inputs!$A$9:$A$11,0)))/1000000</f>
        <v/>
      </c>
      <c r="F38" s="10">
        <f>C38/'Financed Emissions'!P20</f>
        <v/>
      </c>
      <c r="G38" s="10">
        <f>D38/'Financed Emissions'!P20</f>
        <v/>
      </c>
      <c r="H38" s="10">
        <f>E38/'Financed Emissions'!P20</f>
        <v/>
      </c>
    </row>
    <row r="39">
      <c r="A39" t="inlineStr">
        <is>
          <t>Industrial &amp; Tech Manufacturing</t>
        </is>
      </c>
      <c r="B39" s="5">
        <f>'Financed Emissions'!Q21</f>
        <v/>
      </c>
      <c r="C39" s="9">
        <f>B39*INDEX(Inputs!$B$9:$H$11,MATCH(C$22,Inputs!$A$9:$A$11,0),MATCH(Inputs!$B$5,Inputs!$B$8:$H$8,0))*(1-INDEX(Inputs!$I$9:$I$11,MATCH(C$22,Inputs!$A$9:$A$11,0)))/1000000</f>
        <v/>
      </c>
      <c r="D39" s="9">
        <f>B39*INDEX(Inputs!$B$9:$H$11,MATCH(D$22,Inputs!$A$9:$A$11,0),MATCH(Inputs!$B$5,Inputs!$B$8:$H$8,0))*(1-INDEX(Inputs!$I$9:$I$11,MATCH(D$22,Inputs!$A$9:$A$11,0)))/1000000</f>
        <v/>
      </c>
      <c r="E39" s="9">
        <f>B39*INDEX(Inputs!$B$9:$H$11,MATCH(E$22,Inputs!$A$9:$A$11,0),MATCH(Inputs!$B$5,Inputs!$B$8:$H$8,0))*(1-INDEX(Inputs!$I$9:$I$11,MATCH(E$22,Inputs!$A$9:$A$11,0)))/1000000</f>
        <v/>
      </c>
      <c r="F39" s="10">
        <f>C39/'Financed Emissions'!P21</f>
        <v/>
      </c>
      <c r="G39" s="10">
        <f>D39/'Financed Emissions'!P21</f>
        <v/>
      </c>
      <c r="H39" s="10">
        <f>E39/'Financed Emissions'!P21</f>
        <v/>
      </c>
    </row>
    <row r="40">
      <c r="A40" t="inlineStr">
        <is>
          <t>Retail &amp; Wholesale</t>
        </is>
      </c>
      <c r="B40" s="5">
        <f>'Financed Emissions'!Q22</f>
        <v/>
      </c>
      <c r="C40" s="9">
        <f>B40*INDEX(Inputs!$B$9:$H$11,MATCH(C$22,Inputs!$A$9:$A$11,0),MATCH(Inputs!$B$5,Inputs!$B$8:$H$8,0))*(1-INDEX(Inputs!$I$9:$I$11,MATCH(C$22,Inputs!$A$9:$A$11,0)))/1000000</f>
        <v/>
      </c>
      <c r="D40" s="9">
        <f>B40*INDEX(Inputs!$B$9:$H$11,MATCH(D$22,Inputs!$A$9:$A$11,0),MATCH(Inputs!$B$5,Inputs!$B$8:$H$8,0))*(1-INDEX(Inputs!$I$9:$I$11,MATCH(D$22,Inputs!$A$9:$A$11,0)))/1000000</f>
        <v/>
      </c>
      <c r="E40" s="9">
        <f>B40*INDEX(Inputs!$B$9:$H$11,MATCH(E$22,Inputs!$A$9:$A$11,0),MATCH(Inputs!$B$5,Inputs!$B$8:$H$8,0))*(1-INDEX(Inputs!$I$9:$I$11,MATCH(E$22,Inputs!$A$9:$A$11,0)))/1000000</f>
        <v/>
      </c>
      <c r="F40" s="10">
        <f>C40/'Financed Emissions'!P22</f>
        <v/>
      </c>
      <c r="G40" s="10">
        <f>D40/'Financed Emissions'!P22</f>
        <v/>
      </c>
      <c r="H40" s="10">
        <f>E40/'Financed Emissions'!P22</f>
        <v/>
      </c>
    </row>
    <row r="41">
      <c r="A41" t="inlineStr">
        <is>
          <t>Telecom &amp; Media</t>
        </is>
      </c>
      <c r="B41" s="5">
        <f>'Financed Emissions'!Q23</f>
        <v/>
      </c>
      <c r="C41" s="9">
        <f>B41*INDEX(Inputs!$B$9:$H$11,MATCH(C$22,Inputs!$A$9:$A$11,0),MATCH(Inputs!$B$5,Inputs!$B$8:$H$8,0))*(1-INDEX(Inputs!$I$9:$I$11,MATCH(C$22,Inputs!$A$9:$A$11,0)))/1000000</f>
        <v/>
      </c>
      <c r="D41" s="9">
        <f>B41*INDEX(Inputs!$B$9:$H$11,MATCH(D$22,Inputs!$A$9:$A$11,0),MATCH(Inputs!$B$5,Inputs!$B$8:$H$8,0))*(1-INDEX(Inputs!$I$9:$I$11,MATCH(D$22,Inputs!$A$9:$A$11,0)))/1000000</f>
        <v/>
      </c>
      <c r="E41" s="9">
        <f>B41*INDEX(Inputs!$B$9:$H$11,MATCH(E$22,Inputs!$A$9:$A$11,0),MATCH(Inputs!$B$5,Inputs!$B$8:$H$8,0))*(1-INDEX(Inputs!$I$9:$I$11,MATCH(E$22,Inputs!$A$9:$A$11,0)))/1000000</f>
        <v/>
      </c>
      <c r="F41" s="10">
        <f>C41/'Financed Emissions'!P23</f>
        <v/>
      </c>
      <c r="G41" s="10">
        <f>D41/'Financed Emissions'!P23</f>
        <v/>
      </c>
      <c r="H41" s="10">
        <f>E41/'Financed Emissions'!P23</f>
        <v/>
      </c>
    </row>
    <row r="42">
      <c r="A42" t="inlineStr">
        <is>
          <t>Banks &amp; Insurance</t>
        </is>
      </c>
      <c r="B42" s="5">
        <f>'Financed Emissions'!Q24</f>
        <v/>
      </c>
      <c r="C42" s="9">
        <f>B42*INDEX(Inputs!$B$9:$H$11,MATCH(C$22,Inputs!$A$9:$A$11,0),MATCH(Inputs!$B$5,Inputs!$B$8:$H$8,0))*(1-INDEX(Inputs!$I$9:$I$11,MATCH(C$22,Inputs!$A$9:$A$11,0)))/1000000</f>
        <v/>
      </c>
      <c r="D42" s="9">
        <f>B42*INDEX(Inputs!$B$9:$H$11,MATCH(D$22,Inputs!$A$9:$A$11,0),MATCH(Inputs!$B$5,Inputs!$B$8:$H$8,0))*(1-INDEX(Inputs!$I$9:$I$11,MATCH(D$22,Inputs!$A$9:$A$11,0)))/1000000</f>
        <v/>
      </c>
      <c r="E42" s="9">
        <f>B42*INDEX(Inputs!$B$9:$H$11,MATCH(E$22,Inputs!$A$9:$A$11,0),MATCH(Inputs!$B$5,Inputs!$B$8:$H$8,0))*(1-INDEX(Inputs!$I$9:$I$11,MATCH(E$22,Inputs!$A$9:$A$11,0)))/1000000</f>
        <v/>
      </c>
      <c r="F42" s="10">
        <f>C42/'Financed Emissions'!P24</f>
        <v/>
      </c>
      <c r="G42" s="10">
        <f>D42/'Financed Emissions'!P24</f>
        <v/>
      </c>
      <c r="H42" s="10">
        <f>E42/'Financed Emissions'!P24</f>
        <v/>
      </c>
    </row>
    <row r="43">
      <c r="A43" t="inlineStr">
        <is>
          <t>Real Estate</t>
        </is>
      </c>
      <c r="B43" s="5">
        <f>'Financed Emissions'!Q25</f>
        <v/>
      </c>
      <c r="C43" s="9">
        <f>B43*INDEX(Inputs!$B$9:$H$11,MATCH(C$22,Inputs!$A$9:$A$11,0),MATCH(Inputs!$B$5,Inputs!$B$8:$H$8,0))*(1-INDEX(Inputs!$I$9:$I$11,MATCH(C$22,Inputs!$A$9:$A$11,0)))/1000000</f>
        <v/>
      </c>
      <c r="D43" s="9">
        <f>B43*INDEX(Inputs!$B$9:$H$11,MATCH(D$22,Inputs!$A$9:$A$11,0),MATCH(Inputs!$B$5,Inputs!$B$8:$H$8,0))*(1-INDEX(Inputs!$I$9:$I$11,MATCH(D$22,Inputs!$A$9:$A$11,0)))/1000000</f>
        <v/>
      </c>
      <c r="E43" s="9">
        <f>B43*INDEX(Inputs!$B$9:$H$11,MATCH(E$22,Inputs!$A$9:$A$11,0),MATCH(Inputs!$B$5,Inputs!$B$8:$H$8,0))*(1-INDEX(Inputs!$I$9:$I$11,MATCH(E$22,Inputs!$A$9:$A$11,0)))/1000000</f>
        <v/>
      </c>
      <c r="F43" s="10">
        <f>C43/'Financed Emissions'!P25</f>
        <v/>
      </c>
      <c r="G43" s="10">
        <f>D43/'Financed Emissions'!P25</f>
        <v/>
      </c>
      <c r="H43" s="10">
        <f>E43/'Financed Emissions'!P25</f>
        <v/>
      </c>
    </row>
    <row r="44">
      <c r="A44" t="inlineStr">
        <is>
          <t>Business &amp; Consumer Services</t>
        </is>
      </c>
      <c r="B44" s="5">
        <f>'Financed Emissions'!Q26</f>
        <v/>
      </c>
      <c r="C44" s="9">
        <f>B44*INDEX(Inputs!$B$9:$H$11,MATCH(C$22,Inputs!$A$9:$A$11,0),MATCH(Inputs!$B$5,Inputs!$B$8:$H$8,0))*(1-INDEX(Inputs!$I$9:$I$11,MATCH(C$22,Inputs!$A$9:$A$11,0)))/1000000</f>
        <v/>
      </c>
      <c r="D44" s="9">
        <f>B44*INDEX(Inputs!$B$9:$H$11,MATCH(D$22,Inputs!$A$9:$A$11,0),MATCH(Inputs!$B$5,Inputs!$B$8:$H$8,0))*(1-INDEX(Inputs!$I$9:$I$11,MATCH(D$22,Inputs!$A$9:$A$11,0)))/1000000</f>
        <v/>
      </c>
      <c r="E44" s="9">
        <f>B44*INDEX(Inputs!$B$9:$H$11,MATCH(E$22,Inputs!$A$9:$A$11,0),MATCH(Inputs!$B$5,Inputs!$B$8:$H$8,0))*(1-INDEX(Inputs!$I$9:$I$11,MATCH(E$22,Inputs!$A$9:$A$11,0)))/1000000</f>
        <v/>
      </c>
      <c r="F44" s="10">
        <f>C44/'Financed Emissions'!P26</f>
        <v/>
      </c>
      <c r="G44" s="10">
        <f>D44/'Financed Emissions'!P26</f>
        <v/>
      </c>
      <c r="H44" s="10">
        <f>E44/'Financed Emissions'!P26</f>
        <v/>
      </c>
    </row>
    <row r="45">
      <c r="A45" s="12" t="inlineStr">
        <is>
          <t>Total</t>
        </is>
      </c>
      <c r="B45" s="5">
        <f>SUM(B23:B44)</f>
        <v/>
      </c>
      <c r="C45" s="9">
        <f>SUM(C23:C44)</f>
        <v/>
      </c>
      <c r="D45" s="9">
        <f>SUM(D23:D44)</f>
        <v/>
      </c>
      <c r="E45" s="9">
        <f>SUM(E23:E44)</f>
        <v/>
      </c>
      <c r="F45" s="10">
        <f>C45/'Financed Emissions'!P27</f>
        <v/>
      </c>
      <c r="G45" s="10">
        <f>D45/'Financed Emissions'!P27</f>
        <v/>
      </c>
      <c r="H45" s="10">
        <f>E45/'Financed Emissions'!P27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Reconciliation to published StatCan totals (table 38-10-0097-01)</t>
        </is>
      </c>
    </row>
    <row r="2">
      <c r="A2" s="2" t="inlineStr">
        <is>
          <t>Industry rows are rounded to 1 kt, so the sum may drift from the total by up to 0.5 kt per row. The NIR gap reflects the residence (account) vs territorial (inventory) basis.</t>
        </is>
      </c>
    </row>
    <row r="4">
      <c r="A4" s="8" t="inlineStr">
        <is>
          <t>Year</t>
        </is>
      </c>
      <c r="B4" s="8" t="inlineStr">
        <is>
          <t>Industry rows</t>
        </is>
      </c>
      <c r="C4" s="8" t="inlineStr">
        <is>
          <t>Sum of industry rows (kt)</t>
        </is>
      </c>
      <c r="D4" s="8" t="inlineStr">
        <is>
          <t>Published total, industries (kt)</t>
        </is>
      </c>
      <c r="E4" s="8" t="inlineStr">
        <is>
          <t>Difference (kt)</t>
        </is>
      </c>
      <c r="F4" s="8" t="inlineStr">
        <is>
          <t>Rounding tolerance (kt)</t>
        </is>
      </c>
      <c r="G4" s="8" t="inlineStr">
        <is>
          <t>Result</t>
        </is>
      </c>
      <c r="H4" s="8" t="inlineStr">
        <is>
          <t>Industries + households (kt)</t>
        </is>
      </c>
      <c r="I4" s="8" t="inlineStr">
        <is>
          <t>NIR / UNFCCC total (kt)</t>
        </is>
      </c>
      <c r="J4" s="8" t="inlineStr">
        <is>
          <t>Gap to NIR (kt)</t>
        </is>
      </c>
      <c r="K4" s="8" t="inlineStr">
        <is>
          <t>Published bridge (kt)</t>
        </is>
      </c>
      <c r="L4" s="8" t="inlineStr">
        <is>
          <t>Unexplained residual (kt)</t>
        </is>
      </c>
    </row>
    <row r="5">
      <c r="A5" t="n">
        <v>2009</v>
      </c>
      <c r="B5">
        <f>COUNTIFS('StatCan GHG'!$A$2:$A$1692,A5)</f>
        <v/>
      </c>
      <c r="C5" s="5">
        <f>SUMIFS('StatCan GHG'!$D$2:$D$1692,'StatCan GHG'!$A$2:$A$1692,A5)</f>
        <v/>
      </c>
      <c r="D5" s="5">
        <f>INDEX('StatCan Totals'!$B$2:$B$16,MATCH(A5,'StatCan Totals'!$A$2:$A$16,0))</f>
        <v/>
      </c>
      <c r="E5" s="5">
        <f>C5-D5</f>
        <v/>
      </c>
      <c r="F5" s="5">
        <f>B5*0.5</f>
        <v/>
      </c>
      <c r="G5" s="5">
        <f>IF(ABS(E5)&lt;=F5,"PASS","FAIL")</f>
        <v/>
      </c>
      <c r="H5" s="5">
        <f>INDEX('StatCan Totals'!$D$2:$D$16,MATCH(A5,'StatCan Totals'!$A$2:$A$16,0))</f>
        <v/>
      </c>
      <c r="I5" s="5">
        <f>INDEX('StatCan Totals'!$E$2:$E$16,MATCH(A5,'StatCan Totals'!$A$2:$A$16,0))</f>
        <v/>
      </c>
      <c r="J5" s="5">
        <f>I5-H5</f>
        <v/>
      </c>
      <c r="K5" s="5">
        <f>INDEX('StatCan Totals'!$F$2:$F$16,MATCH(A5,'StatCan Totals'!$A$2:$A$16,0))</f>
        <v/>
      </c>
      <c r="L5" s="5">
        <f>J5-K5</f>
        <v/>
      </c>
    </row>
    <row r="6">
      <c r="A6" t="n">
        <v>2010</v>
      </c>
      <c r="B6">
        <f>COUNTIFS('StatCan GHG'!$A$2:$A$1692,A6)</f>
        <v/>
      </c>
      <c r="C6" s="5">
        <f>SUMIFS('StatCan GHG'!$D$2:$D$1692,'StatCan GHG'!$A$2:$A$1692,A6)</f>
        <v/>
      </c>
      <c r="D6" s="5">
        <f>INDEX('StatCan Totals'!$B$2:$B$16,MATCH(A6,'StatCan Totals'!$A$2:$A$16,0))</f>
        <v/>
      </c>
      <c r="E6" s="5">
        <f>C6-D6</f>
        <v/>
      </c>
      <c r="F6" s="5">
        <f>B6*0.5</f>
        <v/>
      </c>
      <c r="G6" s="5">
        <f>IF(ABS(E6)&lt;=F6,"PASS","FAIL")</f>
        <v/>
      </c>
      <c r="H6" s="5">
        <f>INDEX('StatCan Totals'!$D$2:$D$16,MATCH(A6,'StatCan Totals'!$A$2:$A$16,0))</f>
        <v/>
      </c>
      <c r="I6" s="5">
        <f>INDEX('StatCan Totals'!$E$2:$E$16,MATCH(A6,'StatCan Totals'!$A$2:$A$16,0))</f>
        <v/>
      </c>
      <c r="J6" s="5">
        <f>I6-H6</f>
        <v/>
      </c>
      <c r="K6" s="5">
        <f>INDEX('StatCan Totals'!$F$2:$F$16,MATCH(A6,'StatCan Totals'!$A$2:$A$16,0))</f>
        <v/>
      </c>
      <c r="L6" s="5">
        <f>J6-K6</f>
        <v/>
      </c>
    </row>
    <row r="7">
      <c r="A7" t="n">
        <v>2011</v>
      </c>
      <c r="B7">
        <f>COUNTIFS('StatCan GHG'!$A$2:$A$1692,A7)</f>
        <v/>
      </c>
      <c r="C7" s="5">
        <f>SUMIFS('StatCan GHG'!$D$2:$D$1692,'StatCan GHG'!$A$2:$A$1692,A7)</f>
        <v/>
      </c>
      <c r="D7" s="5">
        <f>INDEX('StatCan Totals'!$B$2:$B$16,MATCH(A7,'StatCan Totals'!$A$2:$A$16,0))</f>
        <v/>
      </c>
      <c r="E7" s="5">
        <f>C7-D7</f>
        <v/>
      </c>
      <c r="F7" s="5">
        <f>B7*0.5</f>
        <v/>
      </c>
      <c r="G7" s="5">
        <f>IF(ABS(E7)&lt;=F7,"PASS","FAIL")</f>
        <v/>
      </c>
      <c r="H7" s="5">
        <f>INDEX('StatCan Totals'!$D$2:$D$16,MATCH(A7,'StatCan Totals'!$A$2:$A$16,0))</f>
        <v/>
      </c>
      <c r="I7" s="5">
        <f>INDEX('StatCan Totals'!$E$2:$E$16,MATCH(A7,'StatCan Totals'!$A$2:$A$16,0))</f>
        <v/>
      </c>
      <c r="J7" s="5">
        <f>I7-H7</f>
        <v/>
      </c>
      <c r="K7" s="5">
        <f>INDEX('StatCan Totals'!$F$2:$F$16,MATCH(A7,'StatCan Totals'!$A$2:$A$16,0))</f>
        <v/>
      </c>
      <c r="L7" s="5">
        <f>J7-K7</f>
        <v/>
      </c>
    </row>
    <row r="8">
      <c r="A8" t="n">
        <v>2012</v>
      </c>
      <c r="B8">
        <f>COUNTIFS('StatCan GHG'!$A$2:$A$1692,A8)</f>
        <v/>
      </c>
      <c r="C8" s="5">
        <f>SUMIFS('StatCan GHG'!$D$2:$D$1692,'StatCan GHG'!$A$2:$A$1692,A8)</f>
        <v/>
      </c>
      <c r="D8" s="5">
        <f>INDEX('StatCan Totals'!$B$2:$B$16,MATCH(A8,'StatCan Totals'!$A$2:$A$16,0))</f>
        <v/>
      </c>
      <c r="E8" s="5">
        <f>C8-D8</f>
        <v/>
      </c>
      <c r="F8" s="5">
        <f>B8*0.5</f>
        <v/>
      </c>
      <c r="G8" s="5">
        <f>IF(ABS(E8)&lt;=F8,"PASS","FAIL")</f>
        <v/>
      </c>
      <c r="H8" s="5">
        <f>INDEX('StatCan Totals'!$D$2:$D$16,MATCH(A8,'StatCan Totals'!$A$2:$A$16,0))</f>
        <v/>
      </c>
      <c r="I8" s="5">
        <f>INDEX('StatCan Totals'!$E$2:$E$16,MATCH(A8,'StatCan Totals'!$A$2:$A$16,0))</f>
        <v/>
      </c>
      <c r="J8" s="5">
        <f>I8-H8</f>
        <v/>
      </c>
      <c r="K8" s="5">
        <f>INDEX('StatCan Totals'!$F$2:$F$16,MATCH(A8,'StatCan Totals'!$A$2:$A$16,0))</f>
        <v/>
      </c>
      <c r="L8" s="5">
        <f>J8-K8</f>
        <v/>
      </c>
    </row>
    <row r="9">
      <c r="A9" t="n">
        <v>2013</v>
      </c>
      <c r="B9">
        <f>COUNTIFS('StatCan GHG'!$A$2:$A$1692,A9)</f>
        <v/>
      </c>
      <c r="C9" s="5">
        <f>SUMIFS('StatCan GHG'!$D$2:$D$1692,'StatCan GHG'!$A$2:$A$1692,A9)</f>
        <v/>
      </c>
      <c r="D9" s="5">
        <f>INDEX('StatCan Totals'!$B$2:$B$16,MATCH(A9,'StatCan Totals'!$A$2:$A$16,0))</f>
        <v/>
      </c>
      <c r="E9" s="5">
        <f>C9-D9</f>
        <v/>
      </c>
      <c r="F9" s="5">
        <f>B9*0.5</f>
        <v/>
      </c>
      <c r="G9" s="5">
        <f>IF(ABS(E9)&lt;=F9,"PASS","FAIL")</f>
        <v/>
      </c>
      <c r="H9" s="5">
        <f>INDEX('StatCan Totals'!$D$2:$D$16,MATCH(A9,'StatCan Totals'!$A$2:$A$16,0))</f>
        <v/>
      </c>
      <c r="I9" s="5">
        <f>INDEX('StatCan Totals'!$E$2:$E$16,MATCH(A9,'StatCan Totals'!$A$2:$A$16,0))</f>
        <v/>
      </c>
      <c r="J9" s="5">
        <f>I9-H9</f>
        <v/>
      </c>
      <c r="K9" s="5">
        <f>INDEX('StatCan Totals'!$F$2:$F$16,MATCH(A9,'StatCan Totals'!$A$2:$A$16,0))</f>
        <v/>
      </c>
      <c r="L9" s="5">
        <f>J9-K9</f>
        <v/>
      </c>
    </row>
    <row r="10">
      <c r="A10" t="n">
        <v>2014</v>
      </c>
      <c r="B10">
        <f>COUNTIFS('StatCan GHG'!$A$2:$A$1692,A10)</f>
        <v/>
      </c>
      <c r="C10" s="5">
        <f>SUMIFS('StatCan GHG'!$D$2:$D$1692,'StatCan GHG'!$A$2:$A$1692,A10)</f>
        <v/>
      </c>
      <c r="D10" s="5">
        <f>INDEX('StatCan Totals'!$B$2:$B$16,MATCH(A10,'StatCan Totals'!$A$2:$A$16,0))</f>
        <v/>
      </c>
      <c r="E10" s="5">
        <f>C10-D10</f>
        <v/>
      </c>
      <c r="F10" s="5">
        <f>B10*0.5</f>
        <v/>
      </c>
      <c r="G10" s="5">
        <f>IF(ABS(E10)&lt;=F10,"PASS","FAIL")</f>
        <v/>
      </c>
      <c r="H10" s="5">
        <f>INDEX('StatCan Totals'!$D$2:$D$16,MATCH(A10,'StatCan Totals'!$A$2:$A$16,0))</f>
        <v/>
      </c>
      <c r="I10" s="5">
        <f>INDEX('StatCan Totals'!$E$2:$E$16,MATCH(A10,'StatCan Totals'!$A$2:$A$16,0))</f>
        <v/>
      </c>
      <c r="J10" s="5">
        <f>I10-H10</f>
        <v/>
      </c>
      <c r="K10" s="5">
        <f>INDEX('StatCan Totals'!$F$2:$F$16,MATCH(A10,'StatCan Totals'!$A$2:$A$16,0))</f>
        <v/>
      </c>
      <c r="L10" s="5">
        <f>J10-K10</f>
        <v/>
      </c>
    </row>
    <row r="11">
      <c r="A11" t="n">
        <v>2015</v>
      </c>
      <c r="B11">
        <f>COUNTIFS('StatCan GHG'!$A$2:$A$1692,A11)</f>
        <v/>
      </c>
      <c r="C11" s="5">
        <f>SUMIFS('StatCan GHG'!$D$2:$D$1692,'StatCan GHG'!$A$2:$A$1692,A11)</f>
        <v/>
      </c>
      <c r="D11" s="5">
        <f>INDEX('StatCan Totals'!$B$2:$B$16,MATCH(A11,'StatCan Totals'!$A$2:$A$16,0))</f>
        <v/>
      </c>
      <c r="E11" s="5">
        <f>C11-D11</f>
        <v/>
      </c>
      <c r="F11" s="5">
        <f>B11*0.5</f>
        <v/>
      </c>
      <c r="G11" s="5">
        <f>IF(ABS(E11)&lt;=F11,"PASS","FAIL")</f>
        <v/>
      </c>
      <c r="H11" s="5">
        <f>INDEX('StatCan Totals'!$D$2:$D$16,MATCH(A11,'StatCan Totals'!$A$2:$A$16,0))</f>
        <v/>
      </c>
      <c r="I11" s="5">
        <f>INDEX('StatCan Totals'!$E$2:$E$16,MATCH(A11,'StatCan Totals'!$A$2:$A$16,0))</f>
        <v/>
      </c>
      <c r="J11" s="5">
        <f>I11-H11</f>
        <v/>
      </c>
      <c r="K11" s="5">
        <f>INDEX('StatCan Totals'!$F$2:$F$16,MATCH(A11,'StatCan Totals'!$A$2:$A$16,0))</f>
        <v/>
      </c>
      <c r="L11" s="5">
        <f>J11-K11</f>
        <v/>
      </c>
    </row>
    <row r="12">
      <c r="A12" t="n">
        <v>2016</v>
      </c>
      <c r="B12">
        <f>COUNTIFS('StatCan GHG'!$A$2:$A$1692,A12)</f>
        <v/>
      </c>
      <c r="C12" s="5">
        <f>SUMIFS('StatCan GHG'!$D$2:$D$1692,'StatCan GHG'!$A$2:$A$1692,A12)</f>
        <v/>
      </c>
      <c r="D12" s="5">
        <f>INDEX('StatCan Totals'!$B$2:$B$16,MATCH(A12,'StatCan Totals'!$A$2:$A$16,0))</f>
        <v/>
      </c>
      <c r="E12" s="5">
        <f>C12-D12</f>
        <v/>
      </c>
      <c r="F12" s="5">
        <f>B12*0.5</f>
        <v/>
      </c>
      <c r="G12" s="5">
        <f>IF(ABS(E12)&lt;=F12,"PASS","FAIL")</f>
        <v/>
      </c>
      <c r="H12" s="5">
        <f>INDEX('StatCan Totals'!$D$2:$D$16,MATCH(A12,'StatCan Totals'!$A$2:$A$16,0))</f>
        <v/>
      </c>
      <c r="I12" s="5">
        <f>INDEX('StatCan Totals'!$E$2:$E$16,MATCH(A12,'StatCan Totals'!$A$2:$A$16,0))</f>
        <v/>
      </c>
      <c r="J12" s="5">
        <f>I12-H12</f>
        <v/>
      </c>
      <c r="K12" s="5">
        <f>INDEX('StatCan Totals'!$F$2:$F$16,MATCH(A12,'StatCan Totals'!$A$2:$A$16,0))</f>
        <v/>
      </c>
      <c r="L12" s="5">
        <f>J12-K12</f>
        <v/>
      </c>
    </row>
    <row r="13">
      <c r="A13" t="n">
        <v>2017</v>
      </c>
      <c r="B13">
        <f>COUNTIFS('StatCan GHG'!$A$2:$A$1692,A13)</f>
        <v/>
      </c>
      <c r="C13" s="5">
        <f>SUMIFS('StatCan GHG'!$D$2:$D$1692,'StatCan GHG'!$A$2:$A$1692,A13)</f>
        <v/>
      </c>
      <c r="D13" s="5">
        <f>INDEX('StatCan Totals'!$B$2:$B$16,MATCH(A13,'StatCan Totals'!$A$2:$A$16,0))</f>
        <v/>
      </c>
      <c r="E13" s="5">
        <f>C13-D13</f>
        <v/>
      </c>
      <c r="F13" s="5">
        <f>B13*0.5</f>
        <v/>
      </c>
      <c r="G13" s="5">
        <f>IF(ABS(E13)&lt;=F13,"PASS","FAIL")</f>
        <v/>
      </c>
      <c r="H13" s="5">
        <f>INDEX('StatCan Totals'!$D$2:$D$16,MATCH(A13,'StatCan Totals'!$A$2:$A$16,0))</f>
        <v/>
      </c>
      <c r="I13" s="5">
        <f>INDEX('StatCan Totals'!$E$2:$E$16,MATCH(A13,'StatCan Totals'!$A$2:$A$16,0))</f>
        <v/>
      </c>
      <c r="J13" s="5">
        <f>I13-H13</f>
        <v/>
      </c>
      <c r="K13" s="5">
        <f>INDEX('StatCan Totals'!$F$2:$F$16,MATCH(A13,'StatCan Totals'!$A$2:$A$16,0))</f>
        <v/>
      </c>
      <c r="L13" s="5">
        <f>J13-K13</f>
        <v/>
      </c>
    </row>
    <row r="14">
      <c r="A14" t="n">
        <v>2018</v>
      </c>
      <c r="B14">
        <f>COUNTIFS('StatCan GHG'!$A$2:$A$1692,A14)</f>
        <v/>
      </c>
      <c r="C14" s="5">
        <f>SUMIFS('StatCan GHG'!$D$2:$D$1692,'StatCan GHG'!$A$2:$A$1692,A14)</f>
        <v/>
      </c>
      <c r="D14" s="5">
        <f>INDEX('StatCan Totals'!$B$2:$B$16,MATCH(A14,'StatCan Totals'!$A$2:$A$16,0))</f>
        <v/>
      </c>
      <c r="E14" s="5">
        <f>C14-D14</f>
        <v/>
      </c>
      <c r="F14" s="5">
        <f>B14*0.5</f>
        <v/>
      </c>
      <c r="G14" s="5">
        <f>IF(ABS(E14)&lt;=F14,"PASS","FAIL")</f>
        <v/>
      </c>
      <c r="H14" s="5">
        <f>INDEX('StatCan Totals'!$D$2:$D$16,MATCH(A14,'StatCan Totals'!$A$2:$A$16,0))</f>
        <v/>
      </c>
      <c r="I14" s="5">
        <f>INDEX('StatCan Totals'!$E$2:$E$16,MATCH(A14,'StatCan Totals'!$A$2:$A$16,0))</f>
        <v/>
      </c>
      <c r="J14" s="5">
        <f>I14-H14</f>
        <v/>
      </c>
      <c r="K14" s="5">
        <f>INDEX('StatCan Totals'!$F$2:$F$16,MATCH(A14,'StatCan Totals'!$A$2:$A$16,0))</f>
        <v/>
      </c>
      <c r="L14" s="5">
        <f>J14-K14</f>
        <v/>
      </c>
    </row>
    <row r="15">
      <c r="A15" t="n">
        <v>2019</v>
      </c>
      <c r="B15">
        <f>COUNTIFS('StatCan GHG'!$A$2:$A$1692,A15)</f>
        <v/>
      </c>
      <c r="C15" s="5">
        <f>SUMIFS('StatCan GHG'!$D$2:$D$1692,'StatCan GHG'!$A$2:$A$1692,A15)</f>
        <v/>
      </c>
      <c r="D15" s="5">
        <f>INDEX('StatCan Totals'!$B$2:$B$16,MATCH(A15,'StatCan Totals'!$A$2:$A$16,0))</f>
        <v/>
      </c>
      <c r="E15" s="5">
        <f>C15-D15</f>
        <v/>
      </c>
      <c r="F15" s="5">
        <f>B15*0.5</f>
        <v/>
      </c>
      <c r="G15" s="5">
        <f>IF(ABS(E15)&lt;=F15,"PASS","FAIL")</f>
        <v/>
      </c>
      <c r="H15" s="5">
        <f>INDEX('StatCan Totals'!$D$2:$D$16,MATCH(A15,'StatCan Totals'!$A$2:$A$16,0))</f>
        <v/>
      </c>
      <c r="I15" s="5">
        <f>INDEX('StatCan Totals'!$E$2:$E$16,MATCH(A15,'StatCan Totals'!$A$2:$A$16,0))</f>
        <v/>
      </c>
      <c r="J15" s="5">
        <f>I15-H15</f>
        <v/>
      </c>
      <c r="K15" s="5">
        <f>INDEX('StatCan Totals'!$F$2:$F$16,MATCH(A15,'StatCan Totals'!$A$2:$A$16,0))</f>
        <v/>
      </c>
      <c r="L15" s="5">
        <f>J15-K15</f>
        <v/>
      </c>
    </row>
    <row r="16">
      <c r="A16" t="n">
        <v>2020</v>
      </c>
      <c r="B16">
        <f>COUNTIFS('StatCan GHG'!$A$2:$A$1692,A16)</f>
        <v/>
      </c>
      <c r="C16" s="5">
        <f>SUMIFS('StatCan GHG'!$D$2:$D$1692,'StatCan GHG'!$A$2:$A$1692,A16)</f>
        <v/>
      </c>
      <c r="D16" s="5">
        <f>INDEX('StatCan Totals'!$B$2:$B$16,MATCH(A16,'StatCan Totals'!$A$2:$A$16,0))</f>
        <v/>
      </c>
      <c r="E16" s="5">
        <f>C16-D16</f>
        <v/>
      </c>
      <c r="F16" s="5">
        <f>B16*0.5</f>
        <v/>
      </c>
      <c r="G16" s="5">
        <f>IF(ABS(E16)&lt;=F16,"PASS","FAIL")</f>
        <v/>
      </c>
      <c r="H16" s="5">
        <f>INDEX('StatCan Totals'!$D$2:$D$16,MATCH(A16,'StatCan Totals'!$A$2:$A$16,0))</f>
        <v/>
      </c>
      <c r="I16" s="5">
        <f>INDEX('StatCan Totals'!$E$2:$E$16,MATCH(A16,'StatCan Totals'!$A$2:$A$16,0))</f>
        <v/>
      </c>
      <c r="J16" s="5">
        <f>I16-H16</f>
        <v/>
      </c>
      <c r="K16" s="5">
        <f>INDEX('StatCan Totals'!$F$2:$F$16,MATCH(A16,'StatCan Totals'!$A$2:$A$16,0))</f>
        <v/>
      </c>
      <c r="L16" s="5">
        <f>J16-K16</f>
        <v/>
      </c>
    </row>
    <row r="17">
      <c r="A17" t="n">
        <v>2021</v>
      </c>
      <c r="B17">
        <f>COUNTIFS('StatCan GHG'!$A$2:$A$1692,A17)</f>
        <v/>
      </c>
      <c r="C17" s="5">
        <f>SUMIFS('StatCan GHG'!$D$2:$D$1692,'StatCan GHG'!$A$2:$A$1692,A17)</f>
        <v/>
      </c>
      <c r="D17" s="5">
        <f>INDEX('StatCan Totals'!$B$2:$B$16,MATCH(A17,'StatCan Totals'!$A$2:$A$16,0))</f>
        <v/>
      </c>
      <c r="E17" s="5">
        <f>C17-D17</f>
        <v/>
      </c>
      <c r="F17" s="5">
        <f>B17*0.5</f>
        <v/>
      </c>
      <c r="G17" s="5">
        <f>IF(ABS(E17)&lt;=F17,"PASS","FAIL")</f>
        <v/>
      </c>
      <c r="H17" s="5">
        <f>INDEX('StatCan Totals'!$D$2:$D$16,MATCH(A17,'StatCan Totals'!$A$2:$A$16,0))</f>
        <v/>
      </c>
      <c r="I17" s="5">
        <f>INDEX('StatCan Totals'!$E$2:$E$16,MATCH(A17,'StatCan Totals'!$A$2:$A$16,0))</f>
        <v/>
      </c>
      <c r="J17" s="5">
        <f>I17-H17</f>
        <v/>
      </c>
      <c r="K17" s="5">
        <f>INDEX('StatCan Totals'!$F$2:$F$16,MATCH(A17,'StatCan Totals'!$A$2:$A$16,0))</f>
        <v/>
      </c>
      <c r="L17" s="5">
        <f>J17-K17</f>
        <v/>
      </c>
    </row>
    <row r="18">
      <c r="A18" t="n">
        <v>2022</v>
      </c>
      <c r="B18">
        <f>COUNTIFS('StatCan GHG'!$A$2:$A$1692,A18)</f>
        <v/>
      </c>
      <c r="C18" s="5">
        <f>SUMIFS('StatCan GHG'!$D$2:$D$1692,'StatCan GHG'!$A$2:$A$1692,A18)</f>
        <v/>
      </c>
      <c r="D18" s="5">
        <f>INDEX('StatCan Totals'!$B$2:$B$16,MATCH(A18,'StatCan Totals'!$A$2:$A$16,0))</f>
        <v/>
      </c>
      <c r="E18" s="5">
        <f>C18-D18</f>
        <v/>
      </c>
      <c r="F18" s="5">
        <f>B18*0.5</f>
        <v/>
      </c>
      <c r="G18" s="5">
        <f>IF(ABS(E18)&lt;=F18,"PASS","FAIL")</f>
        <v/>
      </c>
      <c r="H18" s="5">
        <f>INDEX('StatCan Totals'!$D$2:$D$16,MATCH(A18,'StatCan Totals'!$A$2:$A$16,0))</f>
        <v/>
      </c>
      <c r="I18" s="5">
        <f>INDEX('StatCan Totals'!$E$2:$E$16,MATCH(A18,'StatCan Totals'!$A$2:$A$16,0))</f>
        <v/>
      </c>
      <c r="J18" s="5">
        <f>I18-H18</f>
        <v/>
      </c>
      <c r="K18" s="5">
        <f>INDEX('StatCan Totals'!$F$2:$F$16,MATCH(A18,'StatCan Totals'!$A$2:$A$16,0))</f>
        <v/>
      </c>
      <c r="L18" s="5">
        <f>J18-K18</f>
        <v/>
      </c>
    </row>
    <row r="19">
      <c r="A19" t="n">
        <v>2023</v>
      </c>
      <c r="B19">
        <f>COUNTIFS('StatCan GHG'!$A$2:$A$1692,A19)</f>
        <v/>
      </c>
      <c r="C19" s="5">
        <f>SUMIFS('StatCan GHG'!$D$2:$D$1692,'StatCan GHG'!$A$2:$A$1692,A19)</f>
        <v/>
      </c>
      <c r="D19" s="5">
        <f>INDEX('StatCan Totals'!$B$2:$B$16,MATCH(A19,'StatCan Totals'!$A$2:$A$16,0))</f>
        <v/>
      </c>
      <c r="E19" s="5">
        <f>C19-D19</f>
        <v/>
      </c>
      <c r="F19" s="5">
        <f>B19*0.5</f>
        <v/>
      </c>
      <c r="G19" s="5">
        <f>IF(ABS(E19)&lt;=F19,"PASS","FAIL")</f>
        <v/>
      </c>
      <c r="H19" s="5">
        <f>INDEX('StatCan Totals'!$D$2:$D$16,MATCH(A19,'StatCan Totals'!$A$2:$A$16,0))</f>
        <v/>
      </c>
      <c r="I19" s="5">
        <f>INDEX('StatCan Totals'!$E$2:$E$16,MATCH(A19,'StatCan Totals'!$A$2:$A$16,0))</f>
        <v/>
      </c>
      <c r="J19" s="5">
        <f>I19-H19</f>
        <v/>
      </c>
      <c r="K19" s="5">
        <f>INDEX('StatCan Totals'!$F$2:$F$16,MATCH(A19,'StatCan Totals'!$A$2:$A$16,0))</f>
        <v/>
      </c>
      <c r="L19" s="5">
        <f>J19-K19</f>
        <v/>
      </c>
    </row>
    <row r="21">
      <c r="A21" s="12" t="inlineStr">
        <is>
          <t>All years reconcile</t>
        </is>
      </c>
      <c r="B21">
        <f>IF(COUNTIF(G5:G19,"PASS")=15,"PASS","FAIL")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70" customWidth="1" min="3" max="3"/>
    <col width="18" customWidth="1" min="4" max="4"/>
    <col width="38" customWidth="1" min="5" max="5"/>
  </cols>
  <sheetData>
    <row r="1">
      <c r="A1" s="8" t="inlineStr">
        <is>
          <t>Year</t>
        </is>
      </c>
      <c r="B1" s="8" t="inlineStr">
        <is>
          <t>Code</t>
        </is>
      </c>
      <c r="C1" s="8" t="inlineStr">
        <is>
          <t>Industry</t>
        </is>
      </c>
      <c r="D1" s="8" t="inlineStr">
        <is>
          <t>GHG emissions (kt CO2e) - table 38-10-0097-01</t>
        </is>
      </c>
      <c r="E1" s="8" t="inlineStr">
        <is>
          <t>Portfolio sector (lookup)</t>
        </is>
      </c>
    </row>
    <row r="2">
      <c r="A2" t="n">
        <v>2009</v>
      </c>
      <c r="B2" t="inlineStr">
        <is>
          <t>BS11300</t>
        </is>
      </c>
      <c r="C2" t="inlineStr">
        <is>
          <t>Forestry and logging</t>
        </is>
      </c>
      <c r="D2" t="n">
        <v>5993</v>
      </c>
      <c r="E2">
        <f>IFERROR(VLOOKUP(B2,Crosswalk!$A$2:$C$125,3,FALSE),"Unmapped")</f>
        <v/>
      </c>
    </row>
    <row r="3">
      <c r="A3" t="n">
        <v>2009</v>
      </c>
      <c r="B3" t="inlineStr">
        <is>
          <t>BS11400</t>
        </is>
      </c>
      <c r="C3" t="inlineStr">
        <is>
          <t>Fishing, hunting and trapping</t>
        </is>
      </c>
      <c r="D3" t="n">
        <v>648</v>
      </c>
      <c r="E3">
        <f>IFERROR(VLOOKUP(B3,Crosswalk!$A$2:$C$125,3,FALSE),"Unmapped")</f>
        <v/>
      </c>
    </row>
    <row r="4">
      <c r="A4" t="n">
        <v>2009</v>
      </c>
      <c r="B4" t="inlineStr">
        <is>
          <t>BS11500</t>
        </is>
      </c>
      <c r="C4" t="inlineStr">
        <is>
          <t>Support activities for agriculture and forestry</t>
        </is>
      </c>
      <c r="D4" t="n">
        <v>965</v>
      </c>
      <c r="E4">
        <f>IFERROR(VLOOKUP(B4,Crosswalk!$A$2:$C$125,3,FALSE),"Unmapped")</f>
        <v/>
      </c>
    </row>
    <row r="5">
      <c r="A5" t="n">
        <v>2009</v>
      </c>
      <c r="B5" t="inlineStr">
        <is>
          <t>BS11A00</t>
        </is>
      </c>
      <c r="C5" t="inlineStr">
        <is>
          <t>Crop and animal production</t>
        </is>
      </c>
      <c r="D5" t="n">
        <v>63902</v>
      </c>
      <c r="E5">
        <f>IFERROR(VLOOKUP(B5,Crosswalk!$A$2:$C$125,3,FALSE),"Unmapped")</f>
        <v/>
      </c>
    </row>
    <row r="6">
      <c r="A6" t="n">
        <v>2009</v>
      </c>
      <c r="B6" t="inlineStr">
        <is>
          <t>BS21100</t>
        </is>
      </c>
      <c r="C6" t="inlineStr">
        <is>
          <t>Oil and gas extraction</t>
        </is>
      </c>
      <c r="D6" t="n">
        <v>168013</v>
      </c>
      <c r="E6">
        <f>IFERROR(VLOOKUP(B6,Crosswalk!$A$2:$C$125,3,FALSE),"Unmapped")</f>
        <v/>
      </c>
    </row>
    <row r="7">
      <c r="A7" t="n">
        <v>2009</v>
      </c>
      <c r="B7" t="inlineStr">
        <is>
          <t>BS21210</t>
        </is>
      </c>
      <c r="C7" t="inlineStr">
        <is>
          <t>Coal mining</t>
        </is>
      </c>
      <c r="D7" t="n">
        <v>2255</v>
      </c>
      <c r="E7">
        <f>IFERROR(VLOOKUP(B7,Crosswalk!$A$2:$C$125,3,FALSE),"Unmapped")</f>
        <v/>
      </c>
    </row>
    <row r="8">
      <c r="A8" t="n">
        <v>2009</v>
      </c>
      <c r="B8" t="inlineStr">
        <is>
          <t>BS21220</t>
        </is>
      </c>
      <c r="C8" t="inlineStr">
        <is>
          <t>Metal ore mining</t>
        </is>
      </c>
      <c r="D8" t="n">
        <v>3218</v>
      </c>
      <c r="E8">
        <f>IFERROR(VLOOKUP(B8,Crosswalk!$A$2:$C$125,3,FALSE),"Unmapped")</f>
        <v/>
      </c>
    </row>
    <row r="9">
      <c r="A9" t="n">
        <v>2009</v>
      </c>
      <c r="B9" t="inlineStr">
        <is>
          <t>BS21230</t>
        </is>
      </c>
      <c r="C9" t="inlineStr">
        <is>
          <t>Non-metallic mineral mining and quarrying</t>
        </is>
      </c>
      <c r="D9" t="n">
        <v>2102</v>
      </c>
      <c r="E9">
        <f>IFERROR(VLOOKUP(B9,Crosswalk!$A$2:$C$125,3,FALSE),"Unmapped")</f>
        <v/>
      </c>
    </row>
    <row r="10">
      <c r="A10" t="n">
        <v>2009</v>
      </c>
      <c r="B10" t="inlineStr">
        <is>
          <t>BS21300</t>
        </is>
      </c>
      <c r="C10" t="inlineStr">
        <is>
          <t>Support activities for mining and oil and gas extraction</t>
        </is>
      </c>
      <c r="D10" t="n">
        <v>6723</v>
      </c>
      <c r="E10">
        <f>IFERROR(VLOOKUP(B10,Crosswalk!$A$2:$C$125,3,FALSE),"Unmapped")</f>
        <v/>
      </c>
    </row>
    <row r="11">
      <c r="A11" t="n">
        <v>2009</v>
      </c>
      <c r="B11" t="inlineStr">
        <is>
          <t>BS22110</t>
        </is>
      </c>
      <c r="C11" t="inlineStr">
        <is>
          <t>Electric power generation, transmission and distribution</t>
        </is>
      </c>
      <c r="D11" t="n">
        <v>104317</v>
      </c>
      <c r="E11">
        <f>IFERROR(VLOOKUP(B11,Crosswalk!$A$2:$C$125,3,FALSE),"Unmapped")</f>
        <v/>
      </c>
    </row>
    <row r="12">
      <c r="A12" t="n">
        <v>2009</v>
      </c>
      <c r="B12" t="inlineStr">
        <is>
          <t>BS221A0</t>
        </is>
      </c>
      <c r="C12" t="inlineStr">
        <is>
          <t>Natural gas distribution, water, sewage and other systems</t>
        </is>
      </c>
      <c r="D12" t="n">
        <v>2671</v>
      </c>
      <c r="E12">
        <f>IFERROR(VLOOKUP(B12,Crosswalk!$A$2:$C$125,3,FALSE),"Unmapped")</f>
        <v/>
      </c>
    </row>
    <row r="13">
      <c r="A13" t="n">
        <v>2009</v>
      </c>
      <c r="B13" t="inlineStr">
        <is>
          <t>BS23A00</t>
        </is>
      </c>
      <c r="C13" t="inlineStr">
        <is>
          <t>Residential building construction</t>
        </is>
      </c>
      <c r="D13" t="n">
        <v>1561</v>
      </c>
      <c r="E13">
        <f>IFERROR(VLOOKUP(B13,Crosswalk!$A$2:$C$125,3,FALSE),"Unmapped")</f>
        <v/>
      </c>
    </row>
    <row r="14">
      <c r="A14" t="n">
        <v>2009</v>
      </c>
      <c r="B14" t="inlineStr">
        <is>
          <t>BS23B00</t>
        </is>
      </c>
      <c r="C14" t="inlineStr">
        <is>
          <t>Non-residential building construction</t>
        </is>
      </c>
      <c r="D14" t="n">
        <v>523</v>
      </c>
      <c r="E14">
        <f>IFERROR(VLOOKUP(B14,Crosswalk!$A$2:$C$125,3,FALSE),"Unmapped")</f>
        <v/>
      </c>
    </row>
    <row r="15">
      <c r="A15" t="n">
        <v>2009</v>
      </c>
      <c r="B15" t="inlineStr">
        <is>
          <t>BS23C10</t>
        </is>
      </c>
      <c r="C15" t="inlineStr">
        <is>
          <t>Transportation engineering construction</t>
        </is>
      </c>
      <c r="D15" t="n">
        <v>1357</v>
      </c>
      <c r="E15">
        <f>IFERROR(VLOOKUP(B15,Crosswalk!$A$2:$C$125,3,FALSE),"Unmapped")</f>
        <v/>
      </c>
    </row>
    <row r="16">
      <c r="A16" t="n">
        <v>2009</v>
      </c>
      <c r="B16" t="inlineStr">
        <is>
          <t>BS23C20</t>
        </is>
      </c>
      <c r="C16" t="inlineStr">
        <is>
          <t>Oil and gas engineering construction</t>
        </is>
      </c>
      <c r="D16" t="n">
        <v>816</v>
      </c>
      <c r="E16">
        <f>IFERROR(VLOOKUP(B16,Crosswalk!$A$2:$C$125,3,FALSE),"Unmapped")</f>
        <v/>
      </c>
    </row>
    <row r="17">
      <c r="A17" t="n">
        <v>2009</v>
      </c>
      <c r="B17" t="inlineStr">
        <is>
          <t>BS23C30</t>
        </is>
      </c>
      <c r="C17" t="inlineStr">
        <is>
          <t>Electric power engineering construction</t>
        </is>
      </c>
      <c r="D17" t="n">
        <v>484</v>
      </c>
      <c r="E17">
        <f>IFERROR(VLOOKUP(B17,Crosswalk!$A$2:$C$125,3,FALSE),"Unmapped")</f>
        <v/>
      </c>
    </row>
    <row r="18">
      <c r="A18" t="n">
        <v>2009</v>
      </c>
      <c r="B18" t="inlineStr">
        <is>
          <t>BS23C40</t>
        </is>
      </c>
      <c r="C18" t="inlineStr">
        <is>
          <t>Communication engineering construction</t>
        </is>
      </c>
      <c r="D18" t="n">
        <v>85</v>
      </c>
      <c r="E18">
        <f>IFERROR(VLOOKUP(B18,Crosswalk!$A$2:$C$125,3,FALSE),"Unmapped")</f>
        <v/>
      </c>
    </row>
    <row r="19">
      <c r="A19" t="n">
        <v>2009</v>
      </c>
      <c r="B19" t="inlineStr">
        <is>
          <t>BS23C50</t>
        </is>
      </c>
      <c r="C19" t="inlineStr">
        <is>
          <t>Other engineering construction</t>
        </is>
      </c>
      <c r="D19" t="n">
        <v>701</v>
      </c>
      <c r="E19">
        <f>IFERROR(VLOOKUP(B19,Crosswalk!$A$2:$C$125,3,FALSE),"Unmapped")</f>
        <v/>
      </c>
    </row>
    <row r="20">
      <c r="A20" t="n">
        <v>2009</v>
      </c>
      <c r="B20" t="inlineStr">
        <is>
          <t>BS23D00</t>
        </is>
      </c>
      <c r="C20" t="inlineStr">
        <is>
          <t>Repair construction</t>
        </is>
      </c>
      <c r="D20" t="n">
        <v>768</v>
      </c>
      <c r="E20">
        <f>IFERROR(VLOOKUP(B20,Crosswalk!$A$2:$C$125,3,FALSE),"Unmapped")</f>
        <v/>
      </c>
    </row>
    <row r="21">
      <c r="A21" t="n">
        <v>2009</v>
      </c>
      <c r="B21" t="inlineStr">
        <is>
          <t>BS23E00</t>
        </is>
      </c>
      <c r="C21" t="inlineStr">
        <is>
          <t>Other activities of the construction industry</t>
        </is>
      </c>
      <c r="D21" t="n">
        <v>390</v>
      </c>
      <c r="E21">
        <f>IFERROR(VLOOKUP(B21,Crosswalk!$A$2:$C$125,3,FALSE),"Unmapped")</f>
        <v/>
      </c>
    </row>
    <row r="22">
      <c r="A22" t="n">
        <v>2009</v>
      </c>
      <c r="B22" t="inlineStr">
        <is>
          <t>BS31110</t>
        </is>
      </c>
      <c r="C22" t="inlineStr">
        <is>
          <t>Animal food manufacturing</t>
        </is>
      </c>
      <c r="D22" t="n">
        <v>256</v>
      </c>
      <c r="E22">
        <f>IFERROR(VLOOKUP(B22,Crosswalk!$A$2:$C$125,3,FALSE),"Unmapped")</f>
        <v/>
      </c>
    </row>
    <row r="23">
      <c r="A23" t="n">
        <v>2009</v>
      </c>
      <c r="B23" t="inlineStr">
        <is>
          <t>BS31130</t>
        </is>
      </c>
      <c r="C23" t="inlineStr">
        <is>
          <t>Sugar and confectionery product manufacturing</t>
        </is>
      </c>
      <c r="D23" t="n">
        <v>445</v>
      </c>
      <c r="E23">
        <f>IFERROR(VLOOKUP(B23,Crosswalk!$A$2:$C$125,3,FALSE),"Unmapped")</f>
        <v/>
      </c>
    </row>
    <row r="24">
      <c r="A24" t="n">
        <v>2009</v>
      </c>
      <c r="B24" t="inlineStr">
        <is>
          <t>BS31140</t>
        </is>
      </c>
      <c r="C24" t="inlineStr">
        <is>
          <t>Fruit and vegetable preserving and specialty food manufacturing</t>
        </is>
      </c>
      <c r="D24" t="n">
        <v>648</v>
      </c>
      <c r="E24">
        <f>IFERROR(VLOOKUP(B24,Crosswalk!$A$2:$C$125,3,FALSE),"Unmapped")</f>
        <v/>
      </c>
    </row>
    <row r="25">
      <c r="A25" t="n">
        <v>2009</v>
      </c>
      <c r="B25" t="inlineStr">
        <is>
          <t>BS31150</t>
        </is>
      </c>
      <c r="C25" t="inlineStr">
        <is>
          <t>Dairy product manufacturing</t>
        </is>
      </c>
      <c r="D25" t="n">
        <v>485</v>
      </c>
      <c r="E25">
        <f>IFERROR(VLOOKUP(B25,Crosswalk!$A$2:$C$125,3,FALSE),"Unmapped")</f>
        <v/>
      </c>
    </row>
    <row r="26">
      <c r="A26" t="n">
        <v>2009</v>
      </c>
      <c r="B26" t="inlineStr">
        <is>
          <t>BS31160</t>
        </is>
      </c>
      <c r="C26" t="inlineStr">
        <is>
          <t>Meat product manufacturing</t>
        </is>
      </c>
      <c r="D26" t="n">
        <v>963</v>
      </c>
      <c r="E26">
        <f>IFERROR(VLOOKUP(B26,Crosswalk!$A$2:$C$125,3,FALSE),"Unmapped")</f>
        <v/>
      </c>
    </row>
    <row r="27">
      <c r="A27" t="n">
        <v>2009</v>
      </c>
      <c r="B27" t="inlineStr">
        <is>
          <t>BS31170</t>
        </is>
      </c>
      <c r="C27" t="inlineStr">
        <is>
          <t>Seafood product preparation and packaging</t>
        </is>
      </c>
      <c r="D27" t="n">
        <v>188</v>
      </c>
      <c r="E27">
        <f>IFERROR(VLOOKUP(B27,Crosswalk!$A$2:$C$125,3,FALSE),"Unmapped")</f>
        <v/>
      </c>
    </row>
    <row r="28">
      <c r="A28" t="n">
        <v>2009</v>
      </c>
      <c r="B28" t="inlineStr">
        <is>
          <t>BS311A0</t>
        </is>
      </c>
      <c r="C28" t="inlineStr">
        <is>
          <t>Miscellaneous food manufacturing</t>
        </is>
      </c>
      <c r="D28" t="n">
        <v>1453</v>
      </c>
      <c r="E28">
        <f>IFERROR(VLOOKUP(B28,Crosswalk!$A$2:$C$125,3,FALSE),"Unmapped")</f>
        <v/>
      </c>
    </row>
    <row r="29">
      <c r="A29" t="n">
        <v>2009</v>
      </c>
      <c r="B29" t="inlineStr">
        <is>
          <t>BS31211</t>
        </is>
      </c>
      <c r="C29" t="inlineStr">
        <is>
          <t>Soft drink and ice manufacturing</t>
        </is>
      </c>
      <c r="D29" t="n">
        <v>233</v>
      </c>
      <c r="E29">
        <f>IFERROR(VLOOKUP(B29,Crosswalk!$A$2:$C$125,3,FALSE),"Unmapped")</f>
        <v/>
      </c>
    </row>
    <row r="30">
      <c r="A30" t="n">
        <v>2009</v>
      </c>
      <c r="B30" t="inlineStr">
        <is>
          <t>BS31212</t>
        </is>
      </c>
      <c r="C30" t="inlineStr">
        <is>
          <t>Breweries</t>
        </is>
      </c>
      <c r="D30" t="n">
        <v>341</v>
      </c>
      <c r="E30">
        <f>IFERROR(VLOOKUP(B30,Crosswalk!$A$2:$C$125,3,FALSE),"Unmapped")</f>
        <v/>
      </c>
    </row>
    <row r="31">
      <c r="A31" t="n">
        <v>2009</v>
      </c>
      <c r="B31" t="inlineStr">
        <is>
          <t>BS3121A</t>
        </is>
      </c>
      <c r="C31" t="inlineStr">
        <is>
          <t>Wineries and distilleries</t>
        </is>
      </c>
      <c r="D31" t="n">
        <v>231</v>
      </c>
      <c r="E31">
        <f>IFERROR(VLOOKUP(B31,Crosswalk!$A$2:$C$125,3,FALSE),"Unmapped")</f>
        <v/>
      </c>
    </row>
    <row r="32">
      <c r="A32" t="n">
        <v>2009</v>
      </c>
      <c r="B32" t="inlineStr">
        <is>
          <t>BS31220</t>
        </is>
      </c>
      <c r="C32" t="inlineStr">
        <is>
          <t>Tobacco manufacturing</t>
        </is>
      </c>
      <c r="D32" t="n">
        <v>20</v>
      </c>
      <c r="E32">
        <f>IFERROR(VLOOKUP(B32,Crosswalk!$A$2:$C$125,3,FALSE),"Unmapped")</f>
        <v/>
      </c>
    </row>
    <row r="33">
      <c r="A33" t="n">
        <v>2009</v>
      </c>
      <c r="B33" t="inlineStr">
        <is>
          <t>BS31A00</t>
        </is>
      </c>
      <c r="C33" t="inlineStr">
        <is>
          <t>Textile and textile product mills</t>
        </is>
      </c>
      <c r="D33" t="n">
        <v>219</v>
      </c>
      <c r="E33">
        <f>IFERROR(VLOOKUP(B33,Crosswalk!$A$2:$C$125,3,FALSE),"Unmapped")</f>
        <v/>
      </c>
    </row>
    <row r="34">
      <c r="A34" t="n">
        <v>2009</v>
      </c>
      <c r="B34" t="inlineStr">
        <is>
          <t>BS31B00</t>
        </is>
      </c>
      <c r="C34" t="inlineStr">
        <is>
          <t>Clothing and leather and allied product manufacturing</t>
        </is>
      </c>
      <c r="D34" t="n">
        <v>85</v>
      </c>
      <c r="E34">
        <f>IFERROR(VLOOKUP(B34,Crosswalk!$A$2:$C$125,3,FALSE),"Unmapped")</f>
        <v/>
      </c>
    </row>
    <row r="35">
      <c r="A35" t="n">
        <v>2009</v>
      </c>
      <c r="B35" t="inlineStr">
        <is>
          <t>BS32100</t>
        </is>
      </c>
      <c r="C35" t="inlineStr">
        <is>
          <t>Wood product manufacturing</t>
        </is>
      </c>
      <c r="D35" t="n">
        <v>8890</v>
      </c>
      <c r="E35">
        <f>IFERROR(VLOOKUP(B35,Crosswalk!$A$2:$C$125,3,FALSE),"Unmapped")</f>
        <v/>
      </c>
    </row>
    <row r="36">
      <c r="A36" t="n">
        <v>2009</v>
      </c>
      <c r="B36" t="inlineStr">
        <is>
          <t>BS32210</t>
        </is>
      </c>
      <c r="C36" t="inlineStr">
        <is>
          <t>Pulp, paper and paperboard mills</t>
        </is>
      </c>
      <c r="D36" t="n">
        <v>38535</v>
      </c>
      <c r="E36">
        <f>IFERROR(VLOOKUP(B36,Crosswalk!$A$2:$C$125,3,FALSE),"Unmapped")</f>
        <v/>
      </c>
    </row>
    <row r="37">
      <c r="A37" t="n">
        <v>2009</v>
      </c>
      <c r="B37" t="inlineStr">
        <is>
          <t>BS32220</t>
        </is>
      </c>
      <c r="C37" t="inlineStr">
        <is>
          <t>Converted paper product manufacturing</t>
        </is>
      </c>
      <c r="D37" t="n">
        <v>977</v>
      </c>
      <c r="E37">
        <f>IFERROR(VLOOKUP(B37,Crosswalk!$A$2:$C$125,3,FALSE),"Unmapped")</f>
        <v/>
      </c>
    </row>
    <row r="38">
      <c r="A38" t="n">
        <v>2009</v>
      </c>
      <c r="B38" t="inlineStr">
        <is>
          <t>BS32300</t>
        </is>
      </c>
      <c r="C38" t="inlineStr">
        <is>
          <t>Printing and related support activities</t>
        </is>
      </c>
      <c r="D38" t="n">
        <v>305</v>
      </c>
      <c r="E38">
        <f>IFERROR(VLOOKUP(B38,Crosswalk!$A$2:$C$125,3,FALSE),"Unmapped")</f>
        <v/>
      </c>
    </row>
    <row r="39">
      <c r="A39" t="n">
        <v>2009</v>
      </c>
      <c r="B39" t="inlineStr">
        <is>
          <t>BS32400</t>
        </is>
      </c>
      <c r="C39" t="inlineStr">
        <is>
          <t>Petroleum and coal product manufacturing</t>
        </is>
      </c>
      <c r="D39" t="n">
        <v>22735</v>
      </c>
      <c r="E39">
        <f>IFERROR(VLOOKUP(B39,Crosswalk!$A$2:$C$125,3,FALSE),"Unmapped")</f>
        <v/>
      </c>
    </row>
    <row r="40">
      <c r="A40" t="n">
        <v>2009</v>
      </c>
      <c r="B40" t="inlineStr">
        <is>
          <t>BS32510</t>
        </is>
      </c>
      <c r="C40" t="inlineStr">
        <is>
          <t>Basic chemical manufacturing</t>
        </is>
      </c>
      <c r="D40" t="n">
        <v>11015</v>
      </c>
      <c r="E40">
        <f>IFERROR(VLOOKUP(B40,Crosswalk!$A$2:$C$125,3,FALSE),"Unmapped")</f>
        <v/>
      </c>
    </row>
    <row r="41">
      <c r="A41" t="n">
        <v>2009</v>
      </c>
      <c r="B41" t="inlineStr">
        <is>
          <t>BS32530</t>
        </is>
      </c>
      <c r="C41" t="inlineStr">
        <is>
          <t>Pesticide, fertilizer and other agricultural chemical manufacturing</t>
        </is>
      </c>
      <c r="D41" t="n">
        <v>5451</v>
      </c>
      <c r="E41">
        <f>IFERROR(VLOOKUP(B41,Crosswalk!$A$2:$C$125,3,FALSE),"Unmapped")</f>
        <v/>
      </c>
    </row>
    <row r="42">
      <c r="A42" t="n">
        <v>2009</v>
      </c>
      <c r="B42" t="inlineStr">
        <is>
          <t>BS32540</t>
        </is>
      </c>
      <c r="C42" t="inlineStr">
        <is>
          <t>Pharmaceutical and medicine manufacturing</t>
        </is>
      </c>
      <c r="D42" t="n">
        <v>250</v>
      </c>
      <c r="E42">
        <f>IFERROR(VLOOKUP(B42,Crosswalk!$A$2:$C$125,3,FALSE),"Unmapped")</f>
        <v/>
      </c>
    </row>
    <row r="43">
      <c r="A43" t="n">
        <v>2009</v>
      </c>
      <c r="B43" t="inlineStr">
        <is>
          <t>BS325C0</t>
        </is>
      </c>
      <c r="C43" t="inlineStr">
        <is>
          <t>Miscellaneous chemical product manufacturing</t>
        </is>
      </c>
      <c r="D43" t="n">
        <v>2310</v>
      </c>
      <c r="E43">
        <f>IFERROR(VLOOKUP(B43,Crosswalk!$A$2:$C$125,3,FALSE),"Unmapped")</f>
        <v/>
      </c>
    </row>
    <row r="44">
      <c r="A44" t="n">
        <v>2009</v>
      </c>
      <c r="B44" t="inlineStr">
        <is>
          <t>BS32610</t>
        </is>
      </c>
      <c r="C44" t="inlineStr">
        <is>
          <t>Plastic product manufacturing</t>
        </is>
      </c>
      <c r="D44" t="n">
        <v>583</v>
      </c>
      <c r="E44">
        <f>IFERROR(VLOOKUP(B44,Crosswalk!$A$2:$C$125,3,FALSE),"Unmapped")</f>
        <v/>
      </c>
    </row>
    <row r="45">
      <c r="A45" t="n">
        <v>2009</v>
      </c>
      <c r="B45" t="inlineStr">
        <is>
          <t>BS32620</t>
        </is>
      </c>
      <c r="C45" t="inlineStr">
        <is>
          <t>Rubber product manufacturing</t>
        </is>
      </c>
      <c r="D45" t="n">
        <v>344</v>
      </c>
      <c r="E45">
        <f>IFERROR(VLOOKUP(B45,Crosswalk!$A$2:$C$125,3,FALSE),"Unmapped")</f>
        <v/>
      </c>
    </row>
    <row r="46">
      <c r="A46" t="n">
        <v>2009</v>
      </c>
      <c r="B46" t="inlineStr">
        <is>
          <t>BS32730</t>
        </is>
      </c>
      <c r="C46" t="inlineStr">
        <is>
          <t>Cement and concrete product manufacturing</t>
        </is>
      </c>
      <c r="D46" t="n">
        <v>9812</v>
      </c>
      <c r="E46">
        <f>IFERROR(VLOOKUP(B46,Crosswalk!$A$2:$C$125,3,FALSE),"Unmapped")</f>
        <v/>
      </c>
    </row>
    <row r="47">
      <c r="A47" t="n">
        <v>2009</v>
      </c>
      <c r="B47" t="inlineStr">
        <is>
          <t>BS327A0</t>
        </is>
      </c>
      <c r="C47" t="inlineStr">
        <is>
          <t>Non-metallic mineral product manufacturing (except cement and concrete products)</t>
        </is>
      </c>
      <c r="D47" t="n">
        <v>3298</v>
      </c>
      <c r="E47">
        <f>IFERROR(VLOOKUP(B47,Crosswalk!$A$2:$C$125,3,FALSE),"Unmapped")</f>
        <v/>
      </c>
    </row>
    <row r="48">
      <c r="A48" t="n">
        <v>2009</v>
      </c>
      <c r="B48" t="inlineStr">
        <is>
          <t>BS33100</t>
        </is>
      </c>
      <c r="C48" t="inlineStr">
        <is>
          <t>Primary metal manufacturing</t>
        </is>
      </c>
      <c r="D48" t="n">
        <v>21612</v>
      </c>
      <c r="E48">
        <f>IFERROR(VLOOKUP(B48,Crosswalk!$A$2:$C$125,3,FALSE),"Unmapped")</f>
        <v/>
      </c>
    </row>
    <row r="49">
      <c r="A49" t="n">
        <v>2009</v>
      </c>
      <c r="B49" t="inlineStr">
        <is>
          <t>BS33200</t>
        </is>
      </c>
      <c r="C49" t="inlineStr">
        <is>
          <t>Fabricated metal product manufacturing</t>
        </is>
      </c>
      <c r="D49" t="n">
        <v>1719</v>
      </c>
      <c r="E49">
        <f>IFERROR(VLOOKUP(B49,Crosswalk!$A$2:$C$125,3,FALSE),"Unmapped")</f>
        <v/>
      </c>
    </row>
    <row r="50">
      <c r="A50" t="n">
        <v>2009</v>
      </c>
      <c r="B50" t="inlineStr">
        <is>
          <t>BS33300</t>
        </is>
      </c>
      <c r="C50" t="inlineStr">
        <is>
          <t>Machinery manufacturing</t>
        </is>
      </c>
      <c r="D50" t="n">
        <v>1004</v>
      </c>
      <c r="E50">
        <f>IFERROR(VLOOKUP(B50,Crosswalk!$A$2:$C$125,3,FALSE),"Unmapped")</f>
        <v/>
      </c>
    </row>
    <row r="51">
      <c r="A51" t="n">
        <v>2009</v>
      </c>
      <c r="B51" t="inlineStr">
        <is>
          <t>BS33410</t>
        </is>
      </c>
      <c r="C51" t="inlineStr">
        <is>
          <t>Computer and peripheral equipment manufacturing</t>
        </is>
      </c>
      <c r="D51" t="n">
        <v>13</v>
      </c>
      <c r="E51">
        <f>IFERROR(VLOOKUP(B51,Crosswalk!$A$2:$C$125,3,FALSE),"Unmapped")</f>
        <v/>
      </c>
    </row>
    <row r="52">
      <c r="A52" t="n">
        <v>2009</v>
      </c>
      <c r="B52" t="inlineStr">
        <is>
          <t>BS334B0</t>
        </is>
      </c>
      <c r="C52" t="inlineStr">
        <is>
          <t>Electronic product manufacturing</t>
        </is>
      </c>
      <c r="D52" t="n">
        <v>146</v>
      </c>
      <c r="E52">
        <f>IFERROR(VLOOKUP(B52,Crosswalk!$A$2:$C$125,3,FALSE),"Unmapped")</f>
        <v/>
      </c>
    </row>
    <row r="53">
      <c r="A53" t="n">
        <v>2009</v>
      </c>
      <c r="B53" t="inlineStr">
        <is>
          <t>BS33520</t>
        </is>
      </c>
      <c r="C53" t="inlineStr">
        <is>
          <t>Household appliance manufacturing</t>
        </is>
      </c>
      <c r="D53" t="n">
        <v>41</v>
      </c>
      <c r="E53">
        <f>IFERROR(VLOOKUP(B53,Crosswalk!$A$2:$C$125,3,FALSE),"Unmapped")</f>
        <v/>
      </c>
    </row>
    <row r="54">
      <c r="A54" t="n">
        <v>2009</v>
      </c>
      <c r="B54" t="inlineStr">
        <is>
          <t>BS335A0</t>
        </is>
      </c>
      <c r="C54" t="inlineStr">
        <is>
          <t>Electrical equipment and component manufacturing</t>
        </is>
      </c>
      <c r="D54" t="n">
        <v>253</v>
      </c>
      <c r="E54">
        <f>IFERROR(VLOOKUP(B54,Crosswalk!$A$2:$C$125,3,FALSE),"Unmapped")</f>
        <v/>
      </c>
    </row>
    <row r="55">
      <c r="A55" t="n">
        <v>2009</v>
      </c>
      <c r="B55" t="inlineStr">
        <is>
          <t>BS33610</t>
        </is>
      </c>
      <c r="C55" t="inlineStr">
        <is>
          <t>Motor vehicle manufacturing</t>
        </is>
      </c>
      <c r="D55" t="n">
        <v>628</v>
      </c>
      <c r="E55">
        <f>IFERROR(VLOOKUP(B55,Crosswalk!$A$2:$C$125,3,FALSE),"Unmapped")</f>
        <v/>
      </c>
    </row>
    <row r="56">
      <c r="A56" t="n">
        <v>2009</v>
      </c>
      <c r="B56" t="inlineStr">
        <is>
          <t>BS33620</t>
        </is>
      </c>
      <c r="C56" t="inlineStr">
        <is>
          <t>Motor vehicle body and trailer manufacturing</t>
        </is>
      </c>
      <c r="D56" t="n">
        <v>99</v>
      </c>
      <c r="E56">
        <f>IFERROR(VLOOKUP(B56,Crosswalk!$A$2:$C$125,3,FALSE),"Unmapped")</f>
        <v/>
      </c>
    </row>
    <row r="57">
      <c r="A57" t="n">
        <v>2009</v>
      </c>
      <c r="B57" t="inlineStr">
        <is>
          <t>BS33630</t>
        </is>
      </c>
      <c r="C57" t="inlineStr">
        <is>
          <t>Motor vehicle parts manufacturing</t>
        </is>
      </c>
      <c r="D57" t="n">
        <v>390</v>
      </c>
      <c r="E57">
        <f>IFERROR(VLOOKUP(B57,Crosswalk!$A$2:$C$125,3,FALSE),"Unmapped")</f>
        <v/>
      </c>
    </row>
    <row r="58">
      <c r="A58" t="n">
        <v>2009</v>
      </c>
      <c r="B58" t="inlineStr">
        <is>
          <t>BS33640</t>
        </is>
      </c>
      <c r="C58" t="inlineStr">
        <is>
          <t>Aerospace product and parts manufacturing</t>
        </is>
      </c>
      <c r="D58" t="n">
        <v>206</v>
      </c>
      <c r="E58">
        <f>IFERROR(VLOOKUP(B58,Crosswalk!$A$2:$C$125,3,FALSE),"Unmapped")</f>
        <v/>
      </c>
    </row>
    <row r="59">
      <c r="A59" t="n">
        <v>2009</v>
      </c>
      <c r="B59" t="inlineStr">
        <is>
          <t>BS33650</t>
        </is>
      </c>
      <c r="C59" t="inlineStr">
        <is>
          <t>Railroad rolling stock manufacturing</t>
        </is>
      </c>
      <c r="D59" t="n">
        <v>21</v>
      </c>
      <c r="E59">
        <f>IFERROR(VLOOKUP(B59,Crosswalk!$A$2:$C$125,3,FALSE),"Unmapped")</f>
        <v/>
      </c>
    </row>
    <row r="60">
      <c r="A60" t="n">
        <v>2009</v>
      </c>
      <c r="B60" t="inlineStr">
        <is>
          <t>BS33660</t>
        </is>
      </c>
      <c r="C60" t="inlineStr">
        <is>
          <t>Ship and boat building</t>
        </is>
      </c>
      <c r="D60" t="n">
        <v>36</v>
      </c>
      <c r="E60">
        <f>IFERROR(VLOOKUP(B60,Crosswalk!$A$2:$C$125,3,FALSE),"Unmapped")</f>
        <v/>
      </c>
    </row>
    <row r="61">
      <c r="A61" t="n">
        <v>2009</v>
      </c>
      <c r="B61" t="inlineStr">
        <is>
          <t>BS33690</t>
        </is>
      </c>
      <c r="C61" t="inlineStr">
        <is>
          <t>Other transportation equipment manufacturing</t>
        </is>
      </c>
      <c r="D61" t="n">
        <v>31</v>
      </c>
      <c r="E61">
        <f>IFERROR(VLOOKUP(B61,Crosswalk!$A$2:$C$125,3,FALSE),"Unmapped")</f>
        <v/>
      </c>
    </row>
    <row r="62">
      <c r="A62" t="n">
        <v>2009</v>
      </c>
      <c r="B62" t="inlineStr">
        <is>
          <t>BS33700</t>
        </is>
      </c>
      <c r="C62" t="inlineStr">
        <is>
          <t>Furniture and related product manufacturing</t>
        </is>
      </c>
      <c r="D62" t="n">
        <v>537</v>
      </c>
      <c r="E62">
        <f>IFERROR(VLOOKUP(B62,Crosswalk!$A$2:$C$125,3,FALSE),"Unmapped")</f>
        <v/>
      </c>
    </row>
    <row r="63">
      <c r="A63" t="n">
        <v>2009</v>
      </c>
      <c r="B63" t="inlineStr">
        <is>
          <t>BS33900</t>
        </is>
      </c>
      <c r="C63" t="inlineStr">
        <is>
          <t>Miscellaneous manufacturing</t>
        </is>
      </c>
      <c r="D63" t="n">
        <v>291</v>
      </c>
      <c r="E63">
        <f>IFERROR(VLOOKUP(B63,Crosswalk!$A$2:$C$125,3,FALSE),"Unmapped")</f>
        <v/>
      </c>
    </row>
    <row r="64">
      <c r="A64" t="n">
        <v>2009</v>
      </c>
      <c r="B64" t="inlineStr">
        <is>
          <t>BS41000</t>
        </is>
      </c>
      <c r="C64" t="inlineStr">
        <is>
          <t>Wholesale trade</t>
        </is>
      </c>
      <c r="D64" t="n">
        <v>9990</v>
      </c>
      <c r="E64">
        <f>IFERROR(VLOOKUP(B64,Crosswalk!$A$2:$C$125,3,FALSE),"Unmapped")</f>
        <v/>
      </c>
    </row>
    <row r="65">
      <c r="A65" t="n">
        <v>2009</v>
      </c>
      <c r="B65" t="inlineStr">
        <is>
          <t>BS48100</t>
        </is>
      </c>
      <c r="C65" t="inlineStr">
        <is>
          <t>Air transportation</t>
        </is>
      </c>
      <c r="D65" t="n">
        <v>14860</v>
      </c>
      <c r="E65">
        <f>IFERROR(VLOOKUP(B65,Crosswalk!$A$2:$C$125,3,FALSE),"Unmapped")</f>
        <v/>
      </c>
    </row>
    <row r="66">
      <c r="A66" t="n">
        <v>2009</v>
      </c>
      <c r="B66" t="inlineStr">
        <is>
          <t>BS48200</t>
        </is>
      </c>
      <c r="C66" t="inlineStr">
        <is>
          <t>Rail transportation</t>
        </is>
      </c>
      <c r="D66" t="n">
        <v>4818</v>
      </c>
      <c r="E66">
        <f>IFERROR(VLOOKUP(B66,Crosswalk!$A$2:$C$125,3,FALSE),"Unmapped")</f>
        <v/>
      </c>
    </row>
    <row r="67">
      <c r="A67" t="n">
        <v>2009</v>
      </c>
      <c r="B67" t="inlineStr">
        <is>
          <t>BS48300</t>
        </is>
      </c>
      <c r="C67" t="inlineStr">
        <is>
          <t>Water transportation</t>
        </is>
      </c>
      <c r="D67" t="n">
        <v>5992</v>
      </c>
      <c r="E67">
        <f>IFERROR(VLOOKUP(B67,Crosswalk!$A$2:$C$125,3,FALSE),"Unmapped")</f>
        <v/>
      </c>
    </row>
    <row r="68">
      <c r="A68" t="n">
        <v>2009</v>
      </c>
      <c r="B68" t="inlineStr">
        <is>
          <t>BS48400</t>
        </is>
      </c>
      <c r="C68" t="inlineStr">
        <is>
          <t>Truck transportation</t>
        </is>
      </c>
      <c r="D68" t="n">
        <v>19751</v>
      </c>
      <c r="E68">
        <f>IFERROR(VLOOKUP(B68,Crosswalk!$A$2:$C$125,3,FALSE),"Unmapped")</f>
        <v/>
      </c>
    </row>
    <row r="69">
      <c r="A69" t="n">
        <v>2009</v>
      </c>
      <c r="B69" t="inlineStr">
        <is>
          <t>BS48600</t>
        </is>
      </c>
      <c r="C69" t="inlineStr">
        <is>
          <t>Pipeline transportation</t>
        </is>
      </c>
      <c r="D69" t="n">
        <v>7853</v>
      </c>
      <c r="E69">
        <f>IFERROR(VLOOKUP(B69,Crosswalk!$A$2:$C$125,3,FALSE),"Unmapped")</f>
        <v/>
      </c>
    </row>
    <row r="70">
      <c r="A70" t="n">
        <v>2009</v>
      </c>
      <c r="B70" t="inlineStr">
        <is>
          <t>BS48B00</t>
        </is>
      </c>
      <c r="C70" t="inlineStr">
        <is>
          <t>Transit, ground passenger and scenic and sightseeing transportation, taxi and limousine service and support activities for transportation</t>
        </is>
      </c>
      <c r="D70" t="n">
        <v>4187</v>
      </c>
      <c r="E70">
        <f>IFERROR(VLOOKUP(B70,Crosswalk!$A$2:$C$125,3,FALSE),"Unmapped")</f>
        <v/>
      </c>
    </row>
    <row r="71">
      <c r="A71" t="n">
        <v>2009</v>
      </c>
      <c r="B71" t="inlineStr">
        <is>
          <t>BS49300</t>
        </is>
      </c>
      <c r="C71" t="inlineStr">
        <is>
          <t>Warehousing and storage</t>
        </is>
      </c>
      <c r="D71" t="n">
        <v>233</v>
      </c>
      <c r="E71">
        <f>IFERROR(VLOOKUP(B71,Crosswalk!$A$2:$C$125,3,FALSE),"Unmapped")</f>
        <v/>
      </c>
    </row>
    <row r="72">
      <c r="A72" t="n">
        <v>2009</v>
      </c>
      <c r="B72" t="inlineStr">
        <is>
          <t>BS49A00</t>
        </is>
      </c>
      <c r="C72" t="inlineStr">
        <is>
          <t>Postal service and couriers and messengers</t>
        </is>
      </c>
      <c r="D72" t="n">
        <v>1983</v>
      </c>
      <c r="E72">
        <f>IFERROR(VLOOKUP(B72,Crosswalk!$A$2:$C$125,3,FALSE),"Unmapped")</f>
        <v/>
      </c>
    </row>
    <row r="73">
      <c r="A73" t="n">
        <v>2009</v>
      </c>
      <c r="B73" t="inlineStr">
        <is>
          <t>BS4A000</t>
        </is>
      </c>
      <c r="C73" t="inlineStr">
        <is>
          <t>Retail trade</t>
        </is>
      </c>
      <c r="D73" t="n">
        <v>6424</v>
      </c>
      <c r="E73">
        <f>IFERROR(VLOOKUP(B73,Crosswalk!$A$2:$C$125,3,FALSE),"Unmapped")</f>
        <v/>
      </c>
    </row>
    <row r="74">
      <c r="A74" t="n">
        <v>2009</v>
      </c>
      <c r="B74" t="inlineStr">
        <is>
          <t>BS51200</t>
        </is>
      </c>
      <c r="C74" t="inlineStr">
        <is>
          <t>Motion picture and sound recording industries</t>
        </is>
      </c>
      <c r="D74" t="n">
        <v>444</v>
      </c>
      <c r="E74">
        <f>IFERROR(VLOOKUP(B74,Crosswalk!$A$2:$C$125,3,FALSE),"Unmapped")</f>
        <v/>
      </c>
    </row>
    <row r="75">
      <c r="A75" t="n">
        <v>2009</v>
      </c>
      <c r="B75" t="inlineStr">
        <is>
          <t>BS51510</t>
        </is>
      </c>
      <c r="C75" t="inlineStr">
        <is>
          <t>Radio and television broadcasting</t>
        </is>
      </c>
      <c r="D75" t="n">
        <v>67</v>
      </c>
      <c r="E75">
        <f>IFERROR(VLOOKUP(B75,Crosswalk!$A$2:$C$125,3,FALSE),"Unmapped")</f>
        <v/>
      </c>
    </row>
    <row r="76">
      <c r="A76" t="n">
        <v>2009</v>
      </c>
      <c r="B76" t="inlineStr">
        <is>
          <t>BS51B00</t>
        </is>
      </c>
      <c r="C76" t="inlineStr">
        <is>
          <t>Publishing, pay/specialty services, telecommunications and other information services</t>
        </is>
      </c>
      <c r="D76" t="n">
        <v>1017</v>
      </c>
      <c r="E76">
        <f>IFERROR(VLOOKUP(B76,Crosswalk!$A$2:$C$125,3,FALSE),"Unmapped")</f>
        <v/>
      </c>
    </row>
    <row r="77">
      <c r="A77" t="n">
        <v>2009</v>
      </c>
      <c r="B77" t="inlineStr">
        <is>
          <t>BS52410</t>
        </is>
      </c>
      <c r="C77" t="inlineStr">
        <is>
          <t>Insurance carriers</t>
        </is>
      </c>
      <c r="D77" t="n">
        <v>255</v>
      </c>
      <c r="E77">
        <f>IFERROR(VLOOKUP(B77,Crosswalk!$A$2:$C$125,3,FALSE),"Unmapped")</f>
        <v/>
      </c>
    </row>
    <row r="78">
      <c r="A78" t="n">
        <v>2009</v>
      </c>
      <c r="B78" t="inlineStr">
        <is>
          <t>BS52B00</t>
        </is>
      </c>
      <c r="C78" t="inlineStr">
        <is>
          <t>Depository credit intermediation and monetary authorities</t>
        </is>
      </c>
      <c r="D78" t="n">
        <v>1164</v>
      </c>
      <c r="E78">
        <f>IFERROR(VLOOKUP(B78,Crosswalk!$A$2:$C$125,3,FALSE),"Unmapped")</f>
        <v/>
      </c>
    </row>
    <row r="79">
      <c r="A79" t="n">
        <v>2009</v>
      </c>
      <c r="B79" t="inlineStr">
        <is>
          <t>BS53110</t>
        </is>
      </c>
      <c r="C79" t="inlineStr">
        <is>
          <t>Lessors of real estate</t>
        </is>
      </c>
      <c r="D79" t="n">
        <v>7934</v>
      </c>
      <c r="E79">
        <f>IFERROR(VLOOKUP(B79,Crosswalk!$A$2:$C$125,3,FALSE),"Unmapped")</f>
        <v/>
      </c>
    </row>
    <row r="80">
      <c r="A80" t="n">
        <v>2009</v>
      </c>
      <c r="B80" t="inlineStr">
        <is>
          <t>BS5311A</t>
        </is>
      </c>
      <c r="C80" t="inlineStr">
        <is>
          <t>Owner-occupied dwellings</t>
        </is>
      </c>
      <c r="D80" t="n">
        <v>0</v>
      </c>
      <c r="E80">
        <f>IFERROR(VLOOKUP(B80,Crosswalk!$A$2:$C$125,3,FALSE),"Unmapped")</f>
        <v/>
      </c>
    </row>
    <row r="81">
      <c r="A81" t="n">
        <v>2009</v>
      </c>
      <c r="B81" t="inlineStr">
        <is>
          <t>BS53B00</t>
        </is>
      </c>
      <c r="C81" t="inlineStr">
        <is>
          <t>Rental and leasing services and lessors of non-financial intangible assets (except copyrighted works)</t>
        </is>
      </c>
      <c r="D81" t="n">
        <v>2732</v>
      </c>
      <c r="E81">
        <f>IFERROR(VLOOKUP(B81,Crosswalk!$A$2:$C$125,3,FALSE),"Unmapped")</f>
        <v/>
      </c>
    </row>
    <row r="82">
      <c r="A82" t="n">
        <v>2009</v>
      </c>
      <c r="B82" t="inlineStr">
        <is>
          <t>BS54180</t>
        </is>
      </c>
      <c r="C82" t="inlineStr">
        <is>
          <t>Advertising, public relations and related services</t>
        </is>
      </c>
      <c r="D82" t="n">
        <v>172</v>
      </c>
      <c r="E82">
        <f>IFERROR(VLOOKUP(B82,Crosswalk!$A$2:$C$125,3,FALSE),"Unmapped")</f>
        <v/>
      </c>
    </row>
    <row r="83">
      <c r="A83" t="n">
        <v>2009</v>
      </c>
      <c r="B83" t="inlineStr">
        <is>
          <t>BS541C0</t>
        </is>
      </c>
      <c r="C83" t="inlineStr">
        <is>
          <t>Legal, accounting and architectural, engineering and related services</t>
        </is>
      </c>
      <c r="D83" t="n">
        <v>1190</v>
      </c>
      <c r="E83">
        <f>IFERROR(VLOOKUP(B83,Crosswalk!$A$2:$C$125,3,FALSE),"Unmapped")</f>
        <v/>
      </c>
    </row>
    <row r="84">
      <c r="A84" t="n">
        <v>2009</v>
      </c>
      <c r="B84" t="inlineStr">
        <is>
          <t>BS541D0</t>
        </is>
      </c>
      <c r="C84" t="inlineStr">
        <is>
          <t>Computer systems design and other professional, scientific and technical services</t>
        </is>
      </c>
      <c r="D84" t="n">
        <v>770</v>
      </c>
      <c r="E84">
        <f>IFERROR(VLOOKUP(B84,Crosswalk!$A$2:$C$125,3,FALSE),"Unmapped")</f>
        <v/>
      </c>
    </row>
    <row r="85">
      <c r="A85" t="n">
        <v>2009</v>
      </c>
      <c r="B85" t="inlineStr">
        <is>
          <t>BS56100</t>
        </is>
      </c>
      <c r="C85" t="inlineStr">
        <is>
          <t>Administrative and support services</t>
        </is>
      </c>
      <c r="D85" t="n">
        <v>3444</v>
      </c>
      <c r="E85">
        <f>IFERROR(VLOOKUP(B85,Crosswalk!$A$2:$C$125,3,FALSE),"Unmapped")</f>
        <v/>
      </c>
    </row>
    <row r="86">
      <c r="A86" t="n">
        <v>2009</v>
      </c>
      <c r="B86" t="inlineStr">
        <is>
          <t>BS56200</t>
        </is>
      </c>
      <c r="C86" t="inlineStr">
        <is>
          <t>Waste management and remediation services</t>
        </is>
      </c>
      <c r="D86" t="n">
        <v>2368</v>
      </c>
      <c r="E86">
        <f>IFERROR(VLOOKUP(B86,Crosswalk!$A$2:$C$125,3,FALSE),"Unmapped")</f>
        <v/>
      </c>
    </row>
    <row r="87">
      <c r="A87" t="n">
        <v>2009</v>
      </c>
      <c r="B87" t="inlineStr">
        <is>
          <t>BS5A000</t>
        </is>
      </c>
      <c r="C87" t="inlineStr">
        <is>
          <t>Other finance, insurance and real estate services and management of companies and enterprises</t>
        </is>
      </c>
      <c r="D87" t="n">
        <v>4041</v>
      </c>
      <c r="E87">
        <f>IFERROR(VLOOKUP(B87,Crosswalk!$A$2:$C$125,3,FALSE),"Unmapped")</f>
        <v/>
      </c>
    </row>
    <row r="88">
      <c r="A88" t="n">
        <v>2009</v>
      </c>
      <c r="B88" t="inlineStr">
        <is>
          <t>BS61000</t>
        </is>
      </c>
      <c r="C88" t="inlineStr">
        <is>
          <t>Educational services</t>
        </is>
      </c>
      <c r="D88" t="n">
        <v>251</v>
      </c>
      <c r="E88">
        <f>IFERROR(VLOOKUP(B88,Crosswalk!$A$2:$C$125,3,FALSE),"Unmapped")</f>
        <v/>
      </c>
    </row>
    <row r="89">
      <c r="A89" t="n">
        <v>2009</v>
      </c>
      <c r="B89" t="inlineStr">
        <is>
          <t>BS62000</t>
        </is>
      </c>
      <c r="C89" t="inlineStr">
        <is>
          <t>Health care and social assistance</t>
        </is>
      </c>
      <c r="D89" t="n">
        <v>1843</v>
      </c>
      <c r="E89">
        <f>IFERROR(VLOOKUP(B89,Crosswalk!$A$2:$C$125,3,FALSE),"Unmapped")</f>
        <v/>
      </c>
    </row>
    <row r="90">
      <c r="A90" t="n">
        <v>2009</v>
      </c>
      <c r="B90" t="inlineStr">
        <is>
          <t>BS71000</t>
        </is>
      </c>
      <c r="C90" t="inlineStr">
        <is>
          <t>Arts, entertainment and recreation</t>
        </is>
      </c>
      <c r="D90" t="n">
        <v>294</v>
      </c>
      <c r="E90">
        <f>IFERROR(VLOOKUP(B90,Crosswalk!$A$2:$C$125,3,FALSE),"Unmapped")</f>
        <v/>
      </c>
    </row>
    <row r="91">
      <c r="A91" t="n">
        <v>2009</v>
      </c>
      <c r="B91" t="inlineStr">
        <is>
          <t>BS72000</t>
        </is>
      </c>
      <c r="C91" t="inlineStr">
        <is>
          <t>Accommodation and food services</t>
        </is>
      </c>
      <c r="D91" t="n">
        <v>1573</v>
      </c>
      <c r="E91">
        <f>IFERROR(VLOOKUP(B91,Crosswalk!$A$2:$C$125,3,FALSE),"Unmapped")</f>
        <v/>
      </c>
    </row>
    <row r="92">
      <c r="A92" t="n">
        <v>2009</v>
      </c>
      <c r="B92" t="inlineStr">
        <is>
          <t>BS81100</t>
        </is>
      </c>
      <c r="C92" t="inlineStr">
        <is>
          <t>Repair and maintenance</t>
        </is>
      </c>
      <c r="D92" t="n">
        <v>2738</v>
      </c>
      <c r="E92">
        <f>IFERROR(VLOOKUP(B92,Crosswalk!$A$2:$C$125,3,FALSE),"Unmapped")</f>
        <v/>
      </c>
    </row>
    <row r="93">
      <c r="A93" t="n">
        <v>2009</v>
      </c>
      <c r="B93" t="inlineStr">
        <is>
          <t>BS81300</t>
        </is>
      </c>
      <c r="C93" t="inlineStr">
        <is>
          <t>Professional and similar organisations</t>
        </is>
      </c>
      <c r="D93" t="n">
        <v>46</v>
      </c>
      <c r="E93">
        <f>IFERROR(VLOOKUP(B93,Crosswalk!$A$2:$C$125,3,FALSE),"Unmapped")</f>
        <v/>
      </c>
    </row>
    <row r="94">
      <c r="A94" t="n">
        <v>2009</v>
      </c>
      <c r="B94" t="inlineStr">
        <is>
          <t>BS81A00</t>
        </is>
      </c>
      <c r="C94" t="inlineStr">
        <is>
          <t>Personal services and private households</t>
        </is>
      </c>
      <c r="D94" t="n">
        <v>504</v>
      </c>
      <c r="E94">
        <f>IFERROR(VLOOKUP(B94,Crosswalk!$A$2:$C$125,3,FALSE),"Unmapped")</f>
        <v/>
      </c>
    </row>
    <row r="95">
      <c r="A95" t="n">
        <v>2009</v>
      </c>
      <c r="B95" t="inlineStr">
        <is>
          <t>FC11000</t>
        </is>
      </c>
      <c r="C95" t="inlineStr">
        <is>
          <t>Repair and maintenance</t>
        </is>
      </c>
      <c r="D95" t="n">
        <v>0</v>
      </c>
      <c r="E95">
        <f>IFERROR(VLOOKUP(B95,Crosswalk!$A$2:$C$125,3,FALSE),"Unmapped")</f>
        <v/>
      </c>
    </row>
    <row r="96">
      <c r="A96" t="n">
        <v>2009</v>
      </c>
      <c r="B96" t="inlineStr">
        <is>
          <t>FC12000</t>
        </is>
      </c>
      <c r="C96" t="inlineStr">
        <is>
          <t>Operating supplies</t>
        </is>
      </c>
      <c r="D96" t="n">
        <v>0</v>
      </c>
      <c r="E96">
        <f>IFERROR(VLOOKUP(B96,Crosswalk!$A$2:$C$125,3,FALSE),"Unmapped")</f>
        <v/>
      </c>
    </row>
    <row r="97">
      <c r="A97" t="n">
        <v>2009</v>
      </c>
      <c r="B97" t="inlineStr">
        <is>
          <t>FC13000</t>
        </is>
      </c>
      <c r="C97" t="inlineStr">
        <is>
          <t>Office supplies</t>
        </is>
      </c>
      <c r="D97" t="n">
        <v>0</v>
      </c>
      <c r="E97">
        <f>IFERROR(VLOOKUP(B97,Crosswalk!$A$2:$C$125,3,FALSE),"Unmapped")</f>
        <v/>
      </c>
    </row>
    <row r="98">
      <c r="A98" t="n">
        <v>2009</v>
      </c>
      <c r="B98" t="inlineStr">
        <is>
          <t>FC20000</t>
        </is>
      </c>
      <c r="C98" t="inlineStr">
        <is>
          <t>Advertising, promotion, meals, entertainment, and travel</t>
        </is>
      </c>
      <c r="D98" t="n">
        <v>0</v>
      </c>
      <c r="E98">
        <f>IFERROR(VLOOKUP(B98,Crosswalk!$A$2:$C$125,3,FALSE),"Unmapped")</f>
        <v/>
      </c>
    </row>
    <row r="99">
      <c r="A99" t="n">
        <v>2009</v>
      </c>
      <c r="B99" t="inlineStr">
        <is>
          <t>FC30000</t>
        </is>
      </c>
      <c r="C99" t="inlineStr">
        <is>
          <t>Transportation margins</t>
        </is>
      </c>
      <c r="D99" t="n">
        <v>0</v>
      </c>
      <c r="E99">
        <f>IFERROR(VLOOKUP(B99,Crosswalk!$A$2:$C$125,3,FALSE),"Unmapped")</f>
        <v/>
      </c>
    </row>
    <row r="100">
      <c r="A100" t="n">
        <v>2009</v>
      </c>
      <c r="B100" t="inlineStr">
        <is>
          <t>GS61130</t>
        </is>
      </c>
      <c r="C100" t="inlineStr">
        <is>
          <t>Universities</t>
        </is>
      </c>
      <c r="D100" t="n">
        <v>2134</v>
      </c>
      <c r="E100">
        <f>IFERROR(VLOOKUP(B100,Crosswalk!$A$2:$C$125,3,FALSE),"Unmapped")</f>
        <v/>
      </c>
    </row>
    <row r="101">
      <c r="A101" t="n">
        <v>2009</v>
      </c>
      <c r="B101" t="inlineStr">
        <is>
          <t>GS611B0</t>
        </is>
      </c>
      <c r="C101" t="inlineStr">
        <is>
          <t>Educational services (except universities)</t>
        </is>
      </c>
      <c r="D101" t="n">
        <v>2244</v>
      </c>
      <c r="E101">
        <f>IFERROR(VLOOKUP(B101,Crosswalk!$A$2:$C$125,3,FALSE),"Unmapped")</f>
        <v/>
      </c>
    </row>
    <row r="102">
      <c r="A102" t="n">
        <v>2009</v>
      </c>
      <c r="B102" t="inlineStr">
        <is>
          <t>GS62200</t>
        </is>
      </c>
      <c r="C102" t="inlineStr">
        <is>
          <t>Hospitals</t>
        </is>
      </c>
      <c r="D102" t="n">
        <v>1085</v>
      </c>
      <c r="E102">
        <f>IFERROR(VLOOKUP(B102,Crosswalk!$A$2:$C$125,3,FALSE),"Unmapped")</f>
        <v/>
      </c>
    </row>
    <row r="103">
      <c r="A103" t="n">
        <v>2009</v>
      </c>
      <c r="B103" t="inlineStr">
        <is>
          <t>GS62300</t>
        </is>
      </c>
      <c r="C103" t="inlineStr">
        <is>
          <t>Nursing and residential care facilities</t>
        </is>
      </c>
      <c r="D103" t="n">
        <v>101</v>
      </c>
      <c r="E103">
        <f>IFERROR(VLOOKUP(B103,Crosswalk!$A$2:$C$125,3,FALSE),"Unmapped")</f>
        <v/>
      </c>
    </row>
    <row r="104">
      <c r="A104" t="n">
        <v>2009</v>
      </c>
      <c r="B104" t="inlineStr">
        <is>
          <t>GS91100</t>
        </is>
      </c>
      <c r="C104" t="inlineStr">
        <is>
          <t>Other federal government services</t>
        </is>
      </c>
      <c r="D104" t="n">
        <v>2869</v>
      </c>
      <c r="E104">
        <f>IFERROR(VLOOKUP(B104,Crosswalk!$A$2:$C$125,3,FALSE),"Unmapped")</f>
        <v/>
      </c>
    </row>
    <row r="105">
      <c r="A105" t="n">
        <v>2009</v>
      </c>
      <c r="B105" t="inlineStr">
        <is>
          <t>GS91200</t>
        </is>
      </c>
      <c r="C105" t="inlineStr">
        <is>
          <t>Other provincial and territorial government services</t>
        </is>
      </c>
      <c r="D105" t="n">
        <v>1327</v>
      </c>
      <c r="E105">
        <f>IFERROR(VLOOKUP(B105,Crosswalk!$A$2:$C$125,3,FALSE),"Unmapped")</f>
        <v/>
      </c>
    </row>
    <row r="106">
      <c r="A106" t="n">
        <v>2009</v>
      </c>
      <c r="B106" t="inlineStr">
        <is>
          <t>GS91300</t>
        </is>
      </c>
      <c r="C106" t="inlineStr">
        <is>
          <t>Other municipal government services</t>
        </is>
      </c>
      <c r="D106" t="n">
        <v>6173</v>
      </c>
      <c r="E106">
        <f>IFERROR(VLOOKUP(B106,Crosswalk!$A$2:$C$125,3,FALSE),"Unmapped")</f>
        <v/>
      </c>
    </row>
    <row r="107">
      <c r="A107" t="n">
        <v>2009</v>
      </c>
      <c r="B107" t="inlineStr">
        <is>
          <t>GS91400</t>
        </is>
      </c>
      <c r="C107" t="inlineStr">
        <is>
          <t>Other Indigenous government services</t>
        </is>
      </c>
      <c r="D107" t="n">
        <v>253</v>
      </c>
      <c r="E107">
        <f>IFERROR(VLOOKUP(B107,Crosswalk!$A$2:$C$125,3,FALSE),"Unmapped")</f>
        <v/>
      </c>
    </row>
    <row r="108">
      <c r="A108" t="n">
        <v>2009</v>
      </c>
      <c r="B108" t="inlineStr">
        <is>
          <t>NP61000</t>
        </is>
      </c>
      <c r="C108" t="inlineStr">
        <is>
          <t>Non-profit education services</t>
        </is>
      </c>
      <c r="D108" t="n">
        <v>700</v>
      </c>
      <c r="E108">
        <f>IFERROR(VLOOKUP(B108,Crosswalk!$A$2:$C$125,3,FALSE),"Unmapped")</f>
        <v/>
      </c>
    </row>
    <row r="109">
      <c r="A109" t="n">
        <v>2009</v>
      </c>
      <c r="B109" t="inlineStr">
        <is>
          <t>NP62400</t>
        </is>
      </c>
      <c r="C109" t="inlineStr">
        <is>
          <t>Non-profit social assistance</t>
        </is>
      </c>
      <c r="D109" t="n">
        <v>312</v>
      </c>
      <c r="E109">
        <f>IFERROR(VLOOKUP(B109,Crosswalk!$A$2:$C$125,3,FALSE),"Unmapped")</f>
        <v/>
      </c>
    </row>
    <row r="110">
      <c r="A110" t="n">
        <v>2009</v>
      </c>
      <c r="B110" t="inlineStr">
        <is>
          <t>NP71000</t>
        </is>
      </c>
      <c r="C110" t="inlineStr">
        <is>
          <t>Non-profit arts, entertainment and recreation</t>
        </is>
      </c>
      <c r="D110" t="n">
        <v>312</v>
      </c>
      <c r="E110">
        <f>IFERROR(VLOOKUP(B110,Crosswalk!$A$2:$C$125,3,FALSE),"Unmapped")</f>
        <v/>
      </c>
    </row>
    <row r="111">
      <c r="A111" t="n">
        <v>2009</v>
      </c>
      <c r="B111" t="inlineStr">
        <is>
          <t>NP81310</t>
        </is>
      </c>
      <c r="C111" t="inlineStr">
        <is>
          <t>Religious organizations</t>
        </is>
      </c>
      <c r="D111" t="n">
        <v>935</v>
      </c>
      <c r="E111">
        <f>IFERROR(VLOOKUP(B111,Crosswalk!$A$2:$C$125,3,FALSE),"Unmapped")</f>
        <v/>
      </c>
    </row>
    <row r="112">
      <c r="A112" t="n">
        <v>2009</v>
      </c>
      <c r="B112" t="inlineStr">
        <is>
          <t>NPA0000</t>
        </is>
      </c>
      <c r="C112" t="inlineStr">
        <is>
          <t>Miscellaneous non-profit institutions serving households</t>
        </is>
      </c>
      <c r="D112" t="n">
        <v>1278</v>
      </c>
      <c r="E112">
        <f>IFERROR(VLOOKUP(B112,Crosswalk!$A$2:$C$125,3,FALSE),"Unmapped")</f>
        <v/>
      </c>
    </row>
    <row r="113">
      <c r="A113" t="n">
        <v>2010</v>
      </c>
      <c r="B113" t="inlineStr">
        <is>
          <t>BS11300</t>
        </is>
      </c>
      <c r="C113" t="inlineStr">
        <is>
          <t>Forestry and logging</t>
        </is>
      </c>
      <c r="D113" t="n">
        <v>7228</v>
      </c>
      <c r="E113">
        <f>IFERROR(VLOOKUP(B113,Crosswalk!$A$2:$C$125,3,FALSE),"Unmapped")</f>
        <v/>
      </c>
    </row>
    <row r="114">
      <c r="A114" t="n">
        <v>2010</v>
      </c>
      <c r="B114" t="inlineStr">
        <is>
          <t>BS11400</t>
        </is>
      </c>
      <c r="C114" t="inlineStr">
        <is>
          <t>Fishing, hunting and trapping</t>
        </is>
      </c>
      <c r="D114" t="n">
        <v>814</v>
      </c>
      <c r="E114">
        <f>IFERROR(VLOOKUP(B114,Crosswalk!$A$2:$C$125,3,FALSE),"Unmapped")</f>
        <v/>
      </c>
    </row>
    <row r="115">
      <c r="A115" t="n">
        <v>2010</v>
      </c>
      <c r="B115" t="inlineStr">
        <is>
          <t>BS11500</t>
        </is>
      </c>
      <c r="C115" t="inlineStr">
        <is>
          <t>Support activities for agriculture and forestry</t>
        </is>
      </c>
      <c r="D115" t="n">
        <v>934</v>
      </c>
      <c r="E115">
        <f>IFERROR(VLOOKUP(B115,Crosswalk!$A$2:$C$125,3,FALSE),"Unmapped")</f>
        <v/>
      </c>
    </row>
    <row r="116">
      <c r="A116" t="n">
        <v>2010</v>
      </c>
      <c r="B116" t="inlineStr">
        <is>
          <t>BS11A00</t>
        </is>
      </c>
      <c r="C116" t="inlineStr">
        <is>
          <t>Crop and animal production</t>
        </is>
      </c>
      <c r="D116" t="n">
        <v>65063</v>
      </c>
      <c r="E116">
        <f>IFERROR(VLOOKUP(B116,Crosswalk!$A$2:$C$125,3,FALSE),"Unmapped")</f>
        <v/>
      </c>
    </row>
    <row r="117">
      <c r="A117" t="n">
        <v>2010</v>
      </c>
      <c r="B117" t="inlineStr">
        <is>
          <t>BS21100</t>
        </is>
      </c>
      <c r="C117" t="inlineStr">
        <is>
          <t>Oil and gas extraction</t>
        </is>
      </c>
      <c r="D117" t="n">
        <v>175081</v>
      </c>
      <c r="E117">
        <f>IFERROR(VLOOKUP(B117,Crosswalk!$A$2:$C$125,3,FALSE),"Unmapped")</f>
        <v/>
      </c>
    </row>
    <row r="118">
      <c r="A118" t="n">
        <v>2010</v>
      </c>
      <c r="B118" t="inlineStr">
        <is>
          <t>BS21210</t>
        </is>
      </c>
      <c r="C118" t="inlineStr">
        <is>
          <t>Coal mining</t>
        </is>
      </c>
      <c r="D118" t="n">
        <v>2710</v>
      </c>
      <c r="E118">
        <f>IFERROR(VLOOKUP(B118,Crosswalk!$A$2:$C$125,3,FALSE),"Unmapped")</f>
        <v/>
      </c>
    </row>
    <row r="119">
      <c r="A119" t="n">
        <v>2010</v>
      </c>
      <c r="B119" t="inlineStr">
        <is>
          <t>BS21220</t>
        </is>
      </c>
      <c r="C119" t="inlineStr">
        <is>
          <t>Metal ore mining</t>
        </is>
      </c>
      <c r="D119" t="n">
        <v>3750</v>
      </c>
      <c r="E119">
        <f>IFERROR(VLOOKUP(B119,Crosswalk!$A$2:$C$125,3,FALSE),"Unmapped")</f>
        <v/>
      </c>
    </row>
    <row r="120">
      <c r="A120" t="n">
        <v>2010</v>
      </c>
      <c r="B120" t="inlineStr">
        <is>
          <t>BS21230</t>
        </is>
      </c>
      <c r="C120" t="inlineStr">
        <is>
          <t>Non-metallic mineral mining and quarrying</t>
        </is>
      </c>
      <c r="D120" t="n">
        <v>2153</v>
      </c>
      <c r="E120">
        <f>IFERROR(VLOOKUP(B120,Crosswalk!$A$2:$C$125,3,FALSE),"Unmapped")</f>
        <v/>
      </c>
    </row>
    <row r="121">
      <c r="A121" t="n">
        <v>2010</v>
      </c>
      <c r="B121" t="inlineStr">
        <is>
          <t>BS21300</t>
        </is>
      </c>
      <c r="C121" t="inlineStr">
        <is>
          <t>Support activities for mining and oil and gas extraction</t>
        </is>
      </c>
      <c r="D121" t="n">
        <v>6603</v>
      </c>
      <c r="E121">
        <f>IFERROR(VLOOKUP(B121,Crosswalk!$A$2:$C$125,3,FALSE),"Unmapped")</f>
        <v/>
      </c>
    </row>
    <row r="122">
      <c r="A122" t="n">
        <v>2010</v>
      </c>
      <c r="B122" t="inlineStr">
        <is>
          <t>BS22110</t>
        </is>
      </c>
      <c r="C122" t="inlineStr">
        <is>
          <t>Electric power generation, transmission and distribution</t>
        </is>
      </c>
      <c r="D122" t="n">
        <v>104197</v>
      </c>
      <c r="E122">
        <f>IFERROR(VLOOKUP(B122,Crosswalk!$A$2:$C$125,3,FALSE),"Unmapped")</f>
        <v/>
      </c>
    </row>
    <row r="123">
      <c r="A123" t="n">
        <v>2010</v>
      </c>
      <c r="B123" t="inlineStr">
        <is>
          <t>BS221A0</t>
        </is>
      </c>
      <c r="C123" t="inlineStr">
        <is>
          <t>Natural gas distribution, water, sewage and other systems</t>
        </is>
      </c>
      <c r="D123" t="n">
        <v>2478</v>
      </c>
      <c r="E123">
        <f>IFERROR(VLOOKUP(B123,Crosswalk!$A$2:$C$125,3,FALSE),"Unmapped")</f>
        <v/>
      </c>
    </row>
    <row r="124">
      <c r="A124" t="n">
        <v>2010</v>
      </c>
      <c r="B124" t="inlineStr">
        <is>
          <t>BS23A00</t>
        </is>
      </c>
      <c r="C124" t="inlineStr">
        <is>
          <t>Residential building construction</t>
        </is>
      </c>
      <c r="D124" t="n">
        <v>1565</v>
      </c>
      <c r="E124">
        <f>IFERROR(VLOOKUP(B124,Crosswalk!$A$2:$C$125,3,FALSE),"Unmapped")</f>
        <v/>
      </c>
    </row>
    <row r="125">
      <c r="A125" t="n">
        <v>2010</v>
      </c>
      <c r="B125" t="inlineStr">
        <is>
          <t>BS23B00</t>
        </is>
      </c>
      <c r="C125" t="inlineStr">
        <is>
          <t>Non-residential building construction</t>
        </is>
      </c>
      <c r="D125" t="n">
        <v>518</v>
      </c>
      <c r="E125">
        <f>IFERROR(VLOOKUP(B125,Crosswalk!$A$2:$C$125,3,FALSE),"Unmapped")</f>
        <v/>
      </c>
    </row>
    <row r="126">
      <c r="A126" t="n">
        <v>2010</v>
      </c>
      <c r="B126" t="inlineStr">
        <is>
          <t>BS23C10</t>
        </is>
      </c>
      <c r="C126" t="inlineStr">
        <is>
          <t>Transportation engineering construction</t>
        </is>
      </c>
      <c r="D126" t="n">
        <v>1381</v>
      </c>
      <c r="E126">
        <f>IFERROR(VLOOKUP(B126,Crosswalk!$A$2:$C$125,3,FALSE),"Unmapped")</f>
        <v/>
      </c>
    </row>
    <row r="127">
      <c r="A127" t="n">
        <v>2010</v>
      </c>
      <c r="B127" t="inlineStr">
        <is>
          <t>BS23C20</t>
        </is>
      </c>
      <c r="C127" t="inlineStr">
        <is>
          <t>Oil and gas engineering construction</t>
        </is>
      </c>
      <c r="D127" t="n">
        <v>1056</v>
      </c>
      <c r="E127">
        <f>IFERROR(VLOOKUP(B127,Crosswalk!$A$2:$C$125,3,FALSE),"Unmapped")</f>
        <v/>
      </c>
    </row>
    <row r="128">
      <c r="A128" t="n">
        <v>2010</v>
      </c>
      <c r="B128" t="inlineStr">
        <is>
          <t>BS23C30</t>
        </is>
      </c>
      <c r="C128" t="inlineStr">
        <is>
          <t>Electric power engineering construction</t>
        </is>
      </c>
      <c r="D128" t="n">
        <v>538</v>
      </c>
      <c r="E128">
        <f>IFERROR(VLOOKUP(B128,Crosswalk!$A$2:$C$125,3,FALSE),"Unmapped")</f>
        <v/>
      </c>
    </row>
    <row r="129">
      <c r="A129" t="n">
        <v>2010</v>
      </c>
      <c r="B129" t="inlineStr">
        <is>
          <t>BS23C40</t>
        </is>
      </c>
      <c r="C129" t="inlineStr">
        <is>
          <t>Communication engineering construction</t>
        </is>
      </c>
      <c r="D129" t="n">
        <v>193</v>
      </c>
      <c r="E129">
        <f>IFERROR(VLOOKUP(B129,Crosswalk!$A$2:$C$125,3,FALSE),"Unmapped")</f>
        <v/>
      </c>
    </row>
    <row r="130">
      <c r="A130" t="n">
        <v>2010</v>
      </c>
      <c r="B130" t="inlineStr">
        <is>
          <t>BS23C50</t>
        </is>
      </c>
      <c r="C130" t="inlineStr">
        <is>
          <t>Other engineering construction</t>
        </is>
      </c>
      <c r="D130" t="n">
        <v>1101</v>
      </c>
      <c r="E130">
        <f>IFERROR(VLOOKUP(B130,Crosswalk!$A$2:$C$125,3,FALSE),"Unmapped")</f>
        <v/>
      </c>
    </row>
    <row r="131">
      <c r="A131" t="n">
        <v>2010</v>
      </c>
      <c r="B131" t="inlineStr">
        <is>
          <t>BS23D00</t>
        </is>
      </c>
      <c r="C131" t="inlineStr">
        <is>
          <t>Repair construction</t>
        </is>
      </c>
      <c r="D131" t="n">
        <v>750</v>
      </c>
      <c r="E131">
        <f>IFERROR(VLOOKUP(B131,Crosswalk!$A$2:$C$125,3,FALSE),"Unmapped")</f>
        <v/>
      </c>
    </row>
    <row r="132">
      <c r="A132" t="n">
        <v>2010</v>
      </c>
      <c r="B132" t="inlineStr">
        <is>
          <t>BS23E00</t>
        </is>
      </c>
      <c r="C132" t="inlineStr">
        <is>
          <t>Other activities of the construction industry</t>
        </is>
      </c>
      <c r="D132" t="n">
        <v>436</v>
      </c>
      <c r="E132">
        <f>IFERROR(VLOOKUP(B132,Crosswalk!$A$2:$C$125,3,FALSE),"Unmapped")</f>
        <v/>
      </c>
    </row>
    <row r="133">
      <c r="A133" t="n">
        <v>2010</v>
      </c>
      <c r="B133" t="inlineStr">
        <is>
          <t>BS31110</t>
        </is>
      </c>
      <c r="C133" t="inlineStr">
        <is>
          <t>Animal food manufacturing</t>
        </is>
      </c>
      <c r="D133" t="n">
        <v>246</v>
      </c>
      <c r="E133">
        <f>IFERROR(VLOOKUP(B133,Crosswalk!$A$2:$C$125,3,FALSE),"Unmapped")</f>
        <v/>
      </c>
    </row>
    <row r="134">
      <c r="A134" t="n">
        <v>2010</v>
      </c>
      <c r="B134" t="inlineStr">
        <is>
          <t>BS31130</t>
        </is>
      </c>
      <c r="C134" t="inlineStr">
        <is>
          <t>Sugar and confectionery product manufacturing</t>
        </is>
      </c>
      <c r="D134" t="n">
        <v>445</v>
      </c>
      <c r="E134">
        <f>IFERROR(VLOOKUP(B134,Crosswalk!$A$2:$C$125,3,FALSE),"Unmapped")</f>
        <v/>
      </c>
    </row>
    <row r="135">
      <c r="A135" t="n">
        <v>2010</v>
      </c>
      <c r="B135" t="inlineStr">
        <is>
          <t>BS31140</t>
        </is>
      </c>
      <c r="C135" t="inlineStr">
        <is>
          <t>Fruit and vegetable preserving and specialty food manufacturing</t>
        </is>
      </c>
      <c r="D135" t="n">
        <v>669</v>
      </c>
      <c r="E135">
        <f>IFERROR(VLOOKUP(B135,Crosswalk!$A$2:$C$125,3,FALSE),"Unmapped")</f>
        <v/>
      </c>
    </row>
    <row r="136">
      <c r="A136" t="n">
        <v>2010</v>
      </c>
      <c r="B136" t="inlineStr">
        <is>
          <t>BS31150</t>
        </is>
      </c>
      <c r="C136" t="inlineStr">
        <is>
          <t>Dairy product manufacturing</t>
        </is>
      </c>
      <c r="D136" t="n">
        <v>493</v>
      </c>
      <c r="E136">
        <f>IFERROR(VLOOKUP(B136,Crosswalk!$A$2:$C$125,3,FALSE),"Unmapped")</f>
        <v/>
      </c>
    </row>
    <row r="137">
      <c r="A137" t="n">
        <v>2010</v>
      </c>
      <c r="B137" t="inlineStr">
        <is>
          <t>BS31160</t>
        </is>
      </c>
      <c r="C137" t="inlineStr">
        <is>
          <t>Meat product manufacturing</t>
        </is>
      </c>
      <c r="D137" t="n">
        <v>969</v>
      </c>
      <c r="E137">
        <f>IFERROR(VLOOKUP(B137,Crosswalk!$A$2:$C$125,3,FALSE),"Unmapped")</f>
        <v/>
      </c>
    </row>
    <row r="138">
      <c r="A138" t="n">
        <v>2010</v>
      </c>
      <c r="B138" t="inlineStr">
        <is>
          <t>BS31170</t>
        </is>
      </c>
      <c r="C138" t="inlineStr">
        <is>
          <t>Seafood product preparation and packaging</t>
        </is>
      </c>
      <c r="D138" t="n">
        <v>183</v>
      </c>
      <c r="E138">
        <f>IFERROR(VLOOKUP(B138,Crosswalk!$A$2:$C$125,3,FALSE),"Unmapped")</f>
        <v/>
      </c>
    </row>
    <row r="139">
      <c r="A139" t="n">
        <v>2010</v>
      </c>
      <c r="B139" t="inlineStr">
        <is>
          <t>BS311A0</t>
        </is>
      </c>
      <c r="C139" t="inlineStr">
        <is>
          <t>Miscellaneous food manufacturing</t>
        </is>
      </c>
      <c r="D139" t="n">
        <v>1405</v>
      </c>
      <c r="E139">
        <f>IFERROR(VLOOKUP(B139,Crosswalk!$A$2:$C$125,3,FALSE),"Unmapped")</f>
        <v/>
      </c>
    </row>
    <row r="140">
      <c r="A140" t="n">
        <v>2010</v>
      </c>
      <c r="B140" t="inlineStr">
        <is>
          <t>BS31211</t>
        </is>
      </c>
      <c r="C140" t="inlineStr">
        <is>
          <t>Soft drink and ice manufacturing</t>
        </is>
      </c>
      <c r="D140" t="n">
        <v>208</v>
      </c>
      <c r="E140">
        <f>IFERROR(VLOOKUP(B140,Crosswalk!$A$2:$C$125,3,FALSE),"Unmapped")</f>
        <v/>
      </c>
    </row>
    <row r="141">
      <c r="A141" t="n">
        <v>2010</v>
      </c>
      <c r="B141" t="inlineStr">
        <is>
          <t>BS31212</t>
        </is>
      </c>
      <c r="C141" t="inlineStr">
        <is>
          <t>Breweries</t>
        </is>
      </c>
      <c r="D141" t="n">
        <v>368</v>
      </c>
      <c r="E141">
        <f>IFERROR(VLOOKUP(B141,Crosswalk!$A$2:$C$125,3,FALSE),"Unmapped")</f>
        <v/>
      </c>
    </row>
    <row r="142">
      <c r="A142" t="n">
        <v>2010</v>
      </c>
      <c r="B142" t="inlineStr">
        <is>
          <t>BS3121A</t>
        </is>
      </c>
      <c r="C142" t="inlineStr">
        <is>
          <t>Wineries and distilleries</t>
        </is>
      </c>
      <c r="D142" t="n">
        <v>237</v>
      </c>
      <c r="E142">
        <f>IFERROR(VLOOKUP(B142,Crosswalk!$A$2:$C$125,3,FALSE),"Unmapped")</f>
        <v/>
      </c>
    </row>
    <row r="143">
      <c r="A143" t="n">
        <v>2010</v>
      </c>
      <c r="B143" t="inlineStr">
        <is>
          <t>BS31220</t>
        </is>
      </c>
      <c r="C143" t="inlineStr">
        <is>
          <t>Tobacco manufacturing</t>
        </is>
      </c>
      <c r="D143" t="n">
        <v>18</v>
      </c>
      <c r="E143">
        <f>IFERROR(VLOOKUP(B143,Crosswalk!$A$2:$C$125,3,FALSE),"Unmapped")</f>
        <v/>
      </c>
    </row>
    <row r="144">
      <c r="A144" t="n">
        <v>2010</v>
      </c>
      <c r="B144" t="inlineStr">
        <is>
          <t>BS31A00</t>
        </is>
      </c>
      <c r="C144" t="inlineStr">
        <is>
          <t>Textile and textile product mills</t>
        </is>
      </c>
      <c r="D144" t="n">
        <v>218</v>
      </c>
      <c r="E144">
        <f>IFERROR(VLOOKUP(B144,Crosswalk!$A$2:$C$125,3,FALSE),"Unmapped")</f>
        <v/>
      </c>
    </row>
    <row r="145">
      <c r="A145" t="n">
        <v>2010</v>
      </c>
      <c r="B145" t="inlineStr">
        <is>
          <t>BS31B00</t>
        </is>
      </c>
      <c r="C145" t="inlineStr">
        <is>
          <t>Clothing and leather and allied product manufacturing</t>
        </is>
      </c>
      <c r="D145" t="n">
        <v>68</v>
      </c>
      <c r="E145">
        <f>IFERROR(VLOOKUP(B145,Crosswalk!$A$2:$C$125,3,FALSE),"Unmapped")</f>
        <v/>
      </c>
    </row>
    <row r="146">
      <c r="A146" t="n">
        <v>2010</v>
      </c>
      <c r="B146" t="inlineStr">
        <is>
          <t>BS32100</t>
        </is>
      </c>
      <c r="C146" t="inlineStr">
        <is>
          <t>Wood product manufacturing</t>
        </is>
      </c>
      <c r="D146" t="n">
        <v>9765</v>
      </c>
      <c r="E146">
        <f>IFERROR(VLOOKUP(B146,Crosswalk!$A$2:$C$125,3,FALSE),"Unmapped")</f>
        <v/>
      </c>
    </row>
    <row r="147">
      <c r="A147" t="n">
        <v>2010</v>
      </c>
      <c r="B147" t="inlineStr">
        <is>
          <t>BS32210</t>
        </is>
      </c>
      <c r="C147" t="inlineStr">
        <is>
          <t>Pulp, paper and paperboard mills</t>
        </is>
      </c>
      <c r="D147" t="n">
        <v>39331</v>
      </c>
      <c r="E147">
        <f>IFERROR(VLOOKUP(B147,Crosswalk!$A$2:$C$125,3,FALSE),"Unmapped")</f>
        <v/>
      </c>
    </row>
    <row r="148">
      <c r="A148" t="n">
        <v>2010</v>
      </c>
      <c r="B148" t="inlineStr">
        <is>
          <t>BS32220</t>
        </is>
      </c>
      <c r="C148" t="inlineStr">
        <is>
          <t>Converted paper product manufacturing</t>
        </is>
      </c>
      <c r="D148" t="n">
        <v>670</v>
      </c>
      <c r="E148">
        <f>IFERROR(VLOOKUP(B148,Crosswalk!$A$2:$C$125,3,FALSE),"Unmapped")</f>
        <v/>
      </c>
    </row>
    <row r="149">
      <c r="A149" t="n">
        <v>2010</v>
      </c>
      <c r="B149" t="inlineStr">
        <is>
          <t>BS32300</t>
        </is>
      </c>
      <c r="C149" t="inlineStr">
        <is>
          <t>Printing and related support activities</t>
        </is>
      </c>
      <c r="D149" t="n">
        <v>287</v>
      </c>
      <c r="E149">
        <f>IFERROR(VLOOKUP(B149,Crosswalk!$A$2:$C$125,3,FALSE),"Unmapped")</f>
        <v/>
      </c>
    </row>
    <row r="150">
      <c r="A150" t="n">
        <v>2010</v>
      </c>
      <c r="B150" t="inlineStr">
        <is>
          <t>BS32400</t>
        </is>
      </c>
      <c r="C150" t="inlineStr">
        <is>
          <t>Petroleum and coal product manufacturing</t>
        </is>
      </c>
      <c r="D150" t="n">
        <v>23323</v>
      </c>
      <c r="E150">
        <f>IFERROR(VLOOKUP(B150,Crosswalk!$A$2:$C$125,3,FALSE),"Unmapped")</f>
        <v/>
      </c>
    </row>
    <row r="151">
      <c r="A151" t="n">
        <v>2010</v>
      </c>
      <c r="B151" t="inlineStr">
        <is>
          <t>BS32510</t>
        </is>
      </c>
      <c r="C151" t="inlineStr">
        <is>
          <t>Basic chemical manufacturing</t>
        </is>
      </c>
      <c r="D151" t="n">
        <v>10883</v>
      </c>
      <c r="E151">
        <f>IFERROR(VLOOKUP(B151,Crosswalk!$A$2:$C$125,3,FALSE),"Unmapped")</f>
        <v/>
      </c>
    </row>
    <row r="152">
      <c r="A152" t="n">
        <v>2010</v>
      </c>
      <c r="B152" t="inlineStr">
        <is>
          <t>BS32530</t>
        </is>
      </c>
      <c r="C152" t="inlineStr">
        <is>
          <t>Pesticide, fertilizer and other agricultural chemical manufacturing</t>
        </is>
      </c>
      <c r="D152" t="n">
        <v>5688</v>
      </c>
      <c r="E152">
        <f>IFERROR(VLOOKUP(B152,Crosswalk!$A$2:$C$125,3,FALSE),"Unmapped")</f>
        <v/>
      </c>
    </row>
    <row r="153">
      <c r="A153" t="n">
        <v>2010</v>
      </c>
      <c r="B153" t="inlineStr">
        <is>
          <t>BS32540</t>
        </is>
      </c>
      <c r="C153" t="inlineStr">
        <is>
          <t>Pharmaceutical and medicine manufacturing</t>
        </is>
      </c>
      <c r="D153" t="n">
        <v>247</v>
      </c>
      <c r="E153">
        <f>IFERROR(VLOOKUP(B153,Crosswalk!$A$2:$C$125,3,FALSE),"Unmapped")</f>
        <v/>
      </c>
    </row>
    <row r="154">
      <c r="A154" t="n">
        <v>2010</v>
      </c>
      <c r="B154" t="inlineStr">
        <is>
          <t>BS325C0</t>
        </is>
      </c>
      <c r="C154" t="inlineStr">
        <is>
          <t>Miscellaneous chemical product manufacturing</t>
        </is>
      </c>
      <c r="D154" t="n">
        <v>2450</v>
      </c>
      <c r="E154">
        <f>IFERROR(VLOOKUP(B154,Crosswalk!$A$2:$C$125,3,FALSE),"Unmapped")</f>
        <v/>
      </c>
    </row>
    <row r="155">
      <c r="A155" t="n">
        <v>2010</v>
      </c>
      <c r="B155" t="inlineStr">
        <is>
          <t>BS32610</t>
        </is>
      </c>
      <c r="C155" t="inlineStr">
        <is>
          <t>Plastic product manufacturing</t>
        </is>
      </c>
      <c r="D155" t="n">
        <v>599</v>
      </c>
      <c r="E155">
        <f>IFERROR(VLOOKUP(B155,Crosswalk!$A$2:$C$125,3,FALSE),"Unmapped")</f>
        <v/>
      </c>
    </row>
    <row r="156">
      <c r="A156" t="n">
        <v>2010</v>
      </c>
      <c r="B156" t="inlineStr">
        <is>
          <t>BS32620</t>
        </is>
      </c>
      <c r="C156" t="inlineStr">
        <is>
          <t>Rubber product manufacturing</t>
        </is>
      </c>
      <c r="D156" t="n">
        <v>294</v>
      </c>
      <c r="E156">
        <f>IFERROR(VLOOKUP(B156,Crosswalk!$A$2:$C$125,3,FALSE),"Unmapped")</f>
        <v/>
      </c>
    </row>
    <row r="157">
      <c r="A157" t="n">
        <v>2010</v>
      </c>
      <c r="B157" t="inlineStr">
        <is>
          <t>BS32730</t>
        </is>
      </c>
      <c r="C157" t="inlineStr">
        <is>
          <t>Cement and concrete product manufacturing</t>
        </is>
      </c>
      <c r="D157" t="n">
        <v>10560</v>
      </c>
      <c r="E157">
        <f>IFERROR(VLOOKUP(B157,Crosswalk!$A$2:$C$125,3,FALSE),"Unmapped")</f>
        <v/>
      </c>
    </row>
    <row r="158">
      <c r="A158" t="n">
        <v>2010</v>
      </c>
      <c r="B158" t="inlineStr">
        <is>
          <t>BS327A0</t>
        </is>
      </c>
      <c r="C158" t="inlineStr">
        <is>
          <t>Non-metallic mineral product manufacturing (except cement and concrete products)</t>
        </is>
      </c>
      <c r="D158" t="n">
        <v>3499</v>
      </c>
      <c r="E158">
        <f>IFERROR(VLOOKUP(B158,Crosswalk!$A$2:$C$125,3,FALSE),"Unmapped")</f>
        <v/>
      </c>
    </row>
    <row r="159">
      <c r="A159" t="n">
        <v>2010</v>
      </c>
      <c r="B159" t="inlineStr">
        <is>
          <t>BS33100</t>
        </is>
      </c>
      <c r="C159" t="inlineStr">
        <is>
          <t>Primary metal manufacturing</t>
        </is>
      </c>
      <c r="D159" t="n">
        <v>23746</v>
      </c>
      <c r="E159">
        <f>IFERROR(VLOOKUP(B159,Crosswalk!$A$2:$C$125,3,FALSE),"Unmapped")</f>
        <v/>
      </c>
    </row>
    <row r="160">
      <c r="A160" t="n">
        <v>2010</v>
      </c>
      <c r="B160" t="inlineStr">
        <is>
          <t>BS33200</t>
        </is>
      </c>
      <c r="C160" t="inlineStr">
        <is>
          <t>Fabricated metal product manufacturing</t>
        </is>
      </c>
      <c r="D160" t="n">
        <v>1394</v>
      </c>
      <c r="E160">
        <f>IFERROR(VLOOKUP(B160,Crosswalk!$A$2:$C$125,3,FALSE),"Unmapped")</f>
        <v/>
      </c>
    </row>
    <row r="161">
      <c r="A161" t="n">
        <v>2010</v>
      </c>
      <c r="B161" t="inlineStr">
        <is>
          <t>BS33300</t>
        </is>
      </c>
      <c r="C161" t="inlineStr">
        <is>
          <t>Machinery manufacturing</t>
        </is>
      </c>
      <c r="D161" t="n">
        <v>873</v>
      </c>
      <c r="E161">
        <f>IFERROR(VLOOKUP(B161,Crosswalk!$A$2:$C$125,3,FALSE),"Unmapped")</f>
        <v/>
      </c>
    </row>
    <row r="162">
      <c r="A162" t="n">
        <v>2010</v>
      </c>
      <c r="B162" t="inlineStr">
        <is>
          <t>BS33410</t>
        </is>
      </c>
      <c r="C162" t="inlineStr">
        <is>
          <t>Computer and peripheral equipment manufacturing</t>
        </is>
      </c>
      <c r="D162" t="n">
        <v>13</v>
      </c>
      <c r="E162">
        <f>IFERROR(VLOOKUP(B162,Crosswalk!$A$2:$C$125,3,FALSE),"Unmapped")</f>
        <v/>
      </c>
    </row>
    <row r="163">
      <c r="A163" t="n">
        <v>2010</v>
      </c>
      <c r="B163" t="inlineStr">
        <is>
          <t>BS334B0</t>
        </is>
      </c>
      <c r="C163" t="inlineStr">
        <is>
          <t>Electronic product manufacturing</t>
        </is>
      </c>
      <c r="D163" t="n">
        <v>133</v>
      </c>
      <c r="E163">
        <f>IFERROR(VLOOKUP(B163,Crosswalk!$A$2:$C$125,3,FALSE),"Unmapped")</f>
        <v/>
      </c>
    </row>
    <row r="164">
      <c r="A164" t="n">
        <v>2010</v>
      </c>
      <c r="B164" t="inlineStr">
        <is>
          <t>BS33520</t>
        </is>
      </c>
      <c r="C164" t="inlineStr">
        <is>
          <t>Household appliance manufacturing</t>
        </is>
      </c>
      <c r="D164" t="n">
        <v>44</v>
      </c>
      <c r="E164">
        <f>IFERROR(VLOOKUP(B164,Crosswalk!$A$2:$C$125,3,FALSE),"Unmapped")</f>
        <v/>
      </c>
    </row>
    <row r="165">
      <c r="A165" t="n">
        <v>2010</v>
      </c>
      <c r="B165" t="inlineStr">
        <is>
          <t>BS335A0</t>
        </is>
      </c>
      <c r="C165" t="inlineStr">
        <is>
          <t>Electrical equipment and component manufacturing</t>
        </is>
      </c>
      <c r="D165" t="n">
        <v>220</v>
      </c>
      <c r="E165">
        <f>IFERROR(VLOOKUP(B165,Crosswalk!$A$2:$C$125,3,FALSE),"Unmapped")</f>
        <v/>
      </c>
    </row>
    <row r="166">
      <c r="A166" t="n">
        <v>2010</v>
      </c>
      <c r="B166" t="inlineStr">
        <is>
          <t>BS33610</t>
        </is>
      </c>
      <c r="C166" t="inlineStr">
        <is>
          <t>Motor vehicle manufacturing</t>
        </is>
      </c>
      <c r="D166" t="n">
        <v>662</v>
      </c>
      <c r="E166">
        <f>IFERROR(VLOOKUP(B166,Crosswalk!$A$2:$C$125,3,FALSE),"Unmapped")</f>
        <v/>
      </c>
    </row>
    <row r="167">
      <c r="A167" t="n">
        <v>2010</v>
      </c>
      <c r="B167" t="inlineStr">
        <is>
          <t>BS33620</t>
        </is>
      </c>
      <c r="C167" t="inlineStr">
        <is>
          <t>Motor vehicle body and trailer manufacturing</t>
        </is>
      </c>
      <c r="D167" t="n">
        <v>90</v>
      </c>
      <c r="E167">
        <f>IFERROR(VLOOKUP(B167,Crosswalk!$A$2:$C$125,3,FALSE),"Unmapped")</f>
        <v/>
      </c>
    </row>
    <row r="168">
      <c r="A168" t="n">
        <v>2010</v>
      </c>
      <c r="B168" t="inlineStr">
        <is>
          <t>BS33630</t>
        </is>
      </c>
      <c r="C168" t="inlineStr">
        <is>
          <t>Motor vehicle parts manufacturing</t>
        </is>
      </c>
      <c r="D168" t="n">
        <v>398</v>
      </c>
      <c r="E168">
        <f>IFERROR(VLOOKUP(B168,Crosswalk!$A$2:$C$125,3,FALSE),"Unmapped")</f>
        <v/>
      </c>
    </row>
    <row r="169">
      <c r="A169" t="n">
        <v>2010</v>
      </c>
      <c r="B169" t="inlineStr">
        <is>
          <t>BS33640</t>
        </is>
      </c>
      <c r="C169" t="inlineStr">
        <is>
          <t>Aerospace product and parts manufacturing</t>
        </is>
      </c>
      <c r="D169" t="n">
        <v>181</v>
      </c>
      <c r="E169">
        <f>IFERROR(VLOOKUP(B169,Crosswalk!$A$2:$C$125,3,FALSE),"Unmapped")</f>
        <v/>
      </c>
    </row>
    <row r="170">
      <c r="A170" t="n">
        <v>2010</v>
      </c>
      <c r="B170" t="inlineStr">
        <is>
          <t>BS33650</t>
        </is>
      </c>
      <c r="C170" t="inlineStr">
        <is>
          <t>Railroad rolling stock manufacturing</t>
        </is>
      </c>
      <c r="D170" t="n">
        <v>17</v>
      </c>
      <c r="E170">
        <f>IFERROR(VLOOKUP(B170,Crosswalk!$A$2:$C$125,3,FALSE),"Unmapped")</f>
        <v/>
      </c>
    </row>
    <row r="171">
      <c r="A171" t="n">
        <v>2010</v>
      </c>
      <c r="B171" t="inlineStr">
        <is>
          <t>BS33660</t>
        </is>
      </c>
      <c r="C171" t="inlineStr">
        <is>
          <t>Ship and boat building</t>
        </is>
      </c>
      <c r="D171" t="n">
        <v>27</v>
      </c>
      <c r="E171">
        <f>IFERROR(VLOOKUP(B171,Crosswalk!$A$2:$C$125,3,FALSE),"Unmapped")</f>
        <v/>
      </c>
    </row>
    <row r="172">
      <c r="A172" t="n">
        <v>2010</v>
      </c>
      <c r="B172" t="inlineStr">
        <is>
          <t>BS33690</t>
        </is>
      </c>
      <c r="C172" t="inlineStr">
        <is>
          <t>Other transportation equipment manufacturing</t>
        </is>
      </c>
      <c r="D172" t="n">
        <v>22</v>
      </c>
      <c r="E172">
        <f>IFERROR(VLOOKUP(B172,Crosswalk!$A$2:$C$125,3,FALSE),"Unmapped")</f>
        <v/>
      </c>
    </row>
    <row r="173">
      <c r="A173" t="n">
        <v>2010</v>
      </c>
      <c r="B173" t="inlineStr">
        <is>
          <t>BS33700</t>
        </is>
      </c>
      <c r="C173" t="inlineStr">
        <is>
          <t>Furniture and related product manufacturing</t>
        </is>
      </c>
      <c r="D173" t="n">
        <v>491</v>
      </c>
      <c r="E173">
        <f>IFERROR(VLOOKUP(B173,Crosswalk!$A$2:$C$125,3,FALSE),"Unmapped")</f>
        <v/>
      </c>
    </row>
    <row r="174">
      <c r="A174" t="n">
        <v>2010</v>
      </c>
      <c r="B174" t="inlineStr">
        <is>
          <t>BS33900</t>
        </is>
      </c>
      <c r="C174" t="inlineStr">
        <is>
          <t>Miscellaneous manufacturing</t>
        </is>
      </c>
      <c r="D174" t="n">
        <v>274</v>
      </c>
      <c r="E174">
        <f>IFERROR(VLOOKUP(B174,Crosswalk!$A$2:$C$125,3,FALSE),"Unmapped")</f>
        <v/>
      </c>
    </row>
    <row r="175">
      <c r="A175" t="n">
        <v>2010</v>
      </c>
      <c r="B175" t="inlineStr">
        <is>
          <t>BS41000</t>
        </is>
      </c>
      <c r="C175" t="inlineStr">
        <is>
          <t>Wholesale trade</t>
        </is>
      </c>
      <c r="D175" t="n">
        <v>10342</v>
      </c>
      <c r="E175">
        <f>IFERROR(VLOOKUP(B175,Crosswalk!$A$2:$C$125,3,FALSE),"Unmapped")</f>
        <v/>
      </c>
    </row>
    <row r="176">
      <c r="A176" t="n">
        <v>2010</v>
      </c>
      <c r="B176" t="inlineStr">
        <is>
          <t>BS48100</t>
        </is>
      </c>
      <c r="C176" t="inlineStr">
        <is>
          <t>Air transportation</t>
        </is>
      </c>
      <c r="D176" t="n">
        <v>16101</v>
      </c>
      <c r="E176">
        <f>IFERROR(VLOOKUP(B176,Crosswalk!$A$2:$C$125,3,FALSE),"Unmapped")</f>
        <v/>
      </c>
    </row>
    <row r="177">
      <c r="A177" t="n">
        <v>2010</v>
      </c>
      <c r="B177" t="inlineStr">
        <is>
          <t>BS48200</t>
        </is>
      </c>
      <c r="C177" t="inlineStr">
        <is>
          <t>Rail transportation</t>
        </is>
      </c>
      <c r="D177" t="n">
        <v>5275</v>
      </c>
      <c r="E177">
        <f>IFERROR(VLOOKUP(B177,Crosswalk!$A$2:$C$125,3,FALSE),"Unmapped")</f>
        <v/>
      </c>
    </row>
    <row r="178">
      <c r="A178" t="n">
        <v>2010</v>
      </c>
      <c r="B178" t="inlineStr">
        <is>
          <t>BS48300</t>
        </is>
      </c>
      <c r="C178" t="inlineStr">
        <is>
          <t>Water transportation</t>
        </is>
      </c>
      <c r="D178" t="n">
        <v>5825</v>
      </c>
      <c r="E178">
        <f>IFERROR(VLOOKUP(B178,Crosswalk!$A$2:$C$125,3,FALSE),"Unmapped")</f>
        <v/>
      </c>
    </row>
    <row r="179">
      <c r="A179" t="n">
        <v>2010</v>
      </c>
      <c r="B179" t="inlineStr">
        <is>
          <t>BS48400</t>
        </is>
      </c>
      <c r="C179" t="inlineStr">
        <is>
          <t>Truck transportation</t>
        </is>
      </c>
      <c r="D179" t="n">
        <v>21312</v>
      </c>
      <c r="E179">
        <f>IFERROR(VLOOKUP(B179,Crosswalk!$A$2:$C$125,3,FALSE),"Unmapped")</f>
        <v/>
      </c>
    </row>
    <row r="180">
      <c r="A180" t="n">
        <v>2010</v>
      </c>
      <c r="B180" t="inlineStr">
        <is>
          <t>BS48600</t>
        </is>
      </c>
      <c r="C180" t="inlineStr">
        <is>
          <t>Pipeline transportation</t>
        </is>
      </c>
      <c r="D180" t="n">
        <v>7208</v>
      </c>
      <c r="E180">
        <f>IFERROR(VLOOKUP(B180,Crosswalk!$A$2:$C$125,3,FALSE),"Unmapped")</f>
        <v/>
      </c>
    </row>
    <row r="181">
      <c r="A181" t="n">
        <v>2010</v>
      </c>
      <c r="B181" t="inlineStr">
        <is>
          <t>BS48B00</t>
        </is>
      </c>
      <c r="C181" t="inlineStr">
        <is>
          <t>Transit, ground passenger and scenic and sightseeing transportation, taxi and limousine service and support activities for transportation</t>
        </is>
      </c>
      <c r="D181" t="n">
        <v>4265</v>
      </c>
      <c r="E181">
        <f>IFERROR(VLOOKUP(B181,Crosswalk!$A$2:$C$125,3,FALSE),"Unmapped")</f>
        <v/>
      </c>
    </row>
    <row r="182">
      <c r="A182" t="n">
        <v>2010</v>
      </c>
      <c r="B182" t="inlineStr">
        <is>
          <t>BS49300</t>
        </is>
      </c>
      <c r="C182" t="inlineStr">
        <is>
          <t>Warehousing and storage</t>
        </is>
      </c>
      <c r="D182" t="n">
        <v>205</v>
      </c>
      <c r="E182">
        <f>IFERROR(VLOOKUP(B182,Crosswalk!$A$2:$C$125,3,FALSE),"Unmapped")</f>
        <v/>
      </c>
    </row>
    <row r="183">
      <c r="A183" t="n">
        <v>2010</v>
      </c>
      <c r="B183" t="inlineStr">
        <is>
          <t>BS49A00</t>
        </is>
      </c>
      <c r="C183" t="inlineStr">
        <is>
          <t>Postal service and couriers and messengers</t>
        </is>
      </c>
      <c r="D183" t="n">
        <v>2058</v>
      </c>
      <c r="E183">
        <f>IFERROR(VLOOKUP(B183,Crosswalk!$A$2:$C$125,3,FALSE),"Unmapped")</f>
        <v/>
      </c>
    </row>
    <row r="184">
      <c r="A184" t="n">
        <v>2010</v>
      </c>
      <c r="B184" t="inlineStr">
        <is>
          <t>BS4A000</t>
        </is>
      </c>
      <c r="C184" t="inlineStr">
        <is>
          <t>Retail trade</t>
        </is>
      </c>
      <c r="D184" t="n">
        <v>6547</v>
      </c>
      <c r="E184">
        <f>IFERROR(VLOOKUP(B184,Crosswalk!$A$2:$C$125,3,FALSE),"Unmapped")</f>
        <v/>
      </c>
    </row>
    <row r="185">
      <c r="A185" t="n">
        <v>2010</v>
      </c>
      <c r="B185" t="inlineStr">
        <is>
          <t>BS51200</t>
        </is>
      </c>
      <c r="C185" t="inlineStr">
        <is>
          <t>Motion picture and sound recording industries</t>
        </is>
      </c>
      <c r="D185" t="n">
        <v>384</v>
      </c>
      <c r="E185">
        <f>IFERROR(VLOOKUP(B185,Crosswalk!$A$2:$C$125,3,FALSE),"Unmapped")</f>
        <v/>
      </c>
    </row>
    <row r="186">
      <c r="A186" t="n">
        <v>2010</v>
      </c>
      <c r="B186" t="inlineStr">
        <is>
          <t>BS51510</t>
        </is>
      </c>
      <c r="C186" t="inlineStr">
        <is>
          <t>Radio and television broadcasting</t>
        </is>
      </c>
      <c r="D186" t="n">
        <v>59</v>
      </c>
      <c r="E186">
        <f>IFERROR(VLOOKUP(B186,Crosswalk!$A$2:$C$125,3,FALSE),"Unmapped")</f>
        <v/>
      </c>
    </row>
    <row r="187">
      <c r="A187" t="n">
        <v>2010</v>
      </c>
      <c r="B187" t="inlineStr">
        <is>
          <t>BS51B00</t>
        </is>
      </c>
      <c r="C187" t="inlineStr">
        <is>
          <t>Publishing, pay/specialty services, telecommunications and other information services</t>
        </is>
      </c>
      <c r="D187" t="n">
        <v>911</v>
      </c>
      <c r="E187">
        <f>IFERROR(VLOOKUP(B187,Crosswalk!$A$2:$C$125,3,FALSE),"Unmapped")</f>
        <v/>
      </c>
    </row>
    <row r="188">
      <c r="A188" t="n">
        <v>2010</v>
      </c>
      <c r="B188" t="inlineStr">
        <is>
          <t>BS52410</t>
        </is>
      </c>
      <c r="C188" t="inlineStr">
        <is>
          <t>Insurance carriers</t>
        </is>
      </c>
      <c r="D188" t="n">
        <v>245</v>
      </c>
      <c r="E188">
        <f>IFERROR(VLOOKUP(B188,Crosswalk!$A$2:$C$125,3,FALSE),"Unmapped")</f>
        <v/>
      </c>
    </row>
    <row r="189">
      <c r="A189" t="n">
        <v>2010</v>
      </c>
      <c r="B189" t="inlineStr">
        <is>
          <t>BS52B00</t>
        </is>
      </c>
      <c r="C189" t="inlineStr">
        <is>
          <t>Depository credit intermediation and monetary authorities</t>
        </is>
      </c>
      <c r="D189" t="n">
        <v>1230</v>
      </c>
      <c r="E189">
        <f>IFERROR(VLOOKUP(B189,Crosswalk!$A$2:$C$125,3,FALSE),"Unmapped")</f>
        <v/>
      </c>
    </row>
    <row r="190">
      <c r="A190" t="n">
        <v>2010</v>
      </c>
      <c r="B190" t="inlineStr">
        <is>
          <t>BS53110</t>
        </is>
      </c>
      <c r="C190" t="inlineStr">
        <is>
          <t>Lessors of real estate</t>
        </is>
      </c>
      <c r="D190" t="n">
        <v>6896</v>
      </c>
      <c r="E190">
        <f>IFERROR(VLOOKUP(B190,Crosswalk!$A$2:$C$125,3,FALSE),"Unmapped")</f>
        <v/>
      </c>
    </row>
    <row r="191">
      <c r="A191" t="n">
        <v>2010</v>
      </c>
      <c r="B191" t="inlineStr">
        <is>
          <t>BS5311A</t>
        </is>
      </c>
      <c r="C191" t="inlineStr">
        <is>
          <t>Owner-occupied dwellings</t>
        </is>
      </c>
      <c r="D191" t="n">
        <v>0</v>
      </c>
      <c r="E191">
        <f>IFERROR(VLOOKUP(B191,Crosswalk!$A$2:$C$125,3,FALSE),"Unmapped")</f>
        <v/>
      </c>
    </row>
    <row r="192">
      <c r="A192" t="n">
        <v>2010</v>
      </c>
      <c r="B192" t="inlineStr">
        <is>
          <t>BS53B00</t>
        </is>
      </c>
      <c r="C192" t="inlineStr">
        <is>
          <t>Rental and leasing services and lessors of non-financial intangible assets (except copyrighted works)</t>
        </is>
      </c>
      <c r="D192" t="n">
        <v>2580</v>
      </c>
      <c r="E192">
        <f>IFERROR(VLOOKUP(B192,Crosswalk!$A$2:$C$125,3,FALSE),"Unmapped")</f>
        <v/>
      </c>
    </row>
    <row r="193">
      <c r="A193" t="n">
        <v>2010</v>
      </c>
      <c r="B193" t="inlineStr">
        <is>
          <t>BS54180</t>
        </is>
      </c>
      <c r="C193" t="inlineStr">
        <is>
          <t>Advertising, public relations and related services</t>
        </is>
      </c>
      <c r="D193" t="n">
        <v>151</v>
      </c>
      <c r="E193">
        <f>IFERROR(VLOOKUP(B193,Crosswalk!$A$2:$C$125,3,FALSE),"Unmapped")</f>
        <v/>
      </c>
    </row>
    <row r="194">
      <c r="A194" t="n">
        <v>2010</v>
      </c>
      <c r="B194" t="inlineStr">
        <is>
          <t>BS541C0</t>
        </is>
      </c>
      <c r="C194" t="inlineStr">
        <is>
          <t>Legal, accounting and architectural, engineering and related services</t>
        </is>
      </c>
      <c r="D194" t="n">
        <v>995</v>
      </c>
      <c r="E194">
        <f>IFERROR(VLOOKUP(B194,Crosswalk!$A$2:$C$125,3,FALSE),"Unmapped")</f>
        <v/>
      </c>
    </row>
    <row r="195">
      <c r="A195" t="n">
        <v>2010</v>
      </c>
      <c r="B195" t="inlineStr">
        <is>
          <t>BS541D0</t>
        </is>
      </c>
      <c r="C195" t="inlineStr">
        <is>
          <t>Computer systems design and other professional, scientific and technical services</t>
        </is>
      </c>
      <c r="D195" t="n">
        <v>787</v>
      </c>
      <c r="E195">
        <f>IFERROR(VLOOKUP(B195,Crosswalk!$A$2:$C$125,3,FALSE),"Unmapped")</f>
        <v/>
      </c>
    </row>
    <row r="196">
      <c r="A196" t="n">
        <v>2010</v>
      </c>
      <c r="B196" t="inlineStr">
        <is>
          <t>BS56100</t>
        </is>
      </c>
      <c r="C196" t="inlineStr">
        <is>
          <t>Administrative and support services</t>
        </is>
      </c>
      <c r="D196" t="n">
        <v>2925</v>
      </c>
      <c r="E196">
        <f>IFERROR(VLOOKUP(B196,Crosswalk!$A$2:$C$125,3,FALSE),"Unmapped")</f>
        <v/>
      </c>
    </row>
    <row r="197">
      <c r="A197" t="n">
        <v>2010</v>
      </c>
      <c r="B197" t="inlineStr">
        <is>
          <t>BS56200</t>
        </is>
      </c>
      <c r="C197" t="inlineStr">
        <is>
          <t>Waste management and remediation services</t>
        </is>
      </c>
      <c r="D197" t="n">
        <v>2339</v>
      </c>
      <c r="E197">
        <f>IFERROR(VLOOKUP(B197,Crosswalk!$A$2:$C$125,3,FALSE),"Unmapped")</f>
        <v/>
      </c>
    </row>
    <row r="198">
      <c r="A198" t="n">
        <v>2010</v>
      </c>
      <c r="B198" t="inlineStr">
        <is>
          <t>BS5A000</t>
        </is>
      </c>
      <c r="C198" t="inlineStr">
        <is>
          <t>Other finance, insurance and real estate services and management of companies and enterprises</t>
        </is>
      </c>
      <c r="D198" t="n">
        <v>4019</v>
      </c>
      <c r="E198">
        <f>IFERROR(VLOOKUP(B198,Crosswalk!$A$2:$C$125,3,FALSE),"Unmapped")</f>
        <v/>
      </c>
    </row>
    <row r="199">
      <c r="A199" t="n">
        <v>2010</v>
      </c>
      <c r="B199" t="inlineStr">
        <is>
          <t>BS61000</t>
        </is>
      </c>
      <c r="C199" t="inlineStr">
        <is>
          <t>Educational services</t>
        </is>
      </c>
      <c r="D199" t="n">
        <v>233</v>
      </c>
      <c r="E199">
        <f>IFERROR(VLOOKUP(B199,Crosswalk!$A$2:$C$125,3,FALSE),"Unmapped")</f>
        <v/>
      </c>
    </row>
    <row r="200">
      <c r="A200" t="n">
        <v>2010</v>
      </c>
      <c r="B200" t="inlineStr">
        <is>
          <t>BS62000</t>
        </is>
      </c>
      <c r="C200" t="inlineStr">
        <is>
          <t>Health care and social assistance</t>
        </is>
      </c>
      <c r="D200" t="n">
        <v>1955</v>
      </c>
      <c r="E200">
        <f>IFERROR(VLOOKUP(B200,Crosswalk!$A$2:$C$125,3,FALSE),"Unmapped")</f>
        <v/>
      </c>
    </row>
    <row r="201">
      <c r="A201" t="n">
        <v>2010</v>
      </c>
      <c r="B201" t="inlineStr">
        <is>
          <t>BS71000</t>
        </is>
      </c>
      <c r="C201" t="inlineStr">
        <is>
          <t>Arts, entertainment and recreation</t>
        </is>
      </c>
      <c r="D201" t="n">
        <v>266</v>
      </c>
      <c r="E201">
        <f>IFERROR(VLOOKUP(B201,Crosswalk!$A$2:$C$125,3,FALSE),"Unmapped")</f>
        <v/>
      </c>
    </row>
    <row r="202">
      <c r="A202" t="n">
        <v>2010</v>
      </c>
      <c r="B202" t="inlineStr">
        <is>
          <t>BS72000</t>
        </is>
      </c>
      <c r="C202" t="inlineStr">
        <is>
          <t>Accommodation and food services</t>
        </is>
      </c>
      <c r="D202" t="n">
        <v>1537</v>
      </c>
      <c r="E202">
        <f>IFERROR(VLOOKUP(B202,Crosswalk!$A$2:$C$125,3,FALSE),"Unmapped")</f>
        <v/>
      </c>
    </row>
    <row r="203">
      <c r="A203" t="n">
        <v>2010</v>
      </c>
      <c r="B203" t="inlineStr">
        <is>
          <t>BS81100</t>
        </is>
      </c>
      <c r="C203" t="inlineStr">
        <is>
          <t>Repair and maintenance</t>
        </is>
      </c>
      <c r="D203" t="n">
        <v>2616</v>
      </c>
      <c r="E203">
        <f>IFERROR(VLOOKUP(B203,Crosswalk!$A$2:$C$125,3,FALSE),"Unmapped")</f>
        <v/>
      </c>
    </row>
    <row r="204">
      <c r="A204" t="n">
        <v>2010</v>
      </c>
      <c r="B204" t="inlineStr">
        <is>
          <t>BS81300</t>
        </is>
      </c>
      <c r="C204" t="inlineStr">
        <is>
          <t>Professional and similar organisations</t>
        </is>
      </c>
      <c r="D204" t="n">
        <v>28</v>
      </c>
      <c r="E204">
        <f>IFERROR(VLOOKUP(B204,Crosswalk!$A$2:$C$125,3,FALSE),"Unmapped")</f>
        <v/>
      </c>
    </row>
    <row r="205">
      <c r="A205" t="n">
        <v>2010</v>
      </c>
      <c r="B205" t="inlineStr">
        <is>
          <t>BS81A00</t>
        </is>
      </c>
      <c r="C205" t="inlineStr">
        <is>
          <t>Personal services and private households</t>
        </is>
      </c>
      <c r="D205" t="n">
        <v>481</v>
      </c>
      <c r="E205">
        <f>IFERROR(VLOOKUP(B205,Crosswalk!$A$2:$C$125,3,FALSE),"Unmapped")</f>
        <v/>
      </c>
    </row>
    <row r="206">
      <c r="A206" t="n">
        <v>2010</v>
      </c>
      <c r="B206" t="inlineStr">
        <is>
          <t>FC11000</t>
        </is>
      </c>
      <c r="C206" t="inlineStr">
        <is>
          <t>Repair and maintenance</t>
        </is>
      </c>
      <c r="D206" t="n">
        <v>0</v>
      </c>
      <c r="E206">
        <f>IFERROR(VLOOKUP(B206,Crosswalk!$A$2:$C$125,3,FALSE),"Unmapped")</f>
        <v/>
      </c>
    </row>
    <row r="207">
      <c r="A207" t="n">
        <v>2010</v>
      </c>
      <c r="B207" t="inlineStr">
        <is>
          <t>FC12000</t>
        </is>
      </c>
      <c r="C207" t="inlineStr">
        <is>
          <t>Operating supplies</t>
        </is>
      </c>
      <c r="D207" t="n">
        <v>0</v>
      </c>
      <c r="E207">
        <f>IFERROR(VLOOKUP(B207,Crosswalk!$A$2:$C$125,3,FALSE),"Unmapped")</f>
        <v/>
      </c>
    </row>
    <row r="208">
      <c r="A208" t="n">
        <v>2010</v>
      </c>
      <c r="B208" t="inlineStr">
        <is>
          <t>FC13000</t>
        </is>
      </c>
      <c r="C208" t="inlineStr">
        <is>
          <t>Office supplies</t>
        </is>
      </c>
      <c r="D208" t="n">
        <v>0</v>
      </c>
      <c r="E208">
        <f>IFERROR(VLOOKUP(B208,Crosswalk!$A$2:$C$125,3,FALSE),"Unmapped")</f>
        <v/>
      </c>
    </row>
    <row r="209">
      <c r="A209" t="n">
        <v>2010</v>
      </c>
      <c r="B209" t="inlineStr">
        <is>
          <t>FC20000</t>
        </is>
      </c>
      <c r="C209" t="inlineStr">
        <is>
          <t>Advertising, promotion, meals, entertainment, and travel</t>
        </is>
      </c>
      <c r="D209" t="n">
        <v>0</v>
      </c>
      <c r="E209">
        <f>IFERROR(VLOOKUP(B209,Crosswalk!$A$2:$C$125,3,FALSE),"Unmapped")</f>
        <v/>
      </c>
    </row>
    <row r="210">
      <c r="A210" t="n">
        <v>2010</v>
      </c>
      <c r="B210" t="inlineStr">
        <is>
          <t>FC30000</t>
        </is>
      </c>
      <c r="C210" t="inlineStr">
        <is>
          <t>Transportation margins</t>
        </is>
      </c>
      <c r="D210" t="n">
        <v>0</v>
      </c>
      <c r="E210">
        <f>IFERROR(VLOOKUP(B210,Crosswalk!$A$2:$C$125,3,FALSE),"Unmapped")</f>
        <v/>
      </c>
    </row>
    <row r="211">
      <c r="A211" t="n">
        <v>2010</v>
      </c>
      <c r="B211" t="inlineStr">
        <is>
          <t>GS61130</t>
        </is>
      </c>
      <c r="C211" t="inlineStr">
        <is>
          <t>Universities</t>
        </is>
      </c>
      <c r="D211" t="n">
        <v>1854</v>
      </c>
      <c r="E211">
        <f>IFERROR(VLOOKUP(B211,Crosswalk!$A$2:$C$125,3,FALSE),"Unmapped")</f>
        <v/>
      </c>
    </row>
    <row r="212">
      <c r="A212" t="n">
        <v>2010</v>
      </c>
      <c r="B212" t="inlineStr">
        <is>
          <t>GS611B0</t>
        </is>
      </c>
      <c r="C212" t="inlineStr">
        <is>
          <t>Educational services (except universities)</t>
        </is>
      </c>
      <c r="D212" t="n">
        <v>1791</v>
      </c>
      <c r="E212">
        <f>IFERROR(VLOOKUP(B212,Crosswalk!$A$2:$C$125,3,FALSE),"Unmapped")</f>
        <v/>
      </c>
    </row>
    <row r="213">
      <c r="A213" t="n">
        <v>2010</v>
      </c>
      <c r="B213" t="inlineStr">
        <is>
          <t>GS62200</t>
        </is>
      </c>
      <c r="C213" t="inlineStr">
        <is>
          <t>Hospitals</t>
        </is>
      </c>
      <c r="D213" t="n">
        <v>1045</v>
      </c>
      <c r="E213">
        <f>IFERROR(VLOOKUP(B213,Crosswalk!$A$2:$C$125,3,FALSE),"Unmapped")</f>
        <v/>
      </c>
    </row>
    <row r="214">
      <c r="A214" t="n">
        <v>2010</v>
      </c>
      <c r="B214" t="inlineStr">
        <is>
          <t>GS62300</t>
        </is>
      </c>
      <c r="C214" t="inlineStr">
        <is>
          <t>Nursing and residential care facilities</t>
        </is>
      </c>
      <c r="D214" t="n">
        <v>104</v>
      </c>
      <c r="E214">
        <f>IFERROR(VLOOKUP(B214,Crosswalk!$A$2:$C$125,3,FALSE),"Unmapped")</f>
        <v/>
      </c>
    </row>
    <row r="215">
      <c r="A215" t="n">
        <v>2010</v>
      </c>
      <c r="B215" t="inlineStr">
        <is>
          <t>GS91100</t>
        </is>
      </c>
      <c r="C215" t="inlineStr">
        <is>
          <t>Other federal government services</t>
        </is>
      </c>
      <c r="D215" t="n">
        <v>2730</v>
      </c>
      <c r="E215">
        <f>IFERROR(VLOOKUP(B215,Crosswalk!$A$2:$C$125,3,FALSE),"Unmapped")</f>
        <v/>
      </c>
    </row>
    <row r="216">
      <c r="A216" t="n">
        <v>2010</v>
      </c>
      <c r="B216" t="inlineStr">
        <is>
          <t>GS91200</t>
        </is>
      </c>
      <c r="C216" t="inlineStr">
        <is>
          <t>Other provincial and territorial government services</t>
        </is>
      </c>
      <c r="D216" t="n">
        <v>1649</v>
      </c>
      <c r="E216">
        <f>IFERROR(VLOOKUP(B216,Crosswalk!$A$2:$C$125,3,FALSE),"Unmapped")</f>
        <v/>
      </c>
    </row>
    <row r="217">
      <c r="A217" t="n">
        <v>2010</v>
      </c>
      <c r="B217" t="inlineStr">
        <is>
          <t>GS91300</t>
        </is>
      </c>
      <c r="C217" t="inlineStr">
        <is>
          <t>Other municipal government services</t>
        </is>
      </c>
      <c r="D217" t="n">
        <v>6345</v>
      </c>
      <c r="E217">
        <f>IFERROR(VLOOKUP(B217,Crosswalk!$A$2:$C$125,3,FALSE),"Unmapped")</f>
        <v/>
      </c>
    </row>
    <row r="218">
      <c r="A218" t="n">
        <v>2010</v>
      </c>
      <c r="B218" t="inlineStr">
        <is>
          <t>GS91400</t>
        </is>
      </c>
      <c r="C218" t="inlineStr">
        <is>
          <t>Other Indigenous government services</t>
        </is>
      </c>
      <c r="D218" t="n">
        <v>267</v>
      </c>
      <c r="E218">
        <f>IFERROR(VLOOKUP(B218,Crosswalk!$A$2:$C$125,3,FALSE),"Unmapped")</f>
        <v/>
      </c>
    </row>
    <row r="219">
      <c r="A219" t="n">
        <v>2010</v>
      </c>
      <c r="B219" t="inlineStr">
        <is>
          <t>NP61000</t>
        </is>
      </c>
      <c r="C219" t="inlineStr">
        <is>
          <t>Non-profit education services</t>
        </is>
      </c>
      <c r="D219" t="n">
        <v>576</v>
      </c>
      <c r="E219">
        <f>IFERROR(VLOOKUP(B219,Crosswalk!$A$2:$C$125,3,FALSE),"Unmapped")</f>
        <v/>
      </c>
    </row>
    <row r="220">
      <c r="A220" t="n">
        <v>2010</v>
      </c>
      <c r="B220" t="inlineStr">
        <is>
          <t>NP62400</t>
        </is>
      </c>
      <c r="C220" t="inlineStr">
        <is>
          <t>Non-profit social assistance</t>
        </is>
      </c>
      <c r="D220" t="n">
        <v>309</v>
      </c>
      <c r="E220">
        <f>IFERROR(VLOOKUP(B220,Crosswalk!$A$2:$C$125,3,FALSE),"Unmapped")</f>
        <v/>
      </c>
    </row>
    <row r="221">
      <c r="A221" t="n">
        <v>2010</v>
      </c>
      <c r="B221" t="inlineStr">
        <is>
          <t>NP71000</t>
        </is>
      </c>
      <c r="C221" t="inlineStr">
        <is>
          <t>Non-profit arts, entertainment and recreation</t>
        </is>
      </c>
      <c r="D221" t="n">
        <v>210</v>
      </c>
      <c r="E221">
        <f>IFERROR(VLOOKUP(B221,Crosswalk!$A$2:$C$125,3,FALSE),"Unmapped")</f>
        <v/>
      </c>
    </row>
    <row r="222">
      <c r="A222" t="n">
        <v>2010</v>
      </c>
      <c r="B222" t="inlineStr">
        <is>
          <t>NP81310</t>
        </is>
      </c>
      <c r="C222" t="inlineStr">
        <is>
          <t>Religious organizations</t>
        </is>
      </c>
      <c r="D222" t="n">
        <v>898</v>
      </c>
      <c r="E222">
        <f>IFERROR(VLOOKUP(B222,Crosswalk!$A$2:$C$125,3,FALSE),"Unmapped")</f>
        <v/>
      </c>
    </row>
    <row r="223">
      <c r="A223" t="n">
        <v>2010</v>
      </c>
      <c r="B223" t="inlineStr">
        <is>
          <t>NPA0000</t>
        </is>
      </c>
      <c r="C223" t="inlineStr">
        <is>
          <t>Miscellaneous non-profit institutions serving households</t>
        </is>
      </c>
      <c r="D223" t="n">
        <v>1193</v>
      </c>
      <c r="E223">
        <f>IFERROR(VLOOKUP(B223,Crosswalk!$A$2:$C$125,3,FALSE),"Unmapped")</f>
        <v/>
      </c>
    </row>
    <row r="224">
      <c r="A224" t="n">
        <v>2011</v>
      </c>
      <c r="B224" t="inlineStr">
        <is>
          <t>BS11300</t>
        </is>
      </c>
      <c r="C224" t="inlineStr">
        <is>
          <t>Forestry and logging</t>
        </is>
      </c>
      <c r="D224" t="n">
        <v>7288</v>
      </c>
      <c r="E224">
        <f>IFERROR(VLOOKUP(B224,Crosswalk!$A$2:$C$125,3,FALSE),"Unmapped")</f>
        <v/>
      </c>
    </row>
    <row r="225">
      <c r="A225" t="n">
        <v>2011</v>
      </c>
      <c r="B225" t="inlineStr">
        <is>
          <t>BS11400</t>
        </is>
      </c>
      <c r="C225" t="inlineStr">
        <is>
          <t>Fishing, hunting and trapping</t>
        </is>
      </c>
      <c r="D225" t="n">
        <v>868</v>
      </c>
      <c r="E225">
        <f>IFERROR(VLOOKUP(B225,Crosswalk!$A$2:$C$125,3,FALSE),"Unmapped")</f>
        <v/>
      </c>
    </row>
    <row r="226">
      <c r="A226" t="n">
        <v>2011</v>
      </c>
      <c r="B226" t="inlineStr">
        <is>
          <t>BS11500</t>
        </is>
      </c>
      <c r="C226" t="inlineStr">
        <is>
          <t>Support activities for agriculture and forestry</t>
        </is>
      </c>
      <c r="D226" t="n">
        <v>828</v>
      </c>
      <c r="E226">
        <f>IFERROR(VLOOKUP(B226,Crosswalk!$A$2:$C$125,3,FALSE),"Unmapped")</f>
        <v/>
      </c>
    </row>
    <row r="227">
      <c r="A227" t="n">
        <v>2011</v>
      </c>
      <c r="B227" t="inlineStr">
        <is>
          <t>BS11A00</t>
        </is>
      </c>
      <c r="C227" t="inlineStr">
        <is>
          <t>Crop and animal production</t>
        </is>
      </c>
      <c r="D227" t="n">
        <v>66265</v>
      </c>
      <c r="E227">
        <f>IFERROR(VLOOKUP(B227,Crosswalk!$A$2:$C$125,3,FALSE),"Unmapped")</f>
        <v/>
      </c>
    </row>
    <row r="228">
      <c r="A228" t="n">
        <v>2011</v>
      </c>
      <c r="B228" t="inlineStr">
        <is>
          <t>BS21100</t>
        </is>
      </c>
      <c r="C228" t="inlineStr">
        <is>
          <t>Oil and gas extraction</t>
        </is>
      </c>
      <c r="D228" t="n">
        <v>182778</v>
      </c>
      <c r="E228">
        <f>IFERROR(VLOOKUP(B228,Crosswalk!$A$2:$C$125,3,FALSE),"Unmapped")</f>
        <v/>
      </c>
    </row>
    <row r="229">
      <c r="A229" t="n">
        <v>2011</v>
      </c>
      <c r="B229" t="inlineStr">
        <is>
          <t>BS21210</t>
        </is>
      </c>
      <c r="C229" t="inlineStr">
        <is>
          <t>Coal mining</t>
        </is>
      </c>
      <c r="D229" t="n">
        <v>3064</v>
      </c>
      <c r="E229">
        <f>IFERROR(VLOOKUP(B229,Crosswalk!$A$2:$C$125,3,FALSE),"Unmapped")</f>
        <v/>
      </c>
    </row>
    <row r="230">
      <c r="A230" t="n">
        <v>2011</v>
      </c>
      <c r="B230" t="inlineStr">
        <is>
          <t>BS21220</t>
        </is>
      </c>
      <c r="C230" t="inlineStr">
        <is>
          <t>Metal ore mining</t>
        </is>
      </c>
      <c r="D230" t="n">
        <v>3890</v>
      </c>
      <c r="E230">
        <f>IFERROR(VLOOKUP(B230,Crosswalk!$A$2:$C$125,3,FALSE),"Unmapped")</f>
        <v/>
      </c>
    </row>
    <row r="231">
      <c r="A231" t="n">
        <v>2011</v>
      </c>
      <c r="B231" t="inlineStr">
        <is>
          <t>BS21230</t>
        </is>
      </c>
      <c r="C231" t="inlineStr">
        <is>
          <t>Non-metallic mineral mining and quarrying</t>
        </is>
      </c>
      <c r="D231" t="n">
        <v>2922</v>
      </c>
      <c r="E231">
        <f>IFERROR(VLOOKUP(B231,Crosswalk!$A$2:$C$125,3,FALSE),"Unmapped")</f>
        <v/>
      </c>
    </row>
    <row r="232">
      <c r="A232" t="n">
        <v>2011</v>
      </c>
      <c r="B232" t="inlineStr">
        <is>
          <t>BS21300</t>
        </is>
      </c>
      <c r="C232" t="inlineStr">
        <is>
          <t>Support activities for mining and oil and gas extraction</t>
        </is>
      </c>
      <c r="D232" t="n">
        <v>7017</v>
      </c>
      <c r="E232">
        <f>IFERROR(VLOOKUP(B232,Crosswalk!$A$2:$C$125,3,FALSE),"Unmapped")</f>
        <v/>
      </c>
    </row>
    <row r="233">
      <c r="A233" t="n">
        <v>2011</v>
      </c>
      <c r="B233" t="inlineStr">
        <is>
          <t>BS22110</t>
        </is>
      </c>
      <c r="C233" t="inlineStr">
        <is>
          <t>Electric power generation, transmission and distribution</t>
        </is>
      </c>
      <c r="D233" t="n">
        <v>95368</v>
      </c>
      <c r="E233">
        <f>IFERROR(VLOOKUP(B233,Crosswalk!$A$2:$C$125,3,FALSE),"Unmapped")</f>
        <v/>
      </c>
    </row>
    <row r="234">
      <c r="A234" t="n">
        <v>2011</v>
      </c>
      <c r="B234" t="inlineStr">
        <is>
          <t>BS221A0</t>
        </is>
      </c>
      <c r="C234" t="inlineStr">
        <is>
          <t>Natural gas distribution, water, sewage and other systems</t>
        </is>
      </c>
      <c r="D234" t="n">
        <v>2196</v>
      </c>
      <c r="E234">
        <f>IFERROR(VLOOKUP(B234,Crosswalk!$A$2:$C$125,3,FALSE),"Unmapped")</f>
        <v/>
      </c>
    </row>
    <row r="235">
      <c r="A235" t="n">
        <v>2011</v>
      </c>
      <c r="B235" t="inlineStr">
        <is>
          <t>BS23A00</t>
        </is>
      </c>
      <c r="C235" t="inlineStr">
        <is>
          <t>Residential building construction</t>
        </is>
      </c>
      <c r="D235" t="n">
        <v>1478</v>
      </c>
      <c r="E235">
        <f>IFERROR(VLOOKUP(B235,Crosswalk!$A$2:$C$125,3,FALSE),"Unmapped")</f>
        <v/>
      </c>
    </row>
    <row r="236">
      <c r="A236" t="n">
        <v>2011</v>
      </c>
      <c r="B236" t="inlineStr">
        <is>
          <t>BS23B00</t>
        </is>
      </c>
      <c r="C236" t="inlineStr">
        <is>
          <t>Non-residential building construction</t>
        </is>
      </c>
      <c r="D236" t="n">
        <v>506</v>
      </c>
      <c r="E236">
        <f>IFERROR(VLOOKUP(B236,Crosswalk!$A$2:$C$125,3,FALSE),"Unmapped")</f>
        <v/>
      </c>
    </row>
    <row r="237">
      <c r="A237" t="n">
        <v>2011</v>
      </c>
      <c r="B237" t="inlineStr">
        <is>
          <t>BS23C10</t>
        </is>
      </c>
      <c r="C237" t="inlineStr">
        <is>
          <t>Transportation engineering construction</t>
        </is>
      </c>
      <c r="D237" t="n">
        <v>1310</v>
      </c>
      <c r="E237">
        <f>IFERROR(VLOOKUP(B237,Crosswalk!$A$2:$C$125,3,FALSE),"Unmapped")</f>
        <v/>
      </c>
    </row>
    <row r="238">
      <c r="A238" t="n">
        <v>2011</v>
      </c>
      <c r="B238" t="inlineStr">
        <is>
          <t>BS23C20</t>
        </is>
      </c>
      <c r="C238" t="inlineStr">
        <is>
          <t>Oil and gas engineering construction</t>
        </is>
      </c>
      <c r="D238" t="n">
        <v>1023</v>
      </c>
      <c r="E238">
        <f>IFERROR(VLOOKUP(B238,Crosswalk!$A$2:$C$125,3,FALSE),"Unmapped")</f>
        <v/>
      </c>
    </row>
    <row r="239">
      <c r="A239" t="n">
        <v>2011</v>
      </c>
      <c r="B239" t="inlineStr">
        <is>
          <t>BS23C30</t>
        </is>
      </c>
      <c r="C239" t="inlineStr">
        <is>
          <t>Electric power engineering construction</t>
        </is>
      </c>
      <c r="D239" t="n">
        <v>592</v>
      </c>
      <c r="E239">
        <f>IFERROR(VLOOKUP(B239,Crosswalk!$A$2:$C$125,3,FALSE),"Unmapped")</f>
        <v/>
      </c>
    </row>
    <row r="240">
      <c r="A240" t="n">
        <v>2011</v>
      </c>
      <c r="B240" t="inlineStr">
        <is>
          <t>BS23C40</t>
        </is>
      </c>
      <c r="C240" t="inlineStr">
        <is>
          <t>Communication engineering construction</t>
        </is>
      </c>
      <c r="D240" t="n">
        <v>154</v>
      </c>
      <c r="E240">
        <f>IFERROR(VLOOKUP(B240,Crosswalk!$A$2:$C$125,3,FALSE),"Unmapped")</f>
        <v/>
      </c>
    </row>
    <row r="241">
      <c r="A241" t="n">
        <v>2011</v>
      </c>
      <c r="B241" t="inlineStr">
        <is>
          <t>BS23C50</t>
        </is>
      </c>
      <c r="C241" t="inlineStr">
        <is>
          <t>Other engineering construction</t>
        </is>
      </c>
      <c r="D241" t="n">
        <v>1085</v>
      </c>
      <c r="E241">
        <f>IFERROR(VLOOKUP(B241,Crosswalk!$A$2:$C$125,3,FALSE),"Unmapped")</f>
        <v/>
      </c>
    </row>
    <row r="242">
      <c r="A242" t="n">
        <v>2011</v>
      </c>
      <c r="B242" t="inlineStr">
        <is>
          <t>BS23D00</t>
        </is>
      </c>
      <c r="C242" t="inlineStr">
        <is>
          <t>Repair construction</t>
        </is>
      </c>
      <c r="D242" t="n">
        <v>723</v>
      </c>
      <c r="E242">
        <f>IFERROR(VLOOKUP(B242,Crosswalk!$A$2:$C$125,3,FALSE),"Unmapped")</f>
        <v/>
      </c>
    </row>
    <row r="243">
      <c r="A243" t="n">
        <v>2011</v>
      </c>
      <c r="B243" t="inlineStr">
        <is>
          <t>BS23E00</t>
        </is>
      </c>
      <c r="C243" t="inlineStr">
        <is>
          <t>Other activities of the construction industry</t>
        </is>
      </c>
      <c r="D243" t="n">
        <v>536</v>
      </c>
      <c r="E243">
        <f>IFERROR(VLOOKUP(B243,Crosswalk!$A$2:$C$125,3,FALSE),"Unmapped")</f>
        <v/>
      </c>
    </row>
    <row r="244">
      <c r="A244" t="n">
        <v>2011</v>
      </c>
      <c r="B244" t="inlineStr">
        <is>
          <t>BS31110</t>
        </is>
      </c>
      <c r="C244" t="inlineStr">
        <is>
          <t>Animal food manufacturing</t>
        </is>
      </c>
      <c r="D244" t="n">
        <v>270</v>
      </c>
      <c r="E244">
        <f>IFERROR(VLOOKUP(B244,Crosswalk!$A$2:$C$125,3,FALSE),"Unmapped")</f>
        <v/>
      </c>
    </row>
    <row r="245">
      <c r="A245" t="n">
        <v>2011</v>
      </c>
      <c r="B245" t="inlineStr">
        <is>
          <t>BS31130</t>
        </is>
      </c>
      <c r="C245" t="inlineStr">
        <is>
          <t>Sugar and confectionery product manufacturing</t>
        </is>
      </c>
      <c r="D245" t="n">
        <v>360</v>
      </c>
      <c r="E245">
        <f>IFERROR(VLOOKUP(B245,Crosswalk!$A$2:$C$125,3,FALSE),"Unmapped")</f>
        <v/>
      </c>
    </row>
    <row r="246">
      <c r="A246" t="n">
        <v>2011</v>
      </c>
      <c r="B246" t="inlineStr">
        <is>
          <t>BS31140</t>
        </is>
      </c>
      <c r="C246" t="inlineStr">
        <is>
          <t>Fruit and vegetable preserving and specialty food manufacturing</t>
        </is>
      </c>
      <c r="D246" t="n">
        <v>717</v>
      </c>
      <c r="E246">
        <f>IFERROR(VLOOKUP(B246,Crosswalk!$A$2:$C$125,3,FALSE),"Unmapped")</f>
        <v/>
      </c>
    </row>
    <row r="247">
      <c r="A247" t="n">
        <v>2011</v>
      </c>
      <c r="B247" t="inlineStr">
        <is>
          <t>BS31150</t>
        </is>
      </c>
      <c r="C247" t="inlineStr">
        <is>
          <t>Dairy product manufacturing</t>
        </is>
      </c>
      <c r="D247" t="n">
        <v>504</v>
      </c>
      <c r="E247">
        <f>IFERROR(VLOOKUP(B247,Crosswalk!$A$2:$C$125,3,FALSE),"Unmapped")</f>
        <v/>
      </c>
    </row>
    <row r="248">
      <c r="A248" t="n">
        <v>2011</v>
      </c>
      <c r="B248" t="inlineStr">
        <is>
          <t>BS31160</t>
        </is>
      </c>
      <c r="C248" t="inlineStr">
        <is>
          <t>Meat product manufacturing</t>
        </is>
      </c>
      <c r="D248" t="n">
        <v>1099</v>
      </c>
      <c r="E248">
        <f>IFERROR(VLOOKUP(B248,Crosswalk!$A$2:$C$125,3,FALSE),"Unmapped")</f>
        <v/>
      </c>
    </row>
    <row r="249">
      <c r="A249" t="n">
        <v>2011</v>
      </c>
      <c r="B249" t="inlineStr">
        <is>
          <t>BS31170</t>
        </is>
      </c>
      <c r="C249" t="inlineStr">
        <is>
          <t>Seafood product preparation and packaging</t>
        </is>
      </c>
      <c r="D249" t="n">
        <v>220</v>
      </c>
      <c r="E249">
        <f>IFERROR(VLOOKUP(B249,Crosswalk!$A$2:$C$125,3,FALSE),"Unmapped")</f>
        <v/>
      </c>
    </row>
    <row r="250">
      <c r="A250" t="n">
        <v>2011</v>
      </c>
      <c r="B250" t="inlineStr">
        <is>
          <t>BS311A0</t>
        </is>
      </c>
      <c r="C250" t="inlineStr">
        <is>
          <t>Miscellaneous food manufacturing</t>
        </is>
      </c>
      <c r="D250" t="n">
        <v>1463</v>
      </c>
      <c r="E250">
        <f>IFERROR(VLOOKUP(B250,Crosswalk!$A$2:$C$125,3,FALSE),"Unmapped")</f>
        <v/>
      </c>
    </row>
    <row r="251">
      <c r="A251" t="n">
        <v>2011</v>
      </c>
      <c r="B251" t="inlineStr">
        <is>
          <t>BS31211</t>
        </is>
      </c>
      <c r="C251" t="inlineStr">
        <is>
          <t>Soft drink and ice manufacturing</t>
        </is>
      </c>
      <c r="D251" t="n">
        <v>216</v>
      </c>
      <c r="E251">
        <f>IFERROR(VLOOKUP(B251,Crosswalk!$A$2:$C$125,3,FALSE),"Unmapped")</f>
        <v/>
      </c>
    </row>
    <row r="252">
      <c r="A252" t="n">
        <v>2011</v>
      </c>
      <c r="B252" t="inlineStr">
        <is>
          <t>BS31212</t>
        </is>
      </c>
      <c r="C252" t="inlineStr">
        <is>
          <t>Breweries</t>
        </is>
      </c>
      <c r="D252" t="n">
        <v>368</v>
      </c>
      <c r="E252">
        <f>IFERROR(VLOOKUP(B252,Crosswalk!$A$2:$C$125,3,FALSE),"Unmapped")</f>
        <v/>
      </c>
    </row>
    <row r="253">
      <c r="A253" t="n">
        <v>2011</v>
      </c>
      <c r="B253" t="inlineStr">
        <is>
          <t>BS3121A</t>
        </is>
      </c>
      <c r="C253" t="inlineStr">
        <is>
          <t>Wineries and distilleries</t>
        </is>
      </c>
      <c r="D253" t="n">
        <v>233</v>
      </c>
      <c r="E253">
        <f>IFERROR(VLOOKUP(B253,Crosswalk!$A$2:$C$125,3,FALSE),"Unmapped")</f>
        <v/>
      </c>
    </row>
    <row r="254">
      <c r="A254" t="n">
        <v>2011</v>
      </c>
      <c r="B254" t="inlineStr">
        <is>
          <t>BS31220</t>
        </is>
      </c>
      <c r="C254" t="inlineStr">
        <is>
          <t>Tobacco manufacturing</t>
        </is>
      </c>
      <c r="D254" t="n">
        <v>19</v>
      </c>
      <c r="E254">
        <f>IFERROR(VLOOKUP(B254,Crosswalk!$A$2:$C$125,3,FALSE),"Unmapped")</f>
        <v/>
      </c>
    </row>
    <row r="255">
      <c r="A255" t="n">
        <v>2011</v>
      </c>
      <c r="B255" t="inlineStr">
        <is>
          <t>BS31A00</t>
        </is>
      </c>
      <c r="C255" t="inlineStr">
        <is>
          <t>Textile and textile product mills</t>
        </is>
      </c>
      <c r="D255" t="n">
        <v>219</v>
      </c>
      <c r="E255">
        <f>IFERROR(VLOOKUP(B255,Crosswalk!$A$2:$C$125,3,FALSE),"Unmapped")</f>
        <v/>
      </c>
    </row>
    <row r="256">
      <c r="A256" t="n">
        <v>2011</v>
      </c>
      <c r="B256" t="inlineStr">
        <is>
          <t>BS31B00</t>
        </is>
      </c>
      <c r="C256" t="inlineStr">
        <is>
          <t>Clothing and leather and allied product manufacturing</t>
        </is>
      </c>
      <c r="D256" t="n">
        <v>73</v>
      </c>
      <c r="E256">
        <f>IFERROR(VLOOKUP(B256,Crosswalk!$A$2:$C$125,3,FALSE),"Unmapped")</f>
        <v/>
      </c>
    </row>
    <row r="257">
      <c r="A257" t="n">
        <v>2011</v>
      </c>
      <c r="B257" t="inlineStr">
        <is>
          <t>BS32100</t>
        </is>
      </c>
      <c r="C257" t="inlineStr">
        <is>
          <t>Wood product manufacturing</t>
        </is>
      </c>
      <c r="D257" t="n">
        <v>9136</v>
      </c>
      <c r="E257">
        <f>IFERROR(VLOOKUP(B257,Crosswalk!$A$2:$C$125,3,FALSE),"Unmapped")</f>
        <v/>
      </c>
    </row>
    <row r="258">
      <c r="A258" t="n">
        <v>2011</v>
      </c>
      <c r="B258" t="inlineStr">
        <is>
          <t>BS32210</t>
        </is>
      </c>
      <c r="C258" t="inlineStr">
        <is>
          <t>Pulp, paper and paperboard mills</t>
        </is>
      </c>
      <c r="D258" t="n">
        <v>39284</v>
      </c>
      <c r="E258">
        <f>IFERROR(VLOOKUP(B258,Crosswalk!$A$2:$C$125,3,FALSE),"Unmapped")</f>
        <v/>
      </c>
    </row>
    <row r="259">
      <c r="A259" t="n">
        <v>2011</v>
      </c>
      <c r="B259" t="inlineStr">
        <is>
          <t>BS32220</t>
        </is>
      </c>
      <c r="C259" t="inlineStr">
        <is>
          <t>Converted paper product manufacturing</t>
        </is>
      </c>
      <c r="D259" t="n">
        <v>570</v>
      </c>
      <c r="E259">
        <f>IFERROR(VLOOKUP(B259,Crosswalk!$A$2:$C$125,3,FALSE),"Unmapped")</f>
        <v/>
      </c>
    </row>
    <row r="260">
      <c r="A260" t="n">
        <v>2011</v>
      </c>
      <c r="B260" t="inlineStr">
        <is>
          <t>BS32300</t>
        </is>
      </c>
      <c r="C260" t="inlineStr">
        <is>
          <t>Printing and related support activities</t>
        </is>
      </c>
      <c r="D260" t="n">
        <v>289</v>
      </c>
      <c r="E260">
        <f>IFERROR(VLOOKUP(B260,Crosswalk!$A$2:$C$125,3,FALSE),"Unmapped")</f>
        <v/>
      </c>
    </row>
    <row r="261">
      <c r="A261" t="n">
        <v>2011</v>
      </c>
      <c r="B261" t="inlineStr">
        <is>
          <t>BS32400</t>
        </is>
      </c>
      <c r="C261" t="inlineStr">
        <is>
          <t>Petroleum and coal product manufacturing</t>
        </is>
      </c>
      <c r="D261" t="n">
        <v>23074</v>
      </c>
      <c r="E261">
        <f>IFERROR(VLOOKUP(B261,Crosswalk!$A$2:$C$125,3,FALSE),"Unmapped")</f>
        <v/>
      </c>
    </row>
    <row r="262">
      <c r="A262" t="n">
        <v>2011</v>
      </c>
      <c r="B262" t="inlineStr">
        <is>
          <t>BS32510</t>
        </is>
      </c>
      <c r="C262" t="inlineStr">
        <is>
          <t>Basic chemical manufacturing</t>
        </is>
      </c>
      <c r="D262" t="n">
        <v>13005</v>
      </c>
      <c r="E262">
        <f>IFERROR(VLOOKUP(B262,Crosswalk!$A$2:$C$125,3,FALSE),"Unmapped")</f>
        <v/>
      </c>
    </row>
    <row r="263">
      <c r="A263" t="n">
        <v>2011</v>
      </c>
      <c r="B263" t="inlineStr">
        <is>
          <t>BS32530</t>
        </is>
      </c>
      <c r="C263" t="inlineStr">
        <is>
          <t>Pesticide, fertilizer and other agricultural chemical manufacturing</t>
        </is>
      </c>
      <c r="D263" t="n">
        <v>6315</v>
      </c>
      <c r="E263">
        <f>IFERROR(VLOOKUP(B263,Crosswalk!$A$2:$C$125,3,FALSE),"Unmapped")</f>
        <v/>
      </c>
    </row>
    <row r="264">
      <c r="A264" t="n">
        <v>2011</v>
      </c>
      <c r="B264" t="inlineStr">
        <is>
          <t>BS32540</t>
        </is>
      </c>
      <c r="C264" t="inlineStr">
        <is>
          <t>Pharmaceutical and medicine manufacturing</t>
        </is>
      </c>
      <c r="D264" t="n">
        <v>221</v>
      </c>
      <c r="E264">
        <f>IFERROR(VLOOKUP(B264,Crosswalk!$A$2:$C$125,3,FALSE),"Unmapped")</f>
        <v/>
      </c>
    </row>
    <row r="265">
      <c r="A265" t="n">
        <v>2011</v>
      </c>
      <c r="B265" t="inlineStr">
        <is>
          <t>BS325C0</t>
        </is>
      </c>
      <c r="C265" t="inlineStr">
        <is>
          <t>Miscellaneous chemical product manufacturing</t>
        </is>
      </c>
      <c r="D265" t="n">
        <v>2400</v>
      </c>
      <c r="E265">
        <f>IFERROR(VLOOKUP(B265,Crosswalk!$A$2:$C$125,3,FALSE),"Unmapped")</f>
        <v/>
      </c>
    </row>
    <row r="266">
      <c r="A266" t="n">
        <v>2011</v>
      </c>
      <c r="B266" t="inlineStr">
        <is>
          <t>BS32610</t>
        </is>
      </c>
      <c r="C266" t="inlineStr">
        <is>
          <t>Plastic product manufacturing</t>
        </is>
      </c>
      <c r="D266" t="n">
        <v>649</v>
      </c>
      <c r="E266">
        <f>IFERROR(VLOOKUP(B266,Crosswalk!$A$2:$C$125,3,FALSE),"Unmapped")</f>
        <v/>
      </c>
    </row>
    <row r="267">
      <c r="A267" t="n">
        <v>2011</v>
      </c>
      <c r="B267" t="inlineStr">
        <is>
          <t>BS32620</t>
        </is>
      </c>
      <c r="C267" t="inlineStr">
        <is>
          <t>Rubber product manufacturing</t>
        </is>
      </c>
      <c r="D267" t="n">
        <v>307</v>
      </c>
      <c r="E267">
        <f>IFERROR(VLOOKUP(B267,Crosswalk!$A$2:$C$125,3,FALSE),"Unmapped")</f>
        <v/>
      </c>
    </row>
    <row r="268">
      <c r="A268" t="n">
        <v>2011</v>
      </c>
      <c r="B268" t="inlineStr">
        <is>
          <t>BS32730</t>
        </is>
      </c>
      <c r="C268" t="inlineStr">
        <is>
          <t>Cement and concrete product manufacturing</t>
        </is>
      </c>
      <c r="D268" t="n">
        <v>10749</v>
      </c>
      <c r="E268">
        <f>IFERROR(VLOOKUP(B268,Crosswalk!$A$2:$C$125,3,FALSE),"Unmapped")</f>
        <v/>
      </c>
    </row>
    <row r="269">
      <c r="A269" t="n">
        <v>2011</v>
      </c>
      <c r="B269" t="inlineStr">
        <is>
          <t>BS327A0</t>
        </is>
      </c>
      <c r="C269" t="inlineStr">
        <is>
          <t>Non-metallic mineral product manufacturing (except cement and concrete products)</t>
        </is>
      </c>
      <c r="D269" t="n">
        <v>3638</v>
      </c>
      <c r="E269">
        <f>IFERROR(VLOOKUP(B269,Crosswalk!$A$2:$C$125,3,FALSE),"Unmapped")</f>
        <v/>
      </c>
    </row>
    <row r="270">
      <c r="A270" t="n">
        <v>2011</v>
      </c>
      <c r="B270" t="inlineStr">
        <is>
          <t>BS33100</t>
        </is>
      </c>
      <c r="C270" t="inlineStr">
        <is>
          <t>Primary metal manufacturing</t>
        </is>
      </c>
      <c r="D270" t="n">
        <v>25032</v>
      </c>
      <c r="E270">
        <f>IFERROR(VLOOKUP(B270,Crosswalk!$A$2:$C$125,3,FALSE),"Unmapped")</f>
        <v/>
      </c>
    </row>
    <row r="271">
      <c r="A271" t="n">
        <v>2011</v>
      </c>
      <c r="B271" t="inlineStr">
        <is>
          <t>BS33200</t>
        </is>
      </c>
      <c r="C271" t="inlineStr">
        <is>
          <t>Fabricated metal product manufacturing</t>
        </is>
      </c>
      <c r="D271" t="n">
        <v>1593</v>
      </c>
      <c r="E271">
        <f>IFERROR(VLOOKUP(B271,Crosswalk!$A$2:$C$125,3,FALSE),"Unmapped")</f>
        <v/>
      </c>
    </row>
    <row r="272">
      <c r="A272" t="n">
        <v>2011</v>
      </c>
      <c r="B272" t="inlineStr">
        <is>
          <t>BS33300</t>
        </is>
      </c>
      <c r="C272" t="inlineStr">
        <is>
          <t>Machinery manufacturing</t>
        </is>
      </c>
      <c r="D272" t="n">
        <v>902</v>
      </c>
      <c r="E272">
        <f>IFERROR(VLOOKUP(B272,Crosswalk!$A$2:$C$125,3,FALSE),"Unmapped")</f>
        <v/>
      </c>
    </row>
    <row r="273">
      <c r="A273" t="n">
        <v>2011</v>
      </c>
      <c r="B273" t="inlineStr">
        <is>
          <t>BS33410</t>
        </is>
      </c>
      <c r="C273" t="inlineStr">
        <is>
          <t>Computer and peripheral equipment manufacturing</t>
        </is>
      </c>
      <c r="D273" t="n">
        <v>14</v>
      </c>
      <c r="E273">
        <f>IFERROR(VLOOKUP(B273,Crosswalk!$A$2:$C$125,3,FALSE),"Unmapped")</f>
        <v/>
      </c>
    </row>
    <row r="274">
      <c r="A274" t="n">
        <v>2011</v>
      </c>
      <c r="B274" t="inlineStr">
        <is>
          <t>BS334B0</t>
        </is>
      </c>
      <c r="C274" t="inlineStr">
        <is>
          <t>Electronic product manufacturing</t>
        </is>
      </c>
      <c r="D274" t="n">
        <v>133</v>
      </c>
      <c r="E274">
        <f>IFERROR(VLOOKUP(B274,Crosswalk!$A$2:$C$125,3,FALSE),"Unmapped")</f>
        <v/>
      </c>
    </row>
    <row r="275">
      <c r="A275" t="n">
        <v>2011</v>
      </c>
      <c r="B275" t="inlineStr">
        <is>
          <t>BS33520</t>
        </is>
      </c>
      <c r="C275" t="inlineStr">
        <is>
          <t>Household appliance manufacturing</t>
        </is>
      </c>
      <c r="D275" t="n">
        <v>44</v>
      </c>
      <c r="E275">
        <f>IFERROR(VLOOKUP(B275,Crosswalk!$A$2:$C$125,3,FALSE),"Unmapped")</f>
        <v/>
      </c>
    </row>
    <row r="276">
      <c r="A276" t="n">
        <v>2011</v>
      </c>
      <c r="B276" t="inlineStr">
        <is>
          <t>BS335A0</t>
        </is>
      </c>
      <c r="C276" t="inlineStr">
        <is>
          <t>Electrical equipment and component manufacturing</t>
        </is>
      </c>
      <c r="D276" t="n">
        <v>229</v>
      </c>
      <c r="E276">
        <f>IFERROR(VLOOKUP(B276,Crosswalk!$A$2:$C$125,3,FALSE),"Unmapped")</f>
        <v/>
      </c>
    </row>
    <row r="277">
      <c r="A277" t="n">
        <v>2011</v>
      </c>
      <c r="B277" t="inlineStr">
        <is>
          <t>BS33610</t>
        </is>
      </c>
      <c r="C277" t="inlineStr">
        <is>
          <t>Motor vehicle manufacturing</t>
        </is>
      </c>
      <c r="D277" t="n">
        <v>685</v>
      </c>
      <c r="E277">
        <f>IFERROR(VLOOKUP(B277,Crosswalk!$A$2:$C$125,3,FALSE),"Unmapped")</f>
        <v/>
      </c>
    </row>
    <row r="278">
      <c r="A278" t="n">
        <v>2011</v>
      </c>
      <c r="B278" t="inlineStr">
        <is>
          <t>BS33620</t>
        </is>
      </c>
      <c r="C278" t="inlineStr">
        <is>
          <t>Motor vehicle body and trailer manufacturing</t>
        </is>
      </c>
      <c r="D278" t="n">
        <v>100</v>
      </c>
      <c r="E278">
        <f>IFERROR(VLOOKUP(B278,Crosswalk!$A$2:$C$125,3,FALSE),"Unmapped")</f>
        <v/>
      </c>
    </row>
    <row r="279">
      <c r="A279" t="n">
        <v>2011</v>
      </c>
      <c r="B279" t="inlineStr">
        <is>
          <t>BS33630</t>
        </is>
      </c>
      <c r="C279" t="inlineStr">
        <is>
          <t>Motor vehicle parts manufacturing</t>
        </is>
      </c>
      <c r="D279" t="n">
        <v>343</v>
      </c>
      <c r="E279">
        <f>IFERROR(VLOOKUP(B279,Crosswalk!$A$2:$C$125,3,FALSE),"Unmapped")</f>
        <v/>
      </c>
    </row>
    <row r="280">
      <c r="A280" t="n">
        <v>2011</v>
      </c>
      <c r="B280" t="inlineStr">
        <is>
          <t>BS33640</t>
        </is>
      </c>
      <c r="C280" t="inlineStr">
        <is>
          <t>Aerospace product and parts manufacturing</t>
        </is>
      </c>
      <c r="D280" t="n">
        <v>206</v>
      </c>
      <c r="E280">
        <f>IFERROR(VLOOKUP(B280,Crosswalk!$A$2:$C$125,3,FALSE),"Unmapped")</f>
        <v/>
      </c>
    </row>
    <row r="281">
      <c r="A281" t="n">
        <v>2011</v>
      </c>
      <c r="B281" t="inlineStr">
        <is>
          <t>BS33650</t>
        </is>
      </c>
      <c r="C281" t="inlineStr">
        <is>
          <t>Railroad rolling stock manufacturing</t>
        </is>
      </c>
      <c r="D281" t="n">
        <v>19</v>
      </c>
      <c r="E281">
        <f>IFERROR(VLOOKUP(B281,Crosswalk!$A$2:$C$125,3,FALSE),"Unmapped")</f>
        <v/>
      </c>
    </row>
    <row r="282">
      <c r="A282" t="n">
        <v>2011</v>
      </c>
      <c r="B282" t="inlineStr">
        <is>
          <t>BS33660</t>
        </is>
      </c>
      <c r="C282" t="inlineStr">
        <is>
          <t>Ship and boat building</t>
        </is>
      </c>
      <c r="D282" t="n">
        <v>26</v>
      </c>
      <c r="E282">
        <f>IFERROR(VLOOKUP(B282,Crosswalk!$A$2:$C$125,3,FALSE),"Unmapped")</f>
        <v/>
      </c>
    </row>
    <row r="283">
      <c r="A283" t="n">
        <v>2011</v>
      </c>
      <c r="B283" t="inlineStr">
        <is>
          <t>BS33690</t>
        </is>
      </c>
      <c r="C283" t="inlineStr">
        <is>
          <t>Other transportation equipment manufacturing</t>
        </is>
      </c>
      <c r="D283" t="n">
        <v>21</v>
      </c>
      <c r="E283">
        <f>IFERROR(VLOOKUP(B283,Crosswalk!$A$2:$C$125,3,FALSE),"Unmapped")</f>
        <v/>
      </c>
    </row>
    <row r="284">
      <c r="A284" t="n">
        <v>2011</v>
      </c>
      <c r="B284" t="inlineStr">
        <is>
          <t>BS33700</t>
        </is>
      </c>
      <c r="C284" t="inlineStr">
        <is>
          <t>Furniture and related product manufacturing</t>
        </is>
      </c>
      <c r="D284" t="n">
        <v>508</v>
      </c>
      <c r="E284">
        <f>IFERROR(VLOOKUP(B284,Crosswalk!$A$2:$C$125,3,FALSE),"Unmapped")</f>
        <v/>
      </c>
    </row>
    <row r="285">
      <c r="A285" t="n">
        <v>2011</v>
      </c>
      <c r="B285" t="inlineStr">
        <is>
          <t>BS33900</t>
        </is>
      </c>
      <c r="C285" t="inlineStr">
        <is>
          <t>Miscellaneous manufacturing</t>
        </is>
      </c>
      <c r="D285" t="n">
        <v>298</v>
      </c>
      <c r="E285">
        <f>IFERROR(VLOOKUP(B285,Crosswalk!$A$2:$C$125,3,FALSE),"Unmapped")</f>
        <v/>
      </c>
    </row>
    <row r="286">
      <c r="A286" t="n">
        <v>2011</v>
      </c>
      <c r="B286" t="inlineStr">
        <is>
          <t>BS41000</t>
        </is>
      </c>
      <c r="C286" t="inlineStr">
        <is>
          <t>Wholesale trade</t>
        </is>
      </c>
      <c r="D286" t="n">
        <v>10814</v>
      </c>
      <c r="E286">
        <f>IFERROR(VLOOKUP(B286,Crosswalk!$A$2:$C$125,3,FALSE),"Unmapped")</f>
        <v/>
      </c>
    </row>
    <row r="287">
      <c r="A287" t="n">
        <v>2011</v>
      </c>
      <c r="B287" t="inlineStr">
        <is>
          <t>BS48100</t>
        </is>
      </c>
      <c r="C287" t="inlineStr">
        <is>
          <t>Air transportation</t>
        </is>
      </c>
      <c r="D287" t="n">
        <v>16835</v>
      </c>
      <c r="E287">
        <f>IFERROR(VLOOKUP(B287,Crosswalk!$A$2:$C$125,3,FALSE),"Unmapped")</f>
        <v/>
      </c>
    </row>
    <row r="288">
      <c r="A288" t="n">
        <v>2011</v>
      </c>
      <c r="B288" t="inlineStr">
        <is>
          <t>BS48200</t>
        </is>
      </c>
      <c r="C288" t="inlineStr">
        <is>
          <t>Rail transportation</t>
        </is>
      </c>
      <c r="D288" t="n">
        <v>5184</v>
      </c>
      <c r="E288">
        <f>IFERROR(VLOOKUP(B288,Crosswalk!$A$2:$C$125,3,FALSE),"Unmapped")</f>
        <v/>
      </c>
    </row>
    <row r="289">
      <c r="A289" t="n">
        <v>2011</v>
      </c>
      <c r="B289" t="inlineStr">
        <is>
          <t>BS48300</t>
        </is>
      </c>
      <c r="C289" t="inlineStr">
        <is>
          <t>Water transportation</t>
        </is>
      </c>
      <c r="D289" t="n">
        <v>5498</v>
      </c>
      <c r="E289">
        <f>IFERROR(VLOOKUP(B289,Crosswalk!$A$2:$C$125,3,FALSE),"Unmapped")</f>
        <v/>
      </c>
    </row>
    <row r="290">
      <c r="A290" t="n">
        <v>2011</v>
      </c>
      <c r="B290" t="inlineStr">
        <is>
          <t>BS48400</t>
        </is>
      </c>
      <c r="C290" t="inlineStr">
        <is>
          <t>Truck transportation</t>
        </is>
      </c>
      <c r="D290" t="n">
        <v>21589</v>
      </c>
      <c r="E290">
        <f>IFERROR(VLOOKUP(B290,Crosswalk!$A$2:$C$125,3,FALSE),"Unmapped")</f>
        <v/>
      </c>
    </row>
    <row r="291">
      <c r="A291" t="n">
        <v>2011</v>
      </c>
      <c r="B291" t="inlineStr">
        <is>
          <t>BS48600</t>
        </is>
      </c>
      <c r="C291" t="inlineStr">
        <is>
          <t>Pipeline transportation</t>
        </is>
      </c>
      <c r="D291" t="n">
        <v>7244</v>
      </c>
      <c r="E291">
        <f>IFERROR(VLOOKUP(B291,Crosswalk!$A$2:$C$125,3,FALSE),"Unmapped")</f>
        <v/>
      </c>
    </row>
    <row r="292">
      <c r="A292" t="n">
        <v>2011</v>
      </c>
      <c r="B292" t="inlineStr">
        <is>
          <t>BS48B00</t>
        </is>
      </c>
      <c r="C292" t="inlineStr">
        <is>
          <t>Transit, ground passenger and scenic and sightseeing transportation, taxi and limousine service and support activities for transportation</t>
        </is>
      </c>
      <c r="D292" t="n">
        <v>4506</v>
      </c>
      <c r="E292">
        <f>IFERROR(VLOOKUP(B292,Crosswalk!$A$2:$C$125,3,FALSE),"Unmapped")</f>
        <v/>
      </c>
    </row>
    <row r="293">
      <c r="A293" t="n">
        <v>2011</v>
      </c>
      <c r="B293" t="inlineStr">
        <is>
          <t>BS49300</t>
        </is>
      </c>
      <c r="C293" t="inlineStr">
        <is>
          <t>Warehousing and storage</t>
        </is>
      </c>
      <c r="D293" t="n">
        <v>222</v>
      </c>
      <c r="E293">
        <f>IFERROR(VLOOKUP(B293,Crosswalk!$A$2:$C$125,3,FALSE),"Unmapped")</f>
        <v/>
      </c>
    </row>
    <row r="294">
      <c r="A294" t="n">
        <v>2011</v>
      </c>
      <c r="B294" t="inlineStr">
        <is>
          <t>BS49A00</t>
        </is>
      </c>
      <c r="C294" t="inlineStr">
        <is>
          <t>Postal service and couriers and messengers</t>
        </is>
      </c>
      <c r="D294" t="n">
        <v>2256</v>
      </c>
      <c r="E294">
        <f>IFERROR(VLOOKUP(B294,Crosswalk!$A$2:$C$125,3,FALSE),"Unmapped")</f>
        <v/>
      </c>
    </row>
    <row r="295">
      <c r="A295" t="n">
        <v>2011</v>
      </c>
      <c r="B295" t="inlineStr">
        <is>
          <t>BS4A000</t>
        </is>
      </c>
      <c r="C295" t="inlineStr">
        <is>
          <t>Retail trade</t>
        </is>
      </c>
      <c r="D295" t="n">
        <v>6809</v>
      </c>
      <c r="E295">
        <f>IFERROR(VLOOKUP(B295,Crosswalk!$A$2:$C$125,3,FALSE),"Unmapped")</f>
        <v/>
      </c>
    </row>
    <row r="296">
      <c r="A296" t="n">
        <v>2011</v>
      </c>
      <c r="B296" t="inlineStr">
        <is>
          <t>BS51200</t>
        </is>
      </c>
      <c r="C296" t="inlineStr">
        <is>
          <t>Motion picture and sound recording industries</t>
        </is>
      </c>
      <c r="D296" t="n">
        <v>378</v>
      </c>
      <c r="E296">
        <f>IFERROR(VLOOKUP(B296,Crosswalk!$A$2:$C$125,3,FALSE),"Unmapped")</f>
        <v/>
      </c>
    </row>
    <row r="297">
      <c r="A297" t="n">
        <v>2011</v>
      </c>
      <c r="B297" t="inlineStr">
        <is>
          <t>BS51510</t>
        </is>
      </c>
      <c r="C297" t="inlineStr">
        <is>
          <t>Radio and television broadcasting</t>
        </is>
      </c>
      <c r="D297" t="n">
        <v>43</v>
      </c>
      <c r="E297">
        <f>IFERROR(VLOOKUP(B297,Crosswalk!$A$2:$C$125,3,FALSE),"Unmapped")</f>
        <v/>
      </c>
    </row>
    <row r="298">
      <c r="A298" t="n">
        <v>2011</v>
      </c>
      <c r="B298" t="inlineStr">
        <is>
          <t>BS51B00</t>
        </is>
      </c>
      <c r="C298" t="inlineStr">
        <is>
          <t>Publishing, pay/specialty services, telecommunications and other information services</t>
        </is>
      </c>
      <c r="D298" t="n">
        <v>799</v>
      </c>
      <c r="E298">
        <f>IFERROR(VLOOKUP(B298,Crosswalk!$A$2:$C$125,3,FALSE),"Unmapped")</f>
        <v/>
      </c>
    </row>
    <row r="299">
      <c r="A299" t="n">
        <v>2011</v>
      </c>
      <c r="B299" t="inlineStr">
        <is>
          <t>BS52410</t>
        </is>
      </c>
      <c r="C299" t="inlineStr">
        <is>
          <t>Insurance carriers</t>
        </is>
      </c>
      <c r="D299" t="n">
        <v>221</v>
      </c>
      <c r="E299">
        <f>IFERROR(VLOOKUP(B299,Crosswalk!$A$2:$C$125,3,FALSE),"Unmapped")</f>
        <v/>
      </c>
    </row>
    <row r="300">
      <c r="A300" t="n">
        <v>2011</v>
      </c>
      <c r="B300" t="inlineStr">
        <is>
          <t>BS52B00</t>
        </is>
      </c>
      <c r="C300" t="inlineStr">
        <is>
          <t>Depository credit intermediation and monetary authorities</t>
        </is>
      </c>
      <c r="D300" t="n">
        <v>1375</v>
      </c>
      <c r="E300">
        <f>IFERROR(VLOOKUP(B300,Crosswalk!$A$2:$C$125,3,FALSE),"Unmapped")</f>
        <v/>
      </c>
    </row>
    <row r="301">
      <c r="A301" t="n">
        <v>2011</v>
      </c>
      <c r="B301" t="inlineStr">
        <is>
          <t>BS53110</t>
        </is>
      </c>
      <c r="C301" t="inlineStr">
        <is>
          <t>Lessors of real estate</t>
        </is>
      </c>
      <c r="D301" t="n">
        <v>7070</v>
      </c>
      <c r="E301">
        <f>IFERROR(VLOOKUP(B301,Crosswalk!$A$2:$C$125,3,FALSE),"Unmapped")</f>
        <v/>
      </c>
    </row>
    <row r="302">
      <c r="A302" t="n">
        <v>2011</v>
      </c>
      <c r="B302" t="inlineStr">
        <is>
          <t>BS5311A</t>
        </is>
      </c>
      <c r="C302" t="inlineStr">
        <is>
          <t>Owner-occupied dwellings</t>
        </is>
      </c>
      <c r="D302" t="n">
        <v>0</v>
      </c>
      <c r="E302">
        <f>IFERROR(VLOOKUP(B302,Crosswalk!$A$2:$C$125,3,FALSE),"Unmapped")</f>
        <v/>
      </c>
    </row>
    <row r="303">
      <c r="A303" t="n">
        <v>2011</v>
      </c>
      <c r="B303" t="inlineStr">
        <is>
          <t>BS53B00</t>
        </is>
      </c>
      <c r="C303" t="inlineStr">
        <is>
          <t>Rental and leasing services and lessors of non-financial intangible assets (except copyrighted works)</t>
        </is>
      </c>
      <c r="D303" t="n">
        <v>2606</v>
      </c>
      <c r="E303">
        <f>IFERROR(VLOOKUP(B303,Crosswalk!$A$2:$C$125,3,FALSE),"Unmapped")</f>
        <v/>
      </c>
    </row>
    <row r="304">
      <c r="A304" t="n">
        <v>2011</v>
      </c>
      <c r="B304" t="inlineStr">
        <is>
          <t>BS54180</t>
        </is>
      </c>
      <c r="C304" t="inlineStr">
        <is>
          <t>Advertising, public relations and related services</t>
        </is>
      </c>
      <c r="D304" t="n">
        <v>125</v>
      </c>
      <c r="E304">
        <f>IFERROR(VLOOKUP(B304,Crosswalk!$A$2:$C$125,3,FALSE),"Unmapped")</f>
        <v/>
      </c>
    </row>
    <row r="305">
      <c r="A305" t="n">
        <v>2011</v>
      </c>
      <c r="B305" t="inlineStr">
        <is>
          <t>BS541C0</t>
        </is>
      </c>
      <c r="C305" t="inlineStr">
        <is>
          <t>Legal, accounting and architectural, engineering and related services</t>
        </is>
      </c>
      <c r="D305" t="n">
        <v>1050</v>
      </c>
      <c r="E305">
        <f>IFERROR(VLOOKUP(B305,Crosswalk!$A$2:$C$125,3,FALSE),"Unmapped")</f>
        <v/>
      </c>
    </row>
    <row r="306">
      <c r="A306" t="n">
        <v>2011</v>
      </c>
      <c r="B306" t="inlineStr">
        <is>
          <t>BS541D0</t>
        </is>
      </c>
      <c r="C306" t="inlineStr">
        <is>
          <t>Computer systems design and other professional, scientific and technical services</t>
        </is>
      </c>
      <c r="D306" t="n">
        <v>740</v>
      </c>
      <c r="E306">
        <f>IFERROR(VLOOKUP(B306,Crosswalk!$A$2:$C$125,3,FALSE),"Unmapped")</f>
        <v/>
      </c>
    </row>
    <row r="307">
      <c r="A307" t="n">
        <v>2011</v>
      </c>
      <c r="B307" t="inlineStr">
        <is>
          <t>BS56100</t>
        </is>
      </c>
      <c r="C307" t="inlineStr">
        <is>
          <t>Administrative and support services</t>
        </is>
      </c>
      <c r="D307" t="n">
        <v>2515</v>
      </c>
      <c r="E307">
        <f>IFERROR(VLOOKUP(B307,Crosswalk!$A$2:$C$125,3,FALSE),"Unmapped")</f>
        <v/>
      </c>
    </row>
    <row r="308">
      <c r="A308" t="n">
        <v>2011</v>
      </c>
      <c r="B308" t="inlineStr">
        <is>
          <t>BS56200</t>
        </is>
      </c>
      <c r="C308" t="inlineStr">
        <is>
          <t>Waste management and remediation services</t>
        </is>
      </c>
      <c r="D308" t="n">
        <v>2406</v>
      </c>
      <c r="E308">
        <f>IFERROR(VLOOKUP(B308,Crosswalk!$A$2:$C$125,3,FALSE),"Unmapped")</f>
        <v/>
      </c>
    </row>
    <row r="309">
      <c r="A309" t="n">
        <v>2011</v>
      </c>
      <c r="B309" t="inlineStr">
        <is>
          <t>BS5A000</t>
        </is>
      </c>
      <c r="C309" t="inlineStr">
        <is>
          <t>Other finance, insurance and real estate services and management of companies and enterprises</t>
        </is>
      </c>
      <c r="D309" t="n">
        <v>3835</v>
      </c>
      <c r="E309">
        <f>IFERROR(VLOOKUP(B309,Crosswalk!$A$2:$C$125,3,FALSE),"Unmapped")</f>
        <v/>
      </c>
    </row>
    <row r="310">
      <c r="A310" t="n">
        <v>2011</v>
      </c>
      <c r="B310" t="inlineStr">
        <is>
          <t>BS61000</t>
        </is>
      </c>
      <c r="C310" t="inlineStr">
        <is>
          <t>Educational services</t>
        </is>
      </c>
      <c r="D310" t="n">
        <v>239</v>
      </c>
      <c r="E310">
        <f>IFERROR(VLOOKUP(B310,Crosswalk!$A$2:$C$125,3,FALSE),"Unmapped")</f>
        <v/>
      </c>
    </row>
    <row r="311">
      <c r="A311" t="n">
        <v>2011</v>
      </c>
      <c r="B311" t="inlineStr">
        <is>
          <t>BS62000</t>
        </is>
      </c>
      <c r="C311" t="inlineStr">
        <is>
          <t>Health care and social assistance</t>
        </is>
      </c>
      <c r="D311" t="n">
        <v>2155</v>
      </c>
      <c r="E311">
        <f>IFERROR(VLOOKUP(B311,Crosswalk!$A$2:$C$125,3,FALSE),"Unmapped")</f>
        <v/>
      </c>
    </row>
    <row r="312">
      <c r="A312" t="n">
        <v>2011</v>
      </c>
      <c r="B312" t="inlineStr">
        <is>
          <t>BS71000</t>
        </is>
      </c>
      <c r="C312" t="inlineStr">
        <is>
          <t>Arts, entertainment and recreation</t>
        </is>
      </c>
      <c r="D312" t="n">
        <v>253</v>
      </c>
      <c r="E312">
        <f>IFERROR(VLOOKUP(B312,Crosswalk!$A$2:$C$125,3,FALSE),"Unmapped")</f>
        <v/>
      </c>
    </row>
    <row r="313">
      <c r="A313" t="n">
        <v>2011</v>
      </c>
      <c r="B313" t="inlineStr">
        <is>
          <t>BS72000</t>
        </is>
      </c>
      <c r="C313" t="inlineStr">
        <is>
          <t>Accommodation and food services</t>
        </is>
      </c>
      <c r="D313" t="n">
        <v>1726</v>
      </c>
      <c r="E313">
        <f>IFERROR(VLOOKUP(B313,Crosswalk!$A$2:$C$125,3,FALSE),"Unmapped")</f>
        <v/>
      </c>
    </row>
    <row r="314">
      <c r="A314" t="n">
        <v>2011</v>
      </c>
      <c r="B314" t="inlineStr">
        <is>
          <t>BS81100</t>
        </is>
      </c>
      <c r="C314" t="inlineStr">
        <is>
          <t>Repair and maintenance</t>
        </is>
      </c>
      <c r="D314" t="n">
        <v>2486</v>
      </c>
      <c r="E314">
        <f>IFERROR(VLOOKUP(B314,Crosswalk!$A$2:$C$125,3,FALSE),"Unmapped")</f>
        <v/>
      </c>
    </row>
    <row r="315">
      <c r="A315" t="n">
        <v>2011</v>
      </c>
      <c r="B315" t="inlineStr">
        <is>
          <t>BS81300</t>
        </is>
      </c>
      <c r="C315" t="inlineStr">
        <is>
          <t>Professional and similar organisations</t>
        </is>
      </c>
      <c r="D315" t="n">
        <v>22</v>
      </c>
      <c r="E315">
        <f>IFERROR(VLOOKUP(B315,Crosswalk!$A$2:$C$125,3,FALSE),"Unmapped")</f>
        <v/>
      </c>
    </row>
    <row r="316">
      <c r="A316" t="n">
        <v>2011</v>
      </c>
      <c r="B316" t="inlineStr">
        <is>
          <t>BS81A00</t>
        </is>
      </c>
      <c r="C316" t="inlineStr">
        <is>
          <t>Personal services and private households</t>
        </is>
      </c>
      <c r="D316" t="n">
        <v>518</v>
      </c>
      <c r="E316">
        <f>IFERROR(VLOOKUP(B316,Crosswalk!$A$2:$C$125,3,FALSE),"Unmapped")</f>
        <v/>
      </c>
    </row>
    <row r="317">
      <c r="A317" t="n">
        <v>2011</v>
      </c>
      <c r="B317" t="inlineStr">
        <is>
          <t>FC11000</t>
        </is>
      </c>
      <c r="C317" t="inlineStr">
        <is>
          <t>Repair and maintenance</t>
        </is>
      </c>
      <c r="D317" t="n">
        <v>0</v>
      </c>
      <c r="E317">
        <f>IFERROR(VLOOKUP(B317,Crosswalk!$A$2:$C$125,3,FALSE),"Unmapped")</f>
        <v/>
      </c>
    </row>
    <row r="318">
      <c r="A318" t="n">
        <v>2011</v>
      </c>
      <c r="B318" t="inlineStr">
        <is>
          <t>FC12000</t>
        </is>
      </c>
      <c r="C318" t="inlineStr">
        <is>
          <t>Operating supplies</t>
        </is>
      </c>
      <c r="D318" t="n">
        <v>0</v>
      </c>
      <c r="E318">
        <f>IFERROR(VLOOKUP(B318,Crosswalk!$A$2:$C$125,3,FALSE),"Unmapped")</f>
        <v/>
      </c>
    </row>
    <row r="319">
      <c r="A319" t="n">
        <v>2011</v>
      </c>
      <c r="B319" t="inlineStr">
        <is>
          <t>FC13000</t>
        </is>
      </c>
      <c r="C319" t="inlineStr">
        <is>
          <t>Office supplies</t>
        </is>
      </c>
      <c r="D319" t="n">
        <v>0</v>
      </c>
      <c r="E319">
        <f>IFERROR(VLOOKUP(B319,Crosswalk!$A$2:$C$125,3,FALSE),"Unmapped")</f>
        <v/>
      </c>
    </row>
    <row r="320">
      <c r="A320" t="n">
        <v>2011</v>
      </c>
      <c r="B320" t="inlineStr">
        <is>
          <t>FC20000</t>
        </is>
      </c>
      <c r="C320" t="inlineStr">
        <is>
          <t>Advertising, promotion, meals, entertainment, and travel</t>
        </is>
      </c>
      <c r="D320" t="n">
        <v>0</v>
      </c>
      <c r="E320">
        <f>IFERROR(VLOOKUP(B320,Crosswalk!$A$2:$C$125,3,FALSE),"Unmapped")</f>
        <v/>
      </c>
    </row>
    <row r="321">
      <c r="A321" t="n">
        <v>2011</v>
      </c>
      <c r="B321" t="inlineStr">
        <is>
          <t>FC30000</t>
        </is>
      </c>
      <c r="C321" t="inlineStr">
        <is>
          <t>Transportation margins</t>
        </is>
      </c>
      <c r="D321" t="n">
        <v>0</v>
      </c>
      <c r="E321">
        <f>IFERROR(VLOOKUP(B321,Crosswalk!$A$2:$C$125,3,FALSE),"Unmapped")</f>
        <v/>
      </c>
    </row>
    <row r="322">
      <c r="A322" t="n">
        <v>2011</v>
      </c>
      <c r="B322" t="inlineStr">
        <is>
          <t>GS61130</t>
        </is>
      </c>
      <c r="C322" t="inlineStr">
        <is>
          <t>Universities</t>
        </is>
      </c>
      <c r="D322" t="n">
        <v>2025</v>
      </c>
      <c r="E322">
        <f>IFERROR(VLOOKUP(B322,Crosswalk!$A$2:$C$125,3,FALSE),"Unmapped")</f>
        <v/>
      </c>
    </row>
    <row r="323">
      <c r="A323" t="n">
        <v>2011</v>
      </c>
      <c r="B323" t="inlineStr">
        <is>
          <t>GS611B0</t>
        </is>
      </c>
      <c r="C323" t="inlineStr">
        <is>
          <t>Educational services (except universities)</t>
        </is>
      </c>
      <c r="D323" t="n">
        <v>1985</v>
      </c>
      <c r="E323">
        <f>IFERROR(VLOOKUP(B323,Crosswalk!$A$2:$C$125,3,FALSE),"Unmapped")</f>
        <v/>
      </c>
    </row>
    <row r="324">
      <c r="A324" t="n">
        <v>2011</v>
      </c>
      <c r="B324" t="inlineStr">
        <is>
          <t>GS62200</t>
        </is>
      </c>
      <c r="C324" t="inlineStr">
        <is>
          <t>Hospitals</t>
        </is>
      </c>
      <c r="D324" t="n">
        <v>1070</v>
      </c>
      <c r="E324">
        <f>IFERROR(VLOOKUP(B324,Crosswalk!$A$2:$C$125,3,FALSE),"Unmapped")</f>
        <v/>
      </c>
    </row>
    <row r="325">
      <c r="A325" t="n">
        <v>2011</v>
      </c>
      <c r="B325" t="inlineStr">
        <is>
          <t>GS62300</t>
        </is>
      </c>
      <c r="C325" t="inlineStr">
        <is>
          <t>Nursing and residential care facilities</t>
        </is>
      </c>
      <c r="D325" t="n">
        <v>115</v>
      </c>
      <c r="E325">
        <f>IFERROR(VLOOKUP(B325,Crosswalk!$A$2:$C$125,3,FALSE),"Unmapped")</f>
        <v/>
      </c>
    </row>
    <row r="326">
      <c r="A326" t="n">
        <v>2011</v>
      </c>
      <c r="B326" t="inlineStr">
        <is>
          <t>GS91100</t>
        </is>
      </c>
      <c r="C326" t="inlineStr">
        <is>
          <t>Other federal government services</t>
        </is>
      </c>
      <c r="D326" t="n">
        <v>2535</v>
      </c>
      <c r="E326">
        <f>IFERROR(VLOOKUP(B326,Crosswalk!$A$2:$C$125,3,FALSE),"Unmapped")</f>
        <v/>
      </c>
    </row>
    <row r="327">
      <c r="A327" t="n">
        <v>2011</v>
      </c>
      <c r="B327" t="inlineStr">
        <is>
          <t>GS91200</t>
        </is>
      </c>
      <c r="C327" t="inlineStr">
        <is>
          <t>Other provincial and territorial government services</t>
        </is>
      </c>
      <c r="D327" t="n">
        <v>1646</v>
      </c>
      <c r="E327">
        <f>IFERROR(VLOOKUP(B327,Crosswalk!$A$2:$C$125,3,FALSE),"Unmapped")</f>
        <v/>
      </c>
    </row>
    <row r="328">
      <c r="A328" t="n">
        <v>2011</v>
      </c>
      <c r="B328" t="inlineStr">
        <is>
          <t>GS91300</t>
        </is>
      </c>
      <c r="C328" t="inlineStr">
        <is>
          <t>Other municipal government services</t>
        </is>
      </c>
      <c r="D328" t="n">
        <v>7346</v>
      </c>
      <c r="E328">
        <f>IFERROR(VLOOKUP(B328,Crosswalk!$A$2:$C$125,3,FALSE),"Unmapped")</f>
        <v/>
      </c>
    </row>
    <row r="329">
      <c r="A329" t="n">
        <v>2011</v>
      </c>
      <c r="B329" t="inlineStr">
        <is>
          <t>GS91400</t>
        </is>
      </c>
      <c r="C329" t="inlineStr">
        <is>
          <t>Other Indigenous government services</t>
        </is>
      </c>
      <c r="D329" t="n">
        <v>242</v>
      </c>
      <c r="E329">
        <f>IFERROR(VLOOKUP(B329,Crosswalk!$A$2:$C$125,3,FALSE),"Unmapped")</f>
        <v/>
      </c>
    </row>
    <row r="330">
      <c r="A330" t="n">
        <v>2011</v>
      </c>
      <c r="B330" t="inlineStr">
        <is>
          <t>NP61000</t>
        </is>
      </c>
      <c r="C330" t="inlineStr">
        <is>
          <t>Non-profit education services</t>
        </is>
      </c>
      <c r="D330" t="n">
        <v>651</v>
      </c>
      <c r="E330">
        <f>IFERROR(VLOOKUP(B330,Crosswalk!$A$2:$C$125,3,FALSE),"Unmapped")</f>
        <v/>
      </c>
    </row>
    <row r="331">
      <c r="A331" t="n">
        <v>2011</v>
      </c>
      <c r="B331" t="inlineStr">
        <is>
          <t>NP62400</t>
        </is>
      </c>
      <c r="C331" t="inlineStr">
        <is>
          <t>Non-profit social assistance</t>
        </is>
      </c>
      <c r="D331" t="n">
        <v>276</v>
      </c>
      <c r="E331">
        <f>IFERROR(VLOOKUP(B331,Crosswalk!$A$2:$C$125,3,FALSE),"Unmapped")</f>
        <v/>
      </c>
    </row>
    <row r="332">
      <c r="A332" t="n">
        <v>2011</v>
      </c>
      <c r="B332" t="inlineStr">
        <is>
          <t>NP71000</t>
        </is>
      </c>
      <c r="C332" t="inlineStr">
        <is>
          <t>Non-profit arts, entertainment and recreation</t>
        </is>
      </c>
      <c r="D332" t="n">
        <v>255</v>
      </c>
      <c r="E332">
        <f>IFERROR(VLOOKUP(B332,Crosswalk!$A$2:$C$125,3,FALSE),"Unmapped")</f>
        <v/>
      </c>
    </row>
    <row r="333">
      <c r="A333" t="n">
        <v>2011</v>
      </c>
      <c r="B333" t="inlineStr">
        <is>
          <t>NP81310</t>
        </is>
      </c>
      <c r="C333" t="inlineStr">
        <is>
          <t>Religious organizations</t>
        </is>
      </c>
      <c r="D333" t="n">
        <v>948</v>
      </c>
      <c r="E333">
        <f>IFERROR(VLOOKUP(B333,Crosswalk!$A$2:$C$125,3,FALSE),"Unmapped")</f>
        <v/>
      </c>
    </row>
    <row r="334">
      <c r="A334" t="n">
        <v>2011</v>
      </c>
      <c r="B334" t="inlineStr">
        <is>
          <t>NPA0000</t>
        </is>
      </c>
      <c r="C334" t="inlineStr">
        <is>
          <t>Miscellaneous non-profit institutions serving households</t>
        </is>
      </c>
      <c r="D334" t="n">
        <v>1387</v>
      </c>
      <c r="E334">
        <f>IFERROR(VLOOKUP(B334,Crosswalk!$A$2:$C$125,3,FALSE),"Unmapped")</f>
        <v/>
      </c>
    </row>
    <row r="335">
      <c r="A335" t="n">
        <v>2012</v>
      </c>
      <c r="B335" t="inlineStr">
        <is>
          <t>BS11300</t>
        </is>
      </c>
      <c r="C335" t="inlineStr">
        <is>
          <t>Forestry and logging</t>
        </is>
      </c>
      <c r="D335" t="n">
        <v>7598</v>
      </c>
      <c r="E335">
        <f>IFERROR(VLOOKUP(B335,Crosswalk!$A$2:$C$125,3,FALSE),"Unmapped")</f>
        <v/>
      </c>
    </row>
    <row r="336">
      <c r="A336" t="n">
        <v>2012</v>
      </c>
      <c r="B336" t="inlineStr">
        <is>
          <t>BS11400</t>
        </is>
      </c>
      <c r="C336" t="inlineStr">
        <is>
          <t>Fishing, hunting and trapping</t>
        </is>
      </c>
      <c r="D336" t="n">
        <v>677</v>
      </c>
      <c r="E336">
        <f>IFERROR(VLOOKUP(B336,Crosswalk!$A$2:$C$125,3,FALSE),"Unmapped")</f>
        <v/>
      </c>
    </row>
    <row r="337">
      <c r="A337" t="n">
        <v>2012</v>
      </c>
      <c r="B337" t="inlineStr">
        <is>
          <t>BS11500</t>
        </is>
      </c>
      <c r="C337" t="inlineStr">
        <is>
          <t>Support activities for agriculture and forestry</t>
        </is>
      </c>
      <c r="D337" t="n">
        <v>771</v>
      </c>
      <c r="E337">
        <f>IFERROR(VLOOKUP(B337,Crosswalk!$A$2:$C$125,3,FALSE),"Unmapped")</f>
        <v/>
      </c>
    </row>
    <row r="338">
      <c r="A338" t="n">
        <v>2012</v>
      </c>
      <c r="B338" t="inlineStr">
        <is>
          <t>BS11A00</t>
        </is>
      </c>
      <c r="C338" t="inlineStr">
        <is>
          <t>Crop and animal production</t>
        </is>
      </c>
      <c r="D338" t="n">
        <v>67528</v>
      </c>
      <c r="E338">
        <f>IFERROR(VLOOKUP(B338,Crosswalk!$A$2:$C$125,3,FALSE),"Unmapped")</f>
        <v/>
      </c>
    </row>
    <row r="339">
      <c r="A339" t="n">
        <v>2012</v>
      </c>
      <c r="B339" t="inlineStr">
        <is>
          <t>BS21100</t>
        </is>
      </c>
      <c r="C339" t="inlineStr">
        <is>
          <t>Oil and gas extraction</t>
        </is>
      </c>
      <c r="D339" t="n">
        <v>188368</v>
      </c>
      <c r="E339">
        <f>IFERROR(VLOOKUP(B339,Crosswalk!$A$2:$C$125,3,FALSE),"Unmapped")</f>
        <v/>
      </c>
    </row>
    <row r="340">
      <c r="A340" t="n">
        <v>2012</v>
      </c>
      <c r="B340" t="inlineStr">
        <is>
          <t>BS21210</t>
        </is>
      </c>
      <c r="C340" t="inlineStr">
        <is>
          <t>Coal mining</t>
        </is>
      </c>
      <c r="D340" t="n">
        <v>3009</v>
      </c>
      <c r="E340">
        <f>IFERROR(VLOOKUP(B340,Crosswalk!$A$2:$C$125,3,FALSE),"Unmapped")</f>
        <v/>
      </c>
    </row>
    <row r="341">
      <c r="A341" t="n">
        <v>2012</v>
      </c>
      <c r="B341" t="inlineStr">
        <is>
          <t>BS21220</t>
        </is>
      </c>
      <c r="C341" t="inlineStr">
        <is>
          <t>Metal ore mining</t>
        </is>
      </c>
      <c r="D341" t="n">
        <v>4615</v>
      </c>
      <c r="E341">
        <f>IFERROR(VLOOKUP(B341,Crosswalk!$A$2:$C$125,3,FALSE),"Unmapped")</f>
        <v/>
      </c>
    </row>
    <row r="342">
      <c r="A342" t="n">
        <v>2012</v>
      </c>
      <c r="B342" t="inlineStr">
        <is>
          <t>BS21230</t>
        </is>
      </c>
      <c r="C342" t="inlineStr">
        <is>
          <t>Non-metallic mineral mining and quarrying</t>
        </is>
      </c>
      <c r="D342" t="n">
        <v>2775</v>
      </c>
      <c r="E342">
        <f>IFERROR(VLOOKUP(B342,Crosswalk!$A$2:$C$125,3,FALSE),"Unmapped")</f>
        <v/>
      </c>
    </row>
    <row r="343">
      <c r="A343" t="n">
        <v>2012</v>
      </c>
      <c r="B343" t="inlineStr">
        <is>
          <t>BS21300</t>
        </is>
      </c>
      <c r="C343" t="inlineStr">
        <is>
          <t>Support activities for mining and oil and gas extraction</t>
        </is>
      </c>
      <c r="D343" t="n">
        <v>7748</v>
      </c>
      <c r="E343">
        <f>IFERROR(VLOOKUP(B343,Crosswalk!$A$2:$C$125,3,FALSE),"Unmapped")</f>
        <v/>
      </c>
    </row>
    <row r="344">
      <c r="A344" t="n">
        <v>2012</v>
      </c>
      <c r="B344" t="inlineStr">
        <is>
          <t>BS22110</t>
        </is>
      </c>
      <c r="C344" t="inlineStr">
        <is>
          <t>Electric power generation, transmission and distribution</t>
        </is>
      </c>
      <c r="D344" t="n">
        <v>90993</v>
      </c>
      <c r="E344">
        <f>IFERROR(VLOOKUP(B344,Crosswalk!$A$2:$C$125,3,FALSE),"Unmapped")</f>
        <v/>
      </c>
    </row>
    <row r="345">
      <c r="A345" t="n">
        <v>2012</v>
      </c>
      <c r="B345" t="inlineStr">
        <is>
          <t>BS221A0</t>
        </is>
      </c>
      <c r="C345" t="inlineStr">
        <is>
          <t>Natural gas distribution, water, sewage and other systems</t>
        </is>
      </c>
      <c r="D345" t="n">
        <v>2000</v>
      </c>
      <c r="E345">
        <f>IFERROR(VLOOKUP(B345,Crosswalk!$A$2:$C$125,3,FALSE),"Unmapped")</f>
        <v/>
      </c>
    </row>
    <row r="346">
      <c r="A346" t="n">
        <v>2012</v>
      </c>
      <c r="B346" t="inlineStr">
        <is>
          <t>BS23A00</t>
        </is>
      </c>
      <c r="C346" t="inlineStr">
        <is>
          <t>Residential building construction</t>
        </is>
      </c>
      <c r="D346" t="n">
        <v>1539</v>
      </c>
      <c r="E346">
        <f>IFERROR(VLOOKUP(B346,Crosswalk!$A$2:$C$125,3,FALSE),"Unmapped")</f>
        <v/>
      </c>
    </row>
    <row r="347">
      <c r="A347" t="n">
        <v>2012</v>
      </c>
      <c r="B347" t="inlineStr">
        <is>
          <t>BS23B00</t>
        </is>
      </c>
      <c r="C347" t="inlineStr">
        <is>
          <t>Non-residential building construction</t>
        </is>
      </c>
      <c r="D347" t="n">
        <v>514</v>
      </c>
      <c r="E347">
        <f>IFERROR(VLOOKUP(B347,Crosswalk!$A$2:$C$125,3,FALSE),"Unmapped")</f>
        <v/>
      </c>
    </row>
    <row r="348">
      <c r="A348" t="n">
        <v>2012</v>
      </c>
      <c r="B348" t="inlineStr">
        <is>
          <t>BS23C10</t>
        </is>
      </c>
      <c r="C348" t="inlineStr">
        <is>
          <t>Transportation engineering construction</t>
        </is>
      </c>
      <c r="D348" t="n">
        <v>1295</v>
      </c>
      <c r="E348">
        <f>IFERROR(VLOOKUP(B348,Crosswalk!$A$2:$C$125,3,FALSE),"Unmapped")</f>
        <v/>
      </c>
    </row>
    <row r="349">
      <c r="A349" t="n">
        <v>2012</v>
      </c>
      <c r="B349" t="inlineStr">
        <is>
          <t>BS23C20</t>
        </is>
      </c>
      <c r="C349" t="inlineStr">
        <is>
          <t>Oil and gas engineering construction</t>
        </is>
      </c>
      <c r="D349" t="n">
        <v>1093</v>
      </c>
      <c r="E349">
        <f>IFERROR(VLOOKUP(B349,Crosswalk!$A$2:$C$125,3,FALSE),"Unmapped")</f>
        <v/>
      </c>
    </row>
    <row r="350">
      <c r="A350" t="n">
        <v>2012</v>
      </c>
      <c r="B350" t="inlineStr">
        <is>
          <t>BS23C30</t>
        </is>
      </c>
      <c r="C350" t="inlineStr">
        <is>
          <t>Electric power engineering construction</t>
        </is>
      </c>
      <c r="D350" t="n">
        <v>590</v>
      </c>
      <c r="E350">
        <f>IFERROR(VLOOKUP(B350,Crosswalk!$A$2:$C$125,3,FALSE),"Unmapped")</f>
        <v/>
      </c>
    </row>
    <row r="351">
      <c r="A351" t="n">
        <v>2012</v>
      </c>
      <c r="B351" t="inlineStr">
        <is>
          <t>BS23C40</t>
        </is>
      </c>
      <c r="C351" t="inlineStr">
        <is>
          <t>Communication engineering construction</t>
        </is>
      </c>
      <c r="D351" t="n">
        <v>140</v>
      </c>
      <c r="E351">
        <f>IFERROR(VLOOKUP(B351,Crosswalk!$A$2:$C$125,3,FALSE),"Unmapped")</f>
        <v/>
      </c>
    </row>
    <row r="352">
      <c r="A352" t="n">
        <v>2012</v>
      </c>
      <c r="B352" t="inlineStr">
        <is>
          <t>BS23C50</t>
        </is>
      </c>
      <c r="C352" t="inlineStr">
        <is>
          <t>Other engineering construction</t>
        </is>
      </c>
      <c r="D352" t="n">
        <v>1276</v>
      </c>
      <c r="E352">
        <f>IFERROR(VLOOKUP(B352,Crosswalk!$A$2:$C$125,3,FALSE),"Unmapped")</f>
        <v/>
      </c>
    </row>
    <row r="353">
      <c r="A353" t="n">
        <v>2012</v>
      </c>
      <c r="B353" t="inlineStr">
        <is>
          <t>BS23D00</t>
        </is>
      </c>
      <c r="C353" t="inlineStr">
        <is>
          <t>Repair construction</t>
        </is>
      </c>
      <c r="D353" t="n">
        <v>705</v>
      </c>
      <c r="E353">
        <f>IFERROR(VLOOKUP(B353,Crosswalk!$A$2:$C$125,3,FALSE),"Unmapped")</f>
        <v/>
      </c>
    </row>
    <row r="354">
      <c r="A354" t="n">
        <v>2012</v>
      </c>
      <c r="B354" t="inlineStr">
        <is>
          <t>BS23E00</t>
        </is>
      </c>
      <c r="C354" t="inlineStr">
        <is>
          <t>Other activities of the construction industry</t>
        </is>
      </c>
      <c r="D354" t="n">
        <v>547</v>
      </c>
      <c r="E354">
        <f>IFERROR(VLOOKUP(B354,Crosswalk!$A$2:$C$125,3,FALSE),"Unmapped")</f>
        <v/>
      </c>
    </row>
    <row r="355">
      <c r="A355" t="n">
        <v>2012</v>
      </c>
      <c r="B355" t="inlineStr">
        <is>
          <t>BS31110</t>
        </is>
      </c>
      <c r="C355" t="inlineStr">
        <is>
          <t>Animal food manufacturing</t>
        </is>
      </c>
      <c r="D355" t="n">
        <v>254</v>
      </c>
      <c r="E355">
        <f>IFERROR(VLOOKUP(B355,Crosswalk!$A$2:$C$125,3,FALSE),"Unmapped")</f>
        <v/>
      </c>
    </row>
    <row r="356">
      <c r="A356" t="n">
        <v>2012</v>
      </c>
      <c r="B356" t="inlineStr">
        <is>
          <t>BS31130</t>
        </is>
      </c>
      <c r="C356" t="inlineStr">
        <is>
          <t>Sugar and confectionery product manufacturing</t>
        </is>
      </c>
      <c r="D356" t="n">
        <v>352</v>
      </c>
      <c r="E356">
        <f>IFERROR(VLOOKUP(B356,Crosswalk!$A$2:$C$125,3,FALSE),"Unmapped")</f>
        <v/>
      </c>
    </row>
    <row r="357">
      <c r="A357" t="n">
        <v>2012</v>
      </c>
      <c r="B357" t="inlineStr">
        <is>
          <t>BS31140</t>
        </is>
      </c>
      <c r="C357" t="inlineStr">
        <is>
          <t>Fruit and vegetable preserving and specialty food manufacturing</t>
        </is>
      </c>
      <c r="D357" t="n">
        <v>804</v>
      </c>
      <c r="E357">
        <f>IFERROR(VLOOKUP(B357,Crosswalk!$A$2:$C$125,3,FALSE),"Unmapped")</f>
        <v/>
      </c>
    </row>
    <row r="358">
      <c r="A358" t="n">
        <v>2012</v>
      </c>
      <c r="B358" t="inlineStr">
        <is>
          <t>BS31150</t>
        </is>
      </c>
      <c r="C358" t="inlineStr">
        <is>
          <t>Dairy product manufacturing</t>
        </is>
      </c>
      <c r="D358" t="n">
        <v>450</v>
      </c>
      <c r="E358">
        <f>IFERROR(VLOOKUP(B358,Crosswalk!$A$2:$C$125,3,FALSE),"Unmapped")</f>
        <v/>
      </c>
    </row>
    <row r="359">
      <c r="A359" t="n">
        <v>2012</v>
      </c>
      <c r="B359" t="inlineStr">
        <is>
          <t>BS31160</t>
        </is>
      </c>
      <c r="C359" t="inlineStr">
        <is>
          <t>Meat product manufacturing</t>
        </is>
      </c>
      <c r="D359" t="n">
        <v>1050</v>
      </c>
      <c r="E359">
        <f>IFERROR(VLOOKUP(B359,Crosswalk!$A$2:$C$125,3,FALSE),"Unmapped")</f>
        <v/>
      </c>
    </row>
    <row r="360">
      <c r="A360" t="n">
        <v>2012</v>
      </c>
      <c r="B360" t="inlineStr">
        <is>
          <t>BS31170</t>
        </is>
      </c>
      <c r="C360" t="inlineStr">
        <is>
          <t>Seafood product preparation and packaging</t>
        </is>
      </c>
      <c r="D360" t="n">
        <v>164</v>
      </c>
      <c r="E360">
        <f>IFERROR(VLOOKUP(B360,Crosswalk!$A$2:$C$125,3,FALSE),"Unmapped")</f>
        <v/>
      </c>
    </row>
    <row r="361">
      <c r="A361" t="n">
        <v>2012</v>
      </c>
      <c r="B361" t="inlineStr">
        <is>
          <t>BS311A0</t>
        </is>
      </c>
      <c r="C361" t="inlineStr">
        <is>
          <t>Miscellaneous food manufacturing</t>
        </is>
      </c>
      <c r="D361" t="n">
        <v>1871</v>
      </c>
      <c r="E361">
        <f>IFERROR(VLOOKUP(B361,Crosswalk!$A$2:$C$125,3,FALSE),"Unmapped")</f>
        <v/>
      </c>
    </row>
    <row r="362">
      <c r="A362" t="n">
        <v>2012</v>
      </c>
      <c r="B362" t="inlineStr">
        <is>
          <t>BS31211</t>
        </is>
      </c>
      <c r="C362" t="inlineStr">
        <is>
          <t>Soft drink and ice manufacturing</t>
        </is>
      </c>
      <c r="D362" t="n">
        <v>192</v>
      </c>
      <c r="E362">
        <f>IFERROR(VLOOKUP(B362,Crosswalk!$A$2:$C$125,3,FALSE),"Unmapped")</f>
        <v/>
      </c>
    </row>
    <row r="363">
      <c r="A363" t="n">
        <v>2012</v>
      </c>
      <c r="B363" t="inlineStr">
        <is>
          <t>BS31212</t>
        </is>
      </c>
      <c r="C363" t="inlineStr">
        <is>
          <t>Breweries</t>
        </is>
      </c>
      <c r="D363" t="n">
        <v>362</v>
      </c>
      <c r="E363">
        <f>IFERROR(VLOOKUP(B363,Crosswalk!$A$2:$C$125,3,FALSE),"Unmapped")</f>
        <v/>
      </c>
    </row>
    <row r="364">
      <c r="A364" t="n">
        <v>2012</v>
      </c>
      <c r="B364" t="inlineStr">
        <is>
          <t>BS3121A</t>
        </is>
      </c>
      <c r="C364" t="inlineStr">
        <is>
          <t>Wineries and distilleries</t>
        </is>
      </c>
      <c r="D364" t="n">
        <v>234</v>
      </c>
      <c r="E364">
        <f>IFERROR(VLOOKUP(B364,Crosswalk!$A$2:$C$125,3,FALSE),"Unmapped")</f>
        <v/>
      </c>
    </row>
    <row r="365">
      <c r="A365" t="n">
        <v>2012</v>
      </c>
      <c r="B365" t="inlineStr">
        <is>
          <t>BS31220</t>
        </is>
      </c>
      <c r="C365" t="inlineStr">
        <is>
          <t>Tobacco manufacturing</t>
        </is>
      </c>
      <c r="D365" t="n">
        <v>16</v>
      </c>
      <c r="E365">
        <f>IFERROR(VLOOKUP(B365,Crosswalk!$A$2:$C$125,3,FALSE),"Unmapped")</f>
        <v/>
      </c>
    </row>
    <row r="366">
      <c r="A366" t="n">
        <v>2012</v>
      </c>
      <c r="B366" t="inlineStr">
        <is>
          <t>BS31A00</t>
        </is>
      </c>
      <c r="C366" t="inlineStr">
        <is>
          <t>Textile and textile product mills</t>
        </is>
      </c>
      <c r="D366" t="n">
        <v>180</v>
      </c>
      <c r="E366">
        <f>IFERROR(VLOOKUP(B366,Crosswalk!$A$2:$C$125,3,FALSE),"Unmapped")</f>
        <v/>
      </c>
    </row>
    <row r="367">
      <c r="A367" t="n">
        <v>2012</v>
      </c>
      <c r="B367" t="inlineStr">
        <is>
          <t>BS31B00</t>
        </is>
      </c>
      <c r="C367" t="inlineStr">
        <is>
          <t>Clothing and leather and allied product manufacturing</t>
        </is>
      </c>
      <c r="D367" t="n">
        <v>64</v>
      </c>
      <c r="E367">
        <f>IFERROR(VLOOKUP(B367,Crosswalk!$A$2:$C$125,3,FALSE),"Unmapped")</f>
        <v/>
      </c>
    </row>
    <row r="368">
      <c r="A368" t="n">
        <v>2012</v>
      </c>
      <c r="B368" t="inlineStr">
        <is>
          <t>BS32100</t>
        </is>
      </c>
      <c r="C368" t="inlineStr">
        <is>
          <t>Wood product manufacturing</t>
        </is>
      </c>
      <c r="D368" t="n">
        <v>9245</v>
      </c>
      <c r="E368">
        <f>IFERROR(VLOOKUP(B368,Crosswalk!$A$2:$C$125,3,FALSE),"Unmapped")</f>
        <v/>
      </c>
    </row>
    <row r="369">
      <c r="A369" t="n">
        <v>2012</v>
      </c>
      <c r="B369" t="inlineStr">
        <is>
          <t>BS32210</t>
        </is>
      </c>
      <c r="C369" t="inlineStr">
        <is>
          <t>Pulp, paper and paperboard mills</t>
        </is>
      </c>
      <c r="D369" t="n">
        <v>39135</v>
      </c>
      <c r="E369">
        <f>IFERROR(VLOOKUP(B369,Crosswalk!$A$2:$C$125,3,FALSE),"Unmapped")</f>
        <v/>
      </c>
    </row>
    <row r="370">
      <c r="A370" t="n">
        <v>2012</v>
      </c>
      <c r="B370" t="inlineStr">
        <is>
          <t>BS32220</t>
        </is>
      </c>
      <c r="C370" t="inlineStr">
        <is>
          <t>Converted paper product manufacturing</t>
        </is>
      </c>
      <c r="D370" t="n">
        <v>494</v>
      </c>
      <c r="E370">
        <f>IFERROR(VLOOKUP(B370,Crosswalk!$A$2:$C$125,3,FALSE),"Unmapped")</f>
        <v/>
      </c>
    </row>
    <row r="371">
      <c r="A371" t="n">
        <v>2012</v>
      </c>
      <c r="B371" t="inlineStr">
        <is>
          <t>BS32300</t>
        </is>
      </c>
      <c r="C371" t="inlineStr">
        <is>
          <t>Printing and related support activities</t>
        </is>
      </c>
      <c r="D371" t="n">
        <v>260</v>
      </c>
      <c r="E371">
        <f>IFERROR(VLOOKUP(B371,Crosswalk!$A$2:$C$125,3,FALSE),"Unmapped")</f>
        <v/>
      </c>
    </row>
    <row r="372">
      <c r="A372" t="n">
        <v>2012</v>
      </c>
      <c r="B372" t="inlineStr">
        <is>
          <t>BS32400</t>
        </is>
      </c>
      <c r="C372" t="inlineStr">
        <is>
          <t>Petroleum and coal product manufacturing</t>
        </is>
      </c>
      <c r="D372" t="n">
        <v>22981</v>
      </c>
      <c r="E372">
        <f>IFERROR(VLOOKUP(B372,Crosswalk!$A$2:$C$125,3,FALSE),"Unmapped")</f>
        <v/>
      </c>
    </row>
    <row r="373">
      <c r="A373" t="n">
        <v>2012</v>
      </c>
      <c r="B373" t="inlineStr">
        <is>
          <t>BS32510</t>
        </is>
      </c>
      <c r="C373" t="inlineStr">
        <is>
          <t>Basic chemical manufacturing</t>
        </is>
      </c>
      <c r="D373" t="n">
        <v>13139</v>
      </c>
      <c r="E373">
        <f>IFERROR(VLOOKUP(B373,Crosswalk!$A$2:$C$125,3,FALSE),"Unmapped")</f>
        <v/>
      </c>
    </row>
    <row r="374">
      <c r="A374" t="n">
        <v>2012</v>
      </c>
      <c r="B374" t="inlineStr">
        <is>
          <t>BS32530</t>
        </is>
      </c>
      <c r="C374" t="inlineStr">
        <is>
          <t>Pesticide, fertilizer and other agricultural chemical manufacturing</t>
        </is>
      </c>
      <c r="D374" t="n">
        <v>6374</v>
      </c>
      <c r="E374">
        <f>IFERROR(VLOOKUP(B374,Crosswalk!$A$2:$C$125,3,FALSE),"Unmapped")</f>
        <v/>
      </c>
    </row>
    <row r="375">
      <c r="A375" t="n">
        <v>2012</v>
      </c>
      <c r="B375" t="inlineStr">
        <is>
          <t>BS32540</t>
        </is>
      </c>
      <c r="C375" t="inlineStr">
        <is>
          <t>Pharmaceutical and medicine manufacturing</t>
        </is>
      </c>
      <c r="D375" t="n">
        <v>235</v>
      </c>
      <c r="E375">
        <f>IFERROR(VLOOKUP(B375,Crosswalk!$A$2:$C$125,3,FALSE),"Unmapped")</f>
        <v/>
      </c>
    </row>
    <row r="376">
      <c r="A376" t="n">
        <v>2012</v>
      </c>
      <c r="B376" t="inlineStr">
        <is>
          <t>BS325C0</t>
        </is>
      </c>
      <c r="C376" t="inlineStr">
        <is>
          <t>Miscellaneous chemical product manufacturing</t>
        </is>
      </c>
      <c r="D376" t="n">
        <v>2126</v>
      </c>
      <c r="E376">
        <f>IFERROR(VLOOKUP(B376,Crosswalk!$A$2:$C$125,3,FALSE),"Unmapped")</f>
        <v/>
      </c>
    </row>
    <row r="377">
      <c r="A377" t="n">
        <v>2012</v>
      </c>
      <c r="B377" t="inlineStr">
        <is>
          <t>BS32610</t>
        </is>
      </c>
      <c r="C377" t="inlineStr">
        <is>
          <t>Plastic product manufacturing</t>
        </is>
      </c>
      <c r="D377" t="n">
        <v>630</v>
      </c>
      <c r="E377">
        <f>IFERROR(VLOOKUP(B377,Crosswalk!$A$2:$C$125,3,FALSE),"Unmapped")</f>
        <v/>
      </c>
    </row>
    <row r="378">
      <c r="A378" t="n">
        <v>2012</v>
      </c>
      <c r="B378" t="inlineStr">
        <is>
          <t>BS32620</t>
        </is>
      </c>
      <c r="C378" t="inlineStr">
        <is>
          <t>Rubber product manufacturing</t>
        </is>
      </c>
      <c r="D378" t="n">
        <v>257</v>
      </c>
      <c r="E378">
        <f>IFERROR(VLOOKUP(B378,Crosswalk!$A$2:$C$125,3,FALSE),"Unmapped")</f>
        <v/>
      </c>
    </row>
    <row r="379">
      <c r="A379" t="n">
        <v>2012</v>
      </c>
      <c r="B379" t="inlineStr">
        <is>
          <t>BS32730</t>
        </is>
      </c>
      <c r="C379" t="inlineStr">
        <is>
          <t>Cement and concrete product manufacturing</t>
        </is>
      </c>
      <c r="D379" t="n">
        <v>10576</v>
      </c>
      <c r="E379">
        <f>IFERROR(VLOOKUP(B379,Crosswalk!$A$2:$C$125,3,FALSE),"Unmapped")</f>
        <v/>
      </c>
    </row>
    <row r="380">
      <c r="A380" t="n">
        <v>2012</v>
      </c>
      <c r="B380" t="inlineStr">
        <is>
          <t>BS327A0</t>
        </is>
      </c>
      <c r="C380" t="inlineStr">
        <is>
          <t>Non-metallic mineral product manufacturing (except cement and concrete products)</t>
        </is>
      </c>
      <c r="D380" t="n">
        <v>3442</v>
      </c>
      <c r="E380">
        <f>IFERROR(VLOOKUP(B380,Crosswalk!$A$2:$C$125,3,FALSE),"Unmapped")</f>
        <v/>
      </c>
    </row>
    <row r="381">
      <c r="A381" t="n">
        <v>2012</v>
      </c>
      <c r="B381" t="inlineStr">
        <is>
          <t>BS33100</t>
        </is>
      </c>
      <c r="C381" t="inlineStr">
        <is>
          <t>Primary metal manufacturing</t>
        </is>
      </c>
      <c r="D381" t="n">
        <v>25180</v>
      </c>
      <c r="E381">
        <f>IFERROR(VLOOKUP(B381,Crosswalk!$A$2:$C$125,3,FALSE),"Unmapped")</f>
        <v/>
      </c>
    </row>
    <row r="382">
      <c r="A382" t="n">
        <v>2012</v>
      </c>
      <c r="B382" t="inlineStr">
        <is>
          <t>BS33200</t>
        </is>
      </c>
      <c r="C382" t="inlineStr">
        <is>
          <t>Fabricated metal product manufacturing</t>
        </is>
      </c>
      <c r="D382" t="n">
        <v>1694</v>
      </c>
      <c r="E382">
        <f>IFERROR(VLOOKUP(B382,Crosswalk!$A$2:$C$125,3,FALSE),"Unmapped")</f>
        <v/>
      </c>
    </row>
    <row r="383">
      <c r="A383" t="n">
        <v>2012</v>
      </c>
      <c r="B383" t="inlineStr">
        <is>
          <t>BS33300</t>
        </is>
      </c>
      <c r="C383" t="inlineStr">
        <is>
          <t>Machinery manufacturing</t>
        </is>
      </c>
      <c r="D383" t="n">
        <v>859</v>
      </c>
      <c r="E383">
        <f>IFERROR(VLOOKUP(B383,Crosswalk!$A$2:$C$125,3,FALSE),"Unmapped")</f>
        <v/>
      </c>
    </row>
    <row r="384">
      <c r="A384" t="n">
        <v>2012</v>
      </c>
      <c r="B384" t="inlineStr">
        <is>
          <t>BS33410</t>
        </is>
      </c>
      <c r="C384" t="inlineStr">
        <is>
          <t>Computer and peripheral equipment manufacturing</t>
        </is>
      </c>
      <c r="D384" t="n">
        <v>14</v>
      </c>
      <c r="E384">
        <f>IFERROR(VLOOKUP(B384,Crosswalk!$A$2:$C$125,3,FALSE),"Unmapped")</f>
        <v/>
      </c>
    </row>
    <row r="385">
      <c r="A385" t="n">
        <v>2012</v>
      </c>
      <c r="B385" t="inlineStr">
        <is>
          <t>BS334B0</t>
        </is>
      </c>
      <c r="C385" t="inlineStr">
        <is>
          <t>Electronic product manufacturing</t>
        </is>
      </c>
      <c r="D385" t="n">
        <v>115</v>
      </c>
      <c r="E385">
        <f>IFERROR(VLOOKUP(B385,Crosswalk!$A$2:$C$125,3,FALSE),"Unmapped")</f>
        <v/>
      </c>
    </row>
    <row r="386">
      <c r="A386" t="n">
        <v>2012</v>
      </c>
      <c r="B386" t="inlineStr">
        <is>
          <t>BS33520</t>
        </is>
      </c>
      <c r="C386" t="inlineStr">
        <is>
          <t>Household appliance manufacturing</t>
        </is>
      </c>
      <c r="D386" t="n">
        <v>31</v>
      </c>
      <c r="E386">
        <f>IFERROR(VLOOKUP(B386,Crosswalk!$A$2:$C$125,3,FALSE),"Unmapped")</f>
        <v/>
      </c>
    </row>
    <row r="387">
      <c r="A387" t="n">
        <v>2012</v>
      </c>
      <c r="B387" t="inlineStr">
        <is>
          <t>BS335A0</t>
        </is>
      </c>
      <c r="C387" t="inlineStr">
        <is>
          <t>Electrical equipment and component manufacturing</t>
        </is>
      </c>
      <c r="D387" t="n">
        <v>206</v>
      </c>
      <c r="E387">
        <f>IFERROR(VLOOKUP(B387,Crosswalk!$A$2:$C$125,3,FALSE),"Unmapped")</f>
        <v/>
      </c>
    </row>
    <row r="388">
      <c r="A388" t="n">
        <v>2012</v>
      </c>
      <c r="B388" t="inlineStr">
        <is>
          <t>BS33610</t>
        </is>
      </c>
      <c r="C388" t="inlineStr">
        <is>
          <t>Motor vehicle manufacturing</t>
        </is>
      </c>
      <c r="D388" t="n">
        <v>638</v>
      </c>
      <c r="E388">
        <f>IFERROR(VLOOKUP(B388,Crosswalk!$A$2:$C$125,3,FALSE),"Unmapped")</f>
        <v/>
      </c>
    </row>
    <row r="389">
      <c r="A389" t="n">
        <v>2012</v>
      </c>
      <c r="B389" t="inlineStr">
        <is>
          <t>BS33620</t>
        </is>
      </c>
      <c r="C389" t="inlineStr">
        <is>
          <t>Motor vehicle body and trailer manufacturing</t>
        </is>
      </c>
      <c r="D389" t="n">
        <v>101</v>
      </c>
      <c r="E389">
        <f>IFERROR(VLOOKUP(B389,Crosswalk!$A$2:$C$125,3,FALSE),"Unmapped")</f>
        <v/>
      </c>
    </row>
    <row r="390">
      <c r="A390" t="n">
        <v>2012</v>
      </c>
      <c r="B390" t="inlineStr">
        <is>
          <t>BS33630</t>
        </is>
      </c>
      <c r="C390" t="inlineStr">
        <is>
          <t>Motor vehicle parts manufacturing</t>
        </is>
      </c>
      <c r="D390" t="n">
        <v>355</v>
      </c>
      <c r="E390">
        <f>IFERROR(VLOOKUP(B390,Crosswalk!$A$2:$C$125,3,FALSE),"Unmapped")</f>
        <v/>
      </c>
    </row>
    <row r="391">
      <c r="A391" t="n">
        <v>2012</v>
      </c>
      <c r="B391" t="inlineStr">
        <is>
          <t>BS33640</t>
        </is>
      </c>
      <c r="C391" t="inlineStr">
        <is>
          <t>Aerospace product and parts manufacturing</t>
        </is>
      </c>
      <c r="D391" t="n">
        <v>199</v>
      </c>
      <c r="E391">
        <f>IFERROR(VLOOKUP(B391,Crosswalk!$A$2:$C$125,3,FALSE),"Unmapped")</f>
        <v/>
      </c>
    </row>
    <row r="392">
      <c r="A392" t="n">
        <v>2012</v>
      </c>
      <c r="B392" t="inlineStr">
        <is>
          <t>BS33650</t>
        </is>
      </c>
      <c r="C392" t="inlineStr">
        <is>
          <t>Railroad rolling stock manufacturing</t>
        </is>
      </c>
      <c r="D392" t="n">
        <v>16</v>
      </c>
      <c r="E392">
        <f>IFERROR(VLOOKUP(B392,Crosswalk!$A$2:$C$125,3,FALSE),"Unmapped")</f>
        <v/>
      </c>
    </row>
    <row r="393">
      <c r="A393" t="n">
        <v>2012</v>
      </c>
      <c r="B393" t="inlineStr">
        <is>
          <t>BS33660</t>
        </is>
      </c>
      <c r="C393" t="inlineStr">
        <is>
          <t>Ship and boat building</t>
        </is>
      </c>
      <c r="D393" t="n">
        <v>21</v>
      </c>
      <c r="E393">
        <f>IFERROR(VLOOKUP(B393,Crosswalk!$A$2:$C$125,3,FALSE),"Unmapped")</f>
        <v/>
      </c>
    </row>
    <row r="394">
      <c r="A394" t="n">
        <v>2012</v>
      </c>
      <c r="B394" t="inlineStr">
        <is>
          <t>BS33690</t>
        </is>
      </c>
      <c r="C394" t="inlineStr">
        <is>
          <t>Other transportation equipment manufacturing</t>
        </is>
      </c>
      <c r="D394" t="n">
        <v>30</v>
      </c>
      <c r="E394">
        <f>IFERROR(VLOOKUP(B394,Crosswalk!$A$2:$C$125,3,FALSE),"Unmapped")</f>
        <v/>
      </c>
    </row>
    <row r="395">
      <c r="A395" t="n">
        <v>2012</v>
      </c>
      <c r="B395" t="inlineStr">
        <is>
          <t>BS33700</t>
        </is>
      </c>
      <c r="C395" t="inlineStr">
        <is>
          <t>Furniture and related product manufacturing</t>
        </is>
      </c>
      <c r="D395" t="n">
        <v>445</v>
      </c>
      <c r="E395">
        <f>IFERROR(VLOOKUP(B395,Crosswalk!$A$2:$C$125,3,FALSE),"Unmapped")</f>
        <v/>
      </c>
    </row>
    <row r="396">
      <c r="A396" t="n">
        <v>2012</v>
      </c>
      <c r="B396" t="inlineStr">
        <is>
          <t>BS33900</t>
        </is>
      </c>
      <c r="C396" t="inlineStr">
        <is>
          <t>Miscellaneous manufacturing</t>
        </is>
      </c>
      <c r="D396" t="n">
        <v>266</v>
      </c>
      <c r="E396">
        <f>IFERROR(VLOOKUP(B396,Crosswalk!$A$2:$C$125,3,FALSE),"Unmapped")</f>
        <v/>
      </c>
    </row>
    <row r="397">
      <c r="A397" t="n">
        <v>2012</v>
      </c>
      <c r="B397" t="inlineStr">
        <is>
          <t>BS41000</t>
        </is>
      </c>
      <c r="C397" t="inlineStr">
        <is>
          <t>Wholesale trade</t>
        </is>
      </c>
      <c r="D397" t="n">
        <v>10390</v>
      </c>
      <c r="E397">
        <f>IFERROR(VLOOKUP(B397,Crosswalk!$A$2:$C$125,3,FALSE),"Unmapped")</f>
        <v/>
      </c>
    </row>
    <row r="398">
      <c r="A398" t="n">
        <v>2012</v>
      </c>
      <c r="B398" t="inlineStr">
        <is>
          <t>BS48100</t>
        </is>
      </c>
      <c r="C398" t="inlineStr">
        <is>
          <t>Air transportation</t>
        </is>
      </c>
      <c r="D398" t="n">
        <v>17541</v>
      </c>
      <c r="E398">
        <f>IFERROR(VLOOKUP(B398,Crosswalk!$A$2:$C$125,3,FALSE),"Unmapped")</f>
        <v/>
      </c>
    </row>
    <row r="399">
      <c r="A399" t="n">
        <v>2012</v>
      </c>
      <c r="B399" t="inlineStr">
        <is>
          <t>BS48200</t>
        </is>
      </c>
      <c r="C399" t="inlineStr">
        <is>
          <t>Rail transportation</t>
        </is>
      </c>
      <c r="D399" t="n">
        <v>5618</v>
      </c>
      <c r="E399">
        <f>IFERROR(VLOOKUP(B399,Crosswalk!$A$2:$C$125,3,FALSE),"Unmapped")</f>
        <v/>
      </c>
    </row>
    <row r="400">
      <c r="A400" t="n">
        <v>2012</v>
      </c>
      <c r="B400" t="inlineStr">
        <is>
          <t>BS48300</t>
        </is>
      </c>
      <c r="C400" t="inlineStr">
        <is>
          <t>Water transportation</t>
        </is>
      </c>
      <c r="D400" t="n">
        <v>5499</v>
      </c>
      <c r="E400">
        <f>IFERROR(VLOOKUP(B400,Crosswalk!$A$2:$C$125,3,FALSE),"Unmapped")</f>
        <v/>
      </c>
    </row>
    <row r="401">
      <c r="A401" t="n">
        <v>2012</v>
      </c>
      <c r="B401" t="inlineStr">
        <is>
          <t>BS48400</t>
        </is>
      </c>
      <c r="C401" t="inlineStr">
        <is>
          <t>Truck transportation</t>
        </is>
      </c>
      <c r="D401" t="n">
        <v>23645</v>
      </c>
      <c r="E401">
        <f>IFERROR(VLOOKUP(B401,Crosswalk!$A$2:$C$125,3,FALSE),"Unmapped")</f>
        <v/>
      </c>
    </row>
    <row r="402">
      <c r="A402" t="n">
        <v>2012</v>
      </c>
      <c r="B402" t="inlineStr">
        <is>
          <t>BS48600</t>
        </is>
      </c>
      <c r="C402" t="inlineStr">
        <is>
          <t>Pipeline transportation</t>
        </is>
      </c>
      <c r="D402" t="n">
        <v>7300</v>
      </c>
      <c r="E402">
        <f>IFERROR(VLOOKUP(B402,Crosswalk!$A$2:$C$125,3,FALSE),"Unmapped")</f>
        <v/>
      </c>
    </row>
    <row r="403">
      <c r="A403" t="n">
        <v>2012</v>
      </c>
      <c r="B403" t="inlineStr">
        <is>
          <t>BS48B00</t>
        </is>
      </c>
      <c r="C403" t="inlineStr">
        <is>
          <t>Transit, ground passenger and scenic and sightseeing transportation, taxi and limousine service and support activities for transportation</t>
        </is>
      </c>
      <c r="D403" t="n">
        <v>4575</v>
      </c>
      <c r="E403">
        <f>IFERROR(VLOOKUP(B403,Crosswalk!$A$2:$C$125,3,FALSE),"Unmapped")</f>
        <v/>
      </c>
    </row>
    <row r="404">
      <c r="A404" t="n">
        <v>2012</v>
      </c>
      <c r="B404" t="inlineStr">
        <is>
          <t>BS49300</t>
        </is>
      </c>
      <c r="C404" t="inlineStr">
        <is>
          <t>Warehousing and storage</t>
        </is>
      </c>
      <c r="D404" t="n">
        <v>209</v>
      </c>
      <c r="E404">
        <f>IFERROR(VLOOKUP(B404,Crosswalk!$A$2:$C$125,3,FALSE),"Unmapped")</f>
        <v/>
      </c>
    </row>
    <row r="405">
      <c r="A405" t="n">
        <v>2012</v>
      </c>
      <c r="B405" t="inlineStr">
        <is>
          <t>BS49A00</t>
        </is>
      </c>
      <c r="C405" t="inlineStr">
        <is>
          <t>Postal service and couriers and messengers</t>
        </is>
      </c>
      <c r="D405" t="n">
        <v>2212</v>
      </c>
      <c r="E405">
        <f>IFERROR(VLOOKUP(B405,Crosswalk!$A$2:$C$125,3,FALSE),"Unmapped")</f>
        <v/>
      </c>
    </row>
    <row r="406">
      <c r="A406" t="n">
        <v>2012</v>
      </c>
      <c r="B406" t="inlineStr">
        <is>
          <t>BS4A000</t>
        </is>
      </c>
      <c r="C406" t="inlineStr">
        <is>
          <t>Retail trade</t>
        </is>
      </c>
      <c r="D406" t="n">
        <v>6492</v>
      </c>
      <c r="E406">
        <f>IFERROR(VLOOKUP(B406,Crosswalk!$A$2:$C$125,3,FALSE),"Unmapped")</f>
        <v/>
      </c>
    </row>
    <row r="407">
      <c r="A407" t="n">
        <v>2012</v>
      </c>
      <c r="B407" t="inlineStr">
        <is>
          <t>BS51200</t>
        </is>
      </c>
      <c r="C407" t="inlineStr">
        <is>
          <t>Motion picture and sound recording industries</t>
        </is>
      </c>
      <c r="D407" t="n">
        <v>390</v>
      </c>
      <c r="E407">
        <f>IFERROR(VLOOKUP(B407,Crosswalk!$A$2:$C$125,3,FALSE),"Unmapped")</f>
        <v/>
      </c>
    </row>
    <row r="408">
      <c r="A408" t="n">
        <v>2012</v>
      </c>
      <c r="B408" t="inlineStr">
        <is>
          <t>BS51510</t>
        </is>
      </c>
      <c r="C408" t="inlineStr">
        <is>
          <t>Radio and television broadcasting</t>
        </is>
      </c>
      <c r="D408" t="n">
        <v>41</v>
      </c>
      <c r="E408">
        <f>IFERROR(VLOOKUP(B408,Crosswalk!$A$2:$C$125,3,FALSE),"Unmapped")</f>
        <v/>
      </c>
    </row>
    <row r="409">
      <c r="A409" t="n">
        <v>2012</v>
      </c>
      <c r="B409" t="inlineStr">
        <is>
          <t>BS51B00</t>
        </is>
      </c>
      <c r="C409" t="inlineStr">
        <is>
          <t>Publishing, pay/specialty services, telecommunications and other information services</t>
        </is>
      </c>
      <c r="D409" t="n">
        <v>796</v>
      </c>
      <c r="E409">
        <f>IFERROR(VLOOKUP(B409,Crosswalk!$A$2:$C$125,3,FALSE),"Unmapped")</f>
        <v/>
      </c>
    </row>
    <row r="410">
      <c r="A410" t="n">
        <v>2012</v>
      </c>
      <c r="B410" t="inlineStr">
        <is>
          <t>BS52410</t>
        </is>
      </c>
      <c r="C410" t="inlineStr">
        <is>
          <t>Insurance carriers</t>
        </is>
      </c>
      <c r="D410" t="n">
        <v>232</v>
      </c>
      <c r="E410">
        <f>IFERROR(VLOOKUP(B410,Crosswalk!$A$2:$C$125,3,FALSE),"Unmapped")</f>
        <v/>
      </c>
    </row>
    <row r="411">
      <c r="A411" t="n">
        <v>2012</v>
      </c>
      <c r="B411" t="inlineStr">
        <is>
          <t>BS52B00</t>
        </is>
      </c>
      <c r="C411" t="inlineStr">
        <is>
          <t>Depository credit intermediation and monetary authorities</t>
        </is>
      </c>
      <c r="D411" t="n">
        <v>1263</v>
      </c>
      <c r="E411">
        <f>IFERROR(VLOOKUP(B411,Crosswalk!$A$2:$C$125,3,FALSE),"Unmapped")</f>
        <v/>
      </c>
    </row>
    <row r="412">
      <c r="A412" t="n">
        <v>2012</v>
      </c>
      <c r="B412" t="inlineStr">
        <is>
          <t>BS53110</t>
        </is>
      </c>
      <c r="C412" t="inlineStr">
        <is>
          <t>Lessors of real estate</t>
        </is>
      </c>
      <c r="D412" t="n">
        <v>6670</v>
      </c>
      <c r="E412">
        <f>IFERROR(VLOOKUP(B412,Crosswalk!$A$2:$C$125,3,FALSE),"Unmapped")</f>
        <v/>
      </c>
    </row>
    <row r="413">
      <c r="A413" t="n">
        <v>2012</v>
      </c>
      <c r="B413" t="inlineStr">
        <is>
          <t>BS5311A</t>
        </is>
      </c>
      <c r="C413" t="inlineStr">
        <is>
          <t>Owner-occupied dwellings</t>
        </is>
      </c>
      <c r="D413" t="n">
        <v>0</v>
      </c>
      <c r="E413">
        <f>IFERROR(VLOOKUP(B413,Crosswalk!$A$2:$C$125,3,FALSE),"Unmapped")</f>
        <v/>
      </c>
    </row>
    <row r="414">
      <c r="A414" t="n">
        <v>2012</v>
      </c>
      <c r="B414" t="inlineStr">
        <is>
          <t>BS53B00</t>
        </is>
      </c>
      <c r="C414" t="inlineStr">
        <is>
          <t>Rental and leasing services and lessors of non-financial intangible assets (except copyrighted works)</t>
        </is>
      </c>
      <c r="D414" t="n">
        <v>2529</v>
      </c>
      <c r="E414">
        <f>IFERROR(VLOOKUP(B414,Crosswalk!$A$2:$C$125,3,FALSE),"Unmapped")</f>
        <v/>
      </c>
    </row>
    <row r="415">
      <c r="A415" t="n">
        <v>2012</v>
      </c>
      <c r="B415" t="inlineStr">
        <is>
          <t>BS54180</t>
        </is>
      </c>
      <c r="C415" t="inlineStr">
        <is>
          <t>Advertising, public relations and related services</t>
        </is>
      </c>
      <c r="D415" t="n">
        <v>136</v>
      </c>
      <c r="E415">
        <f>IFERROR(VLOOKUP(B415,Crosswalk!$A$2:$C$125,3,FALSE),"Unmapped")</f>
        <v/>
      </c>
    </row>
    <row r="416">
      <c r="A416" t="n">
        <v>2012</v>
      </c>
      <c r="B416" t="inlineStr">
        <is>
          <t>BS541C0</t>
        </is>
      </c>
      <c r="C416" t="inlineStr">
        <is>
          <t>Legal, accounting and architectural, engineering and related services</t>
        </is>
      </c>
      <c r="D416" t="n">
        <v>1009</v>
      </c>
      <c r="E416">
        <f>IFERROR(VLOOKUP(B416,Crosswalk!$A$2:$C$125,3,FALSE),"Unmapped")</f>
        <v/>
      </c>
    </row>
    <row r="417">
      <c r="A417" t="n">
        <v>2012</v>
      </c>
      <c r="B417" t="inlineStr">
        <is>
          <t>BS541D0</t>
        </is>
      </c>
      <c r="C417" t="inlineStr">
        <is>
          <t>Computer systems design and other professional, scientific and technical services</t>
        </is>
      </c>
      <c r="D417" t="n">
        <v>717</v>
      </c>
      <c r="E417">
        <f>IFERROR(VLOOKUP(B417,Crosswalk!$A$2:$C$125,3,FALSE),"Unmapped")</f>
        <v/>
      </c>
    </row>
    <row r="418">
      <c r="A418" t="n">
        <v>2012</v>
      </c>
      <c r="B418" t="inlineStr">
        <is>
          <t>BS56100</t>
        </is>
      </c>
      <c r="C418" t="inlineStr">
        <is>
          <t>Administrative and support services</t>
        </is>
      </c>
      <c r="D418" t="n">
        <v>2290</v>
      </c>
      <c r="E418">
        <f>IFERROR(VLOOKUP(B418,Crosswalk!$A$2:$C$125,3,FALSE),"Unmapped")</f>
        <v/>
      </c>
    </row>
    <row r="419">
      <c r="A419" t="n">
        <v>2012</v>
      </c>
      <c r="B419" t="inlineStr">
        <is>
          <t>BS56200</t>
        </is>
      </c>
      <c r="C419" t="inlineStr">
        <is>
          <t>Waste management and remediation services</t>
        </is>
      </c>
      <c r="D419" t="n">
        <v>2262</v>
      </c>
      <c r="E419">
        <f>IFERROR(VLOOKUP(B419,Crosswalk!$A$2:$C$125,3,FALSE),"Unmapped")</f>
        <v/>
      </c>
    </row>
    <row r="420">
      <c r="A420" t="n">
        <v>2012</v>
      </c>
      <c r="B420" t="inlineStr">
        <is>
          <t>BS5A000</t>
        </is>
      </c>
      <c r="C420" t="inlineStr">
        <is>
          <t>Other finance, insurance and real estate services and management of companies and enterprises</t>
        </is>
      </c>
      <c r="D420" t="n">
        <v>3806</v>
      </c>
      <c r="E420">
        <f>IFERROR(VLOOKUP(B420,Crosswalk!$A$2:$C$125,3,FALSE),"Unmapped")</f>
        <v/>
      </c>
    </row>
    <row r="421">
      <c r="A421" t="n">
        <v>2012</v>
      </c>
      <c r="B421" t="inlineStr">
        <is>
          <t>BS61000</t>
        </is>
      </c>
      <c r="C421" t="inlineStr">
        <is>
          <t>Educational services</t>
        </is>
      </c>
      <c r="D421" t="n">
        <v>227</v>
      </c>
      <c r="E421">
        <f>IFERROR(VLOOKUP(B421,Crosswalk!$A$2:$C$125,3,FALSE),"Unmapped")</f>
        <v/>
      </c>
    </row>
    <row r="422">
      <c r="A422" t="n">
        <v>2012</v>
      </c>
      <c r="B422" t="inlineStr">
        <is>
          <t>BS62000</t>
        </is>
      </c>
      <c r="C422" t="inlineStr">
        <is>
          <t>Health care and social assistance</t>
        </is>
      </c>
      <c r="D422" t="n">
        <v>2087</v>
      </c>
      <c r="E422">
        <f>IFERROR(VLOOKUP(B422,Crosswalk!$A$2:$C$125,3,FALSE),"Unmapped")</f>
        <v/>
      </c>
    </row>
    <row r="423">
      <c r="A423" t="n">
        <v>2012</v>
      </c>
      <c r="B423" t="inlineStr">
        <is>
          <t>BS71000</t>
        </is>
      </c>
      <c r="C423" t="inlineStr">
        <is>
          <t>Arts, entertainment and recreation</t>
        </is>
      </c>
      <c r="D423" t="n">
        <v>245</v>
      </c>
      <c r="E423">
        <f>IFERROR(VLOOKUP(B423,Crosswalk!$A$2:$C$125,3,FALSE),"Unmapped")</f>
        <v/>
      </c>
    </row>
    <row r="424">
      <c r="A424" t="n">
        <v>2012</v>
      </c>
      <c r="B424" t="inlineStr">
        <is>
          <t>BS72000</t>
        </is>
      </c>
      <c r="C424" t="inlineStr">
        <is>
          <t>Accommodation and food services</t>
        </is>
      </c>
      <c r="D424" t="n">
        <v>1606</v>
      </c>
      <c r="E424">
        <f>IFERROR(VLOOKUP(B424,Crosswalk!$A$2:$C$125,3,FALSE),"Unmapped")</f>
        <v/>
      </c>
    </row>
    <row r="425">
      <c r="A425" t="n">
        <v>2012</v>
      </c>
      <c r="B425" t="inlineStr">
        <is>
          <t>BS81100</t>
        </is>
      </c>
      <c r="C425" t="inlineStr">
        <is>
          <t>Repair and maintenance</t>
        </is>
      </c>
      <c r="D425" t="n">
        <v>2509</v>
      </c>
      <c r="E425">
        <f>IFERROR(VLOOKUP(B425,Crosswalk!$A$2:$C$125,3,FALSE),"Unmapped")</f>
        <v/>
      </c>
    </row>
    <row r="426">
      <c r="A426" t="n">
        <v>2012</v>
      </c>
      <c r="B426" t="inlineStr">
        <is>
          <t>BS81300</t>
        </is>
      </c>
      <c r="C426" t="inlineStr">
        <is>
          <t>Professional and similar organisations</t>
        </is>
      </c>
      <c r="D426" t="n">
        <v>20</v>
      </c>
      <c r="E426">
        <f>IFERROR(VLOOKUP(B426,Crosswalk!$A$2:$C$125,3,FALSE),"Unmapped")</f>
        <v/>
      </c>
    </row>
    <row r="427">
      <c r="A427" t="n">
        <v>2012</v>
      </c>
      <c r="B427" t="inlineStr">
        <is>
          <t>BS81A00</t>
        </is>
      </c>
      <c r="C427" t="inlineStr">
        <is>
          <t>Personal services and private households</t>
        </is>
      </c>
      <c r="D427" t="n">
        <v>531</v>
      </c>
      <c r="E427">
        <f>IFERROR(VLOOKUP(B427,Crosswalk!$A$2:$C$125,3,FALSE),"Unmapped")</f>
        <v/>
      </c>
    </row>
    <row r="428">
      <c r="A428" t="n">
        <v>2012</v>
      </c>
      <c r="B428" t="inlineStr">
        <is>
          <t>FC11000</t>
        </is>
      </c>
      <c r="C428" t="inlineStr">
        <is>
          <t>Repair and maintenance</t>
        </is>
      </c>
      <c r="D428" t="n">
        <v>0</v>
      </c>
      <c r="E428">
        <f>IFERROR(VLOOKUP(B428,Crosswalk!$A$2:$C$125,3,FALSE),"Unmapped")</f>
        <v/>
      </c>
    </row>
    <row r="429">
      <c r="A429" t="n">
        <v>2012</v>
      </c>
      <c r="B429" t="inlineStr">
        <is>
          <t>FC12000</t>
        </is>
      </c>
      <c r="C429" t="inlineStr">
        <is>
          <t>Operating supplies</t>
        </is>
      </c>
      <c r="D429" t="n">
        <v>0</v>
      </c>
      <c r="E429">
        <f>IFERROR(VLOOKUP(B429,Crosswalk!$A$2:$C$125,3,FALSE),"Unmapped")</f>
        <v/>
      </c>
    </row>
    <row r="430">
      <c r="A430" t="n">
        <v>2012</v>
      </c>
      <c r="B430" t="inlineStr">
        <is>
          <t>FC13000</t>
        </is>
      </c>
      <c r="C430" t="inlineStr">
        <is>
          <t>Office supplies</t>
        </is>
      </c>
      <c r="D430" t="n">
        <v>0</v>
      </c>
      <c r="E430">
        <f>IFERROR(VLOOKUP(B430,Crosswalk!$A$2:$C$125,3,FALSE),"Unmapped")</f>
        <v/>
      </c>
    </row>
    <row r="431">
      <c r="A431" t="n">
        <v>2012</v>
      </c>
      <c r="B431" t="inlineStr">
        <is>
          <t>FC20000</t>
        </is>
      </c>
      <c r="C431" t="inlineStr">
        <is>
          <t>Advertising, promotion, meals, entertainment, and travel</t>
        </is>
      </c>
      <c r="D431" t="n">
        <v>0</v>
      </c>
      <c r="E431">
        <f>IFERROR(VLOOKUP(B431,Crosswalk!$A$2:$C$125,3,FALSE),"Unmapped")</f>
        <v/>
      </c>
    </row>
    <row r="432">
      <c r="A432" t="n">
        <v>2012</v>
      </c>
      <c r="B432" t="inlineStr">
        <is>
          <t>FC30000</t>
        </is>
      </c>
      <c r="C432" t="inlineStr">
        <is>
          <t>Transportation margins</t>
        </is>
      </c>
      <c r="D432" t="n">
        <v>0</v>
      </c>
      <c r="E432">
        <f>IFERROR(VLOOKUP(B432,Crosswalk!$A$2:$C$125,3,FALSE),"Unmapped")</f>
        <v/>
      </c>
    </row>
    <row r="433">
      <c r="A433" t="n">
        <v>2012</v>
      </c>
      <c r="B433" t="inlineStr">
        <is>
          <t>GS61130</t>
        </is>
      </c>
      <c r="C433" t="inlineStr">
        <is>
          <t>Universities</t>
        </is>
      </c>
      <c r="D433" t="n">
        <v>2092</v>
      </c>
      <c r="E433">
        <f>IFERROR(VLOOKUP(B433,Crosswalk!$A$2:$C$125,3,FALSE),"Unmapped")</f>
        <v/>
      </c>
    </row>
    <row r="434">
      <c r="A434" t="n">
        <v>2012</v>
      </c>
      <c r="B434" t="inlineStr">
        <is>
          <t>GS611B0</t>
        </is>
      </c>
      <c r="C434" t="inlineStr">
        <is>
          <t>Educational services (except universities)</t>
        </is>
      </c>
      <c r="D434" t="n">
        <v>2059</v>
      </c>
      <c r="E434">
        <f>IFERROR(VLOOKUP(B434,Crosswalk!$A$2:$C$125,3,FALSE),"Unmapped")</f>
        <v/>
      </c>
    </row>
    <row r="435">
      <c r="A435" t="n">
        <v>2012</v>
      </c>
      <c r="B435" t="inlineStr">
        <is>
          <t>GS62200</t>
        </is>
      </c>
      <c r="C435" t="inlineStr">
        <is>
          <t>Hospitals</t>
        </is>
      </c>
      <c r="D435" t="n">
        <v>1043</v>
      </c>
      <c r="E435">
        <f>IFERROR(VLOOKUP(B435,Crosswalk!$A$2:$C$125,3,FALSE),"Unmapped")</f>
        <v/>
      </c>
    </row>
    <row r="436">
      <c r="A436" t="n">
        <v>2012</v>
      </c>
      <c r="B436" t="inlineStr">
        <is>
          <t>GS62300</t>
        </is>
      </c>
      <c r="C436" t="inlineStr">
        <is>
          <t>Nursing and residential care facilities</t>
        </is>
      </c>
      <c r="D436" t="n">
        <v>115</v>
      </c>
      <c r="E436">
        <f>IFERROR(VLOOKUP(B436,Crosswalk!$A$2:$C$125,3,FALSE),"Unmapped")</f>
        <v/>
      </c>
    </row>
    <row r="437">
      <c r="A437" t="n">
        <v>2012</v>
      </c>
      <c r="B437" t="inlineStr">
        <is>
          <t>GS91100</t>
        </is>
      </c>
      <c r="C437" t="inlineStr">
        <is>
          <t>Other federal government services</t>
        </is>
      </c>
      <c r="D437" t="n">
        <v>2332</v>
      </c>
      <c r="E437">
        <f>IFERROR(VLOOKUP(B437,Crosswalk!$A$2:$C$125,3,FALSE),"Unmapped")</f>
        <v/>
      </c>
    </row>
    <row r="438">
      <c r="A438" t="n">
        <v>2012</v>
      </c>
      <c r="B438" t="inlineStr">
        <is>
          <t>GS91200</t>
        </is>
      </c>
      <c r="C438" t="inlineStr">
        <is>
          <t>Other provincial and territorial government services</t>
        </is>
      </c>
      <c r="D438" t="n">
        <v>1657</v>
      </c>
      <c r="E438">
        <f>IFERROR(VLOOKUP(B438,Crosswalk!$A$2:$C$125,3,FALSE),"Unmapped")</f>
        <v/>
      </c>
    </row>
    <row r="439">
      <c r="A439" t="n">
        <v>2012</v>
      </c>
      <c r="B439" t="inlineStr">
        <is>
          <t>GS91300</t>
        </is>
      </c>
      <c r="C439" t="inlineStr">
        <is>
          <t>Other municipal government services</t>
        </is>
      </c>
      <c r="D439" t="n">
        <v>6723</v>
      </c>
      <c r="E439">
        <f>IFERROR(VLOOKUP(B439,Crosswalk!$A$2:$C$125,3,FALSE),"Unmapped")</f>
        <v/>
      </c>
    </row>
    <row r="440">
      <c r="A440" t="n">
        <v>2012</v>
      </c>
      <c r="B440" t="inlineStr">
        <is>
          <t>GS91400</t>
        </is>
      </c>
      <c r="C440" t="inlineStr">
        <is>
          <t>Other Indigenous government services</t>
        </is>
      </c>
      <c r="D440" t="n">
        <v>231</v>
      </c>
      <c r="E440">
        <f>IFERROR(VLOOKUP(B440,Crosswalk!$A$2:$C$125,3,FALSE),"Unmapped")</f>
        <v/>
      </c>
    </row>
    <row r="441">
      <c r="A441" t="n">
        <v>2012</v>
      </c>
      <c r="B441" t="inlineStr">
        <is>
          <t>NP61000</t>
        </is>
      </c>
      <c r="C441" t="inlineStr">
        <is>
          <t>Non-profit education services</t>
        </is>
      </c>
      <c r="D441" t="n">
        <v>558</v>
      </c>
      <c r="E441">
        <f>IFERROR(VLOOKUP(B441,Crosswalk!$A$2:$C$125,3,FALSE),"Unmapped")</f>
        <v/>
      </c>
    </row>
    <row r="442">
      <c r="A442" t="n">
        <v>2012</v>
      </c>
      <c r="B442" t="inlineStr">
        <is>
          <t>NP62400</t>
        </is>
      </c>
      <c r="C442" t="inlineStr">
        <is>
          <t>Non-profit social assistance</t>
        </is>
      </c>
      <c r="D442" t="n">
        <v>278</v>
      </c>
      <c r="E442">
        <f>IFERROR(VLOOKUP(B442,Crosswalk!$A$2:$C$125,3,FALSE),"Unmapped")</f>
        <v/>
      </c>
    </row>
    <row r="443">
      <c r="A443" t="n">
        <v>2012</v>
      </c>
      <c r="B443" t="inlineStr">
        <is>
          <t>NP71000</t>
        </is>
      </c>
      <c r="C443" t="inlineStr">
        <is>
          <t>Non-profit arts, entertainment and recreation</t>
        </is>
      </c>
      <c r="D443" t="n">
        <v>252</v>
      </c>
      <c r="E443">
        <f>IFERROR(VLOOKUP(B443,Crosswalk!$A$2:$C$125,3,FALSE),"Unmapped")</f>
        <v/>
      </c>
    </row>
    <row r="444">
      <c r="A444" t="n">
        <v>2012</v>
      </c>
      <c r="B444" t="inlineStr">
        <is>
          <t>NP81310</t>
        </is>
      </c>
      <c r="C444" t="inlineStr">
        <is>
          <t>Religious organizations</t>
        </is>
      </c>
      <c r="D444" t="n">
        <v>917</v>
      </c>
      <c r="E444">
        <f>IFERROR(VLOOKUP(B444,Crosswalk!$A$2:$C$125,3,FALSE),"Unmapped")</f>
        <v/>
      </c>
    </row>
    <row r="445">
      <c r="A445" t="n">
        <v>2012</v>
      </c>
      <c r="B445" t="inlineStr">
        <is>
          <t>NPA0000</t>
        </is>
      </c>
      <c r="C445" t="inlineStr">
        <is>
          <t>Miscellaneous non-profit institutions serving households</t>
        </is>
      </c>
      <c r="D445" t="n">
        <v>1367</v>
      </c>
      <c r="E445">
        <f>IFERROR(VLOOKUP(B445,Crosswalk!$A$2:$C$125,3,FALSE),"Unmapped")</f>
        <v/>
      </c>
    </row>
    <row r="446">
      <c r="A446" t="n">
        <v>2013</v>
      </c>
      <c r="B446" t="inlineStr">
        <is>
          <t>BS11300</t>
        </is>
      </c>
      <c r="C446" t="inlineStr">
        <is>
          <t>Forestry and logging</t>
        </is>
      </c>
      <c r="D446" t="n">
        <v>7955</v>
      </c>
      <c r="E446">
        <f>IFERROR(VLOOKUP(B446,Crosswalk!$A$2:$C$125,3,FALSE),"Unmapped")</f>
        <v/>
      </c>
    </row>
    <row r="447">
      <c r="A447" t="n">
        <v>2013</v>
      </c>
      <c r="B447" t="inlineStr">
        <is>
          <t>BS11400</t>
        </is>
      </c>
      <c r="C447" t="inlineStr">
        <is>
          <t>Fishing, hunting and trapping</t>
        </is>
      </c>
      <c r="D447" t="n">
        <v>621</v>
      </c>
      <c r="E447">
        <f>IFERROR(VLOOKUP(B447,Crosswalk!$A$2:$C$125,3,FALSE),"Unmapped")</f>
        <v/>
      </c>
    </row>
    <row r="448">
      <c r="A448" t="n">
        <v>2013</v>
      </c>
      <c r="B448" t="inlineStr">
        <is>
          <t>BS11500</t>
        </is>
      </c>
      <c r="C448" t="inlineStr">
        <is>
          <t>Support activities for agriculture and forestry</t>
        </is>
      </c>
      <c r="D448" t="n">
        <v>643</v>
      </c>
      <c r="E448">
        <f>IFERROR(VLOOKUP(B448,Crosswalk!$A$2:$C$125,3,FALSE),"Unmapped")</f>
        <v/>
      </c>
    </row>
    <row r="449">
      <c r="A449" t="n">
        <v>2013</v>
      </c>
      <c r="B449" t="inlineStr">
        <is>
          <t>BS11A00</t>
        </is>
      </c>
      <c r="C449" t="inlineStr">
        <is>
          <t>Crop and animal production</t>
        </is>
      </c>
      <c r="D449" t="n">
        <v>69648</v>
      </c>
      <c r="E449">
        <f>IFERROR(VLOOKUP(B449,Crosswalk!$A$2:$C$125,3,FALSE),"Unmapped")</f>
        <v/>
      </c>
    </row>
    <row r="450">
      <c r="A450" t="n">
        <v>2013</v>
      </c>
      <c r="B450" t="inlineStr">
        <is>
          <t>BS21100</t>
        </is>
      </c>
      <c r="C450" t="inlineStr">
        <is>
          <t>Oil and gas extraction</t>
        </is>
      </c>
      <c r="D450" t="n">
        <v>196297</v>
      </c>
      <c r="E450">
        <f>IFERROR(VLOOKUP(B450,Crosswalk!$A$2:$C$125,3,FALSE),"Unmapped")</f>
        <v/>
      </c>
    </row>
    <row r="451">
      <c r="A451" t="n">
        <v>2013</v>
      </c>
      <c r="B451" t="inlineStr">
        <is>
          <t>BS21210</t>
        </is>
      </c>
      <c r="C451" t="inlineStr">
        <is>
          <t>Coal mining</t>
        </is>
      </c>
      <c r="D451" t="n">
        <v>3111</v>
      </c>
      <c r="E451">
        <f>IFERROR(VLOOKUP(B451,Crosswalk!$A$2:$C$125,3,FALSE),"Unmapped")</f>
        <v/>
      </c>
    </row>
    <row r="452">
      <c r="A452" t="n">
        <v>2013</v>
      </c>
      <c r="B452" t="inlineStr">
        <is>
          <t>BS21220</t>
        </is>
      </c>
      <c r="C452" t="inlineStr">
        <is>
          <t>Metal ore mining</t>
        </is>
      </c>
      <c r="D452" t="n">
        <v>4778</v>
      </c>
      <c r="E452">
        <f>IFERROR(VLOOKUP(B452,Crosswalk!$A$2:$C$125,3,FALSE),"Unmapped")</f>
        <v/>
      </c>
    </row>
    <row r="453">
      <c r="A453" t="n">
        <v>2013</v>
      </c>
      <c r="B453" t="inlineStr">
        <is>
          <t>BS21230</t>
        </is>
      </c>
      <c r="C453" t="inlineStr">
        <is>
          <t>Non-metallic mineral mining and quarrying</t>
        </is>
      </c>
      <c r="D453" t="n">
        <v>2451</v>
      </c>
      <c r="E453">
        <f>IFERROR(VLOOKUP(B453,Crosswalk!$A$2:$C$125,3,FALSE),"Unmapped")</f>
        <v/>
      </c>
    </row>
    <row r="454">
      <c r="A454" t="n">
        <v>2013</v>
      </c>
      <c r="B454" t="inlineStr">
        <is>
          <t>BS21300</t>
        </is>
      </c>
      <c r="C454" t="inlineStr">
        <is>
          <t>Support activities for mining and oil and gas extraction</t>
        </is>
      </c>
      <c r="D454" t="n">
        <v>6513</v>
      </c>
      <c r="E454">
        <f>IFERROR(VLOOKUP(B454,Crosswalk!$A$2:$C$125,3,FALSE),"Unmapped")</f>
        <v/>
      </c>
    </row>
    <row r="455">
      <c r="A455" t="n">
        <v>2013</v>
      </c>
      <c r="B455" t="inlineStr">
        <is>
          <t>BS22110</t>
        </is>
      </c>
      <c r="C455" t="inlineStr">
        <is>
          <t>Electric power generation, transmission and distribution</t>
        </is>
      </c>
      <c r="D455" t="n">
        <v>88133</v>
      </c>
      <c r="E455">
        <f>IFERROR(VLOOKUP(B455,Crosswalk!$A$2:$C$125,3,FALSE),"Unmapped")</f>
        <v/>
      </c>
    </row>
    <row r="456">
      <c r="A456" t="n">
        <v>2013</v>
      </c>
      <c r="B456" t="inlineStr">
        <is>
          <t>BS221A0</t>
        </is>
      </c>
      <c r="C456" t="inlineStr">
        <is>
          <t>Natural gas distribution, water, sewage and other systems</t>
        </is>
      </c>
      <c r="D456" t="n">
        <v>2136</v>
      </c>
      <c r="E456">
        <f>IFERROR(VLOOKUP(B456,Crosswalk!$A$2:$C$125,3,FALSE),"Unmapped")</f>
        <v/>
      </c>
    </row>
    <row r="457">
      <c r="A457" t="n">
        <v>2013</v>
      </c>
      <c r="B457" t="inlineStr">
        <is>
          <t>BS23A00</t>
        </is>
      </c>
      <c r="C457" t="inlineStr">
        <is>
          <t>Residential building construction</t>
        </is>
      </c>
      <c r="D457" t="n">
        <v>1516</v>
      </c>
      <c r="E457">
        <f>IFERROR(VLOOKUP(B457,Crosswalk!$A$2:$C$125,3,FALSE),"Unmapped")</f>
        <v/>
      </c>
    </row>
    <row r="458">
      <c r="A458" t="n">
        <v>2013</v>
      </c>
      <c r="B458" t="inlineStr">
        <is>
          <t>BS23B00</t>
        </is>
      </c>
      <c r="C458" t="inlineStr">
        <is>
          <t>Non-residential building construction</t>
        </is>
      </c>
      <c r="D458" t="n">
        <v>450</v>
      </c>
      <c r="E458">
        <f>IFERROR(VLOOKUP(B458,Crosswalk!$A$2:$C$125,3,FALSE),"Unmapped")</f>
        <v/>
      </c>
    </row>
    <row r="459">
      <c r="A459" t="n">
        <v>2013</v>
      </c>
      <c r="B459" t="inlineStr">
        <is>
          <t>BS23C10</t>
        </is>
      </c>
      <c r="C459" t="inlineStr">
        <is>
          <t>Transportation engineering construction</t>
        </is>
      </c>
      <c r="D459" t="n">
        <v>1199</v>
      </c>
      <c r="E459">
        <f>IFERROR(VLOOKUP(B459,Crosswalk!$A$2:$C$125,3,FALSE),"Unmapped")</f>
        <v/>
      </c>
    </row>
    <row r="460">
      <c r="A460" t="n">
        <v>2013</v>
      </c>
      <c r="B460" t="inlineStr">
        <is>
          <t>BS23C20</t>
        </is>
      </c>
      <c r="C460" t="inlineStr">
        <is>
          <t>Oil and gas engineering construction</t>
        </is>
      </c>
      <c r="D460" t="n">
        <v>1076</v>
      </c>
      <c r="E460">
        <f>IFERROR(VLOOKUP(B460,Crosswalk!$A$2:$C$125,3,FALSE),"Unmapped")</f>
        <v/>
      </c>
    </row>
    <row r="461">
      <c r="A461" t="n">
        <v>2013</v>
      </c>
      <c r="B461" t="inlineStr">
        <is>
          <t>BS23C30</t>
        </is>
      </c>
      <c r="C461" t="inlineStr">
        <is>
          <t>Electric power engineering construction</t>
        </is>
      </c>
      <c r="D461" t="n">
        <v>711</v>
      </c>
      <c r="E461">
        <f>IFERROR(VLOOKUP(B461,Crosswalk!$A$2:$C$125,3,FALSE),"Unmapped")</f>
        <v/>
      </c>
    </row>
    <row r="462">
      <c r="A462" t="n">
        <v>2013</v>
      </c>
      <c r="B462" t="inlineStr">
        <is>
          <t>BS23C40</t>
        </is>
      </c>
      <c r="C462" t="inlineStr">
        <is>
          <t>Communication engineering construction</t>
        </is>
      </c>
      <c r="D462" t="n">
        <v>116</v>
      </c>
      <c r="E462">
        <f>IFERROR(VLOOKUP(B462,Crosswalk!$A$2:$C$125,3,FALSE),"Unmapped")</f>
        <v/>
      </c>
    </row>
    <row r="463">
      <c r="A463" t="n">
        <v>2013</v>
      </c>
      <c r="B463" t="inlineStr">
        <is>
          <t>BS23C50</t>
        </is>
      </c>
      <c r="C463" t="inlineStr">
        <is>
          <t>Other engineering construction</t>
        </is>
      </c>
      <c r="D463" t="n">
        <v>1104</v>
      </c>
      <c r="E463">
        <f>IFERROR(VLOOKUP(B463,Crosswalk!$A$2:$C$125,3,FALSE),"Unmapped")</f>
        <v/>
      </c>
    </row>
    <row r="464">
      <c r="A464" t="n">
        <v>2013</v>
      </c>
      <c r="B464" t="inlineStr">
        <is>
          <t>BS23D00</t>
        </is>
      </c>
      <c r="C464" t="inlineStr">
        <is>
          <t>Repair construction</t>
        </is>
      </c>
      <c r="D464" t="n">
        <v>508</v>
      </c>
      <c r="E464">
        <f>IFERROR(VLOOKUP(B464,Crosswalk!$A$2:$C$125,3,FALSE),"Unmapped")</f>
        <v/>
      </c>
    </row>
    <row r="465">
      <c r="A465" t="n">
        <v>2013</v>
      </c>
      <c r="B465" t="inlineStr">
        <is>
          <t>BS23E00</t>
        </is>
      </c>
      <c r="C465" t="inlineStr">
        <is>
          <t>Other activities of the construction industry</t>
        </is>
      </c>
      <c r="D465" t="n">
        <v>588</v>
      </c>
      <c r="E465">
        <f>IFERROR(VLOOKUP(B465,Crosswalk!$A$2:$C$125,3,FALSE),"Unmapped")</f>
        <v/>
      </c>
    </row>
    <row r="466">
      <c r="A466" t="n">
        <v>2013</v>
      </c>
      <c r="B466" t="inlineStr">
        <is>
          <t>BS31110</t>
        </is>
      </c>
      <c r="C466" t="inlineStr">
        <is>
          <t>Animal food manufacturing</t>
        </is>
      </c>
      <c r="D466" t="n">
        <v>272</v>
      </c>
      <c r="E466">
        <f>IFERROR(VLOOKUP(B466,Crosswalk!$A$2:$C$125,3,FALSE),"Unmapped")</f>
        <v/>
      </c>
    </row>
    <row r="467">
      <c r="A467" t="n">
        <v>2013</v>
      </c>
      <c r="B467" t="inlineStr">
        <is>
          <t>BS31130</t>
        </is>
      </c>
      <c r="C467" t="inlineStr">
        <is>
          <t>Sugar and confectionery product manufacturing</t>
        </is>
      </c>
      <c r="D467" t="n">
        <v>361</v>
      </c>
      <c r="E467">
        <f>IFERROR(VLOOKUP(B467,Crosswalk!$A$2:$C$125,3,FALSE),"Unmapped")</f>
        <v/>
      </c>
    </row>
    <row r="468">
      <c r="A468" t="n">
        <v>2013</v>
      </c>
      <c r="B468" t="inlineStr">
        <is>
          <t>BS31140</t>
        </is>
      </c>
      <c r="C468" t="inlineStr">
        <is>
          <t>Fruit and vegetable preserving and specialty food manufacturing</t>
        </is>
      </c>
      <c r="D468" t="n">
        <v>624</v>
      </c>
      <c r="E468">
        <f>IFERROR(VLOOKUP(B468,Crosswalk!$A$2:$C$125,3,FALSE),"Unmapped")</f>
        <v/>
      </c>
    </row>
    <row r="469">
      <c r="A469" t="n">
        <v>2013</v>
      </c>
      <c r="B469" t="inlineStr">
        <is>
          <t>BS31150</t>
        </is>
      </c>
      <c r="C469" t="inlineStr">
        <is>
          <t>Dairy product manufacturing</t>
        </is>
      </c>
      <c r="D469" t="n">
        <v>540</v>
      </c>
      <c r="E469">
        <f>IFERROR(VLOOKUP(B469,Crosswalk!$A$2:$C$125,3,FALSE),"Unmapped")</f>
        <v/>
      </c>
    </row>
    <row r="470">
      <c r="A470" t="n">
        <v>2013</v>
      </c>
      <c r="B470" t="inlineStr">
        <is>
          <t>BS31160</t>
        </is>
      </c>
      <c r="C470" t="inlineStr">
        <is>
          <t>Meat product manufacturing</t>
        </is>
      </c>
      <c r="D470" t="n">
        <v>894</v>
      </c>
      <c r="E470">
        <f>IFERROR(VLOOKUP(B470,Crosswalk!$A$2:$C$125,3,FALSE),"Unmapped")</f>
        <v/>
      </c>
    </row>
    <row r="471">
      <c r="A471" t="n">
        <v>2013</v>
      </c>
      <c r="B471" t="inlineStr">
        <is>
          <t>BS31170</t>
        </is>
      </c>
      <c r="C471" t="inlineStr">
        <is>
          <t>Seafood product preparation and packaging</t>
        </is>
      </c>
      <c r="D471" t="n">
        <v>180</v>
      </c>
      <c r="E471">
        <f>IFERROR(VLOOKUP(B471,Crosswalk!$A$2:$C$125,3,FALSE),"Unmapped")</f>
        <v/>
      </c>
    </row>
    <row r="472">
      <c r="A472" t="n">
        <v>2013</v>
      </c>
      <c r="B472" t="inlineStr">
        <is>
          <t>BS311A0</t>
        </is>
      </c>
      <c r="C472" t="inlineStr">
        <is>
          <t>Miscellaneous food manufacturing</t>
        </is>
      </c>
      <c r="D472" t="n">
        <v>2261</v>
      </c>
      <c r="E472">
        <f>IFERROR(VLOOKUP(B472,Crosswalk!$A$2:$C$125,3,FALSE),"Unmapped")</f>
        <v/>
      </c>
    </row>
    <row r="473">
      <c r="A473" t="n">
        <v>2013</v>
      </c>
      <c r="B473" t="inlineStr">
        <is>
          <t>BS31211</t>
        </is>
      </c>
      <c r="C473" t="inlineStr">
        <is>
          <t>Soft drink and ice manufacturing</t>
        </is>
      </c>
      <c r="D473" t="n">
        <v>171</v>
      </c>
      <c r="E473">
        <f>IFERROR(VLOOKUP(B473,Crosswalk!$A$2:$C$125,3,FALSE),"Unmapped")</f>
        <v/>
      </c>
    </row>
    <row r="474">
      <c r="A474" t="n">
        <v>2013</v>
      </c>
      <c r="B474" t="inlineStr">
        <is>
          <t>BS31212</t>
        </is>
      </c>
      <c r="C474" t="inlineStr">
        <is>
          <t>Breweries</t>
        </is>
      </c>
      <c r="D474" t="n">
        <v>396</v>
      </c>
      <c r="E474">
        <f>IFERROR(VLOOKUP(B474,Crosswalk!$A$2:$C$125,3,FALSE),"Unmapped")</f>
        <v/>
      </c>
    </row>
    <row r="475">
      <c r="A475" t="n">
        <v>2013</v>
      </c>
      <c r="B475" t="inlineStr">
        <is>
          <t>BS3121A</t>
        </is>
      </c>
      <c r="C475" t="inlineStr">
        <is>
          <t>Wineries and distilleries</t>
        </is>
      </c>
      <c r="D475" t="n">
        <v>289</v>
      </c>
      <c r="E475">
        <f>IFERROR(VLOOKUP(B475,Crosswalk!$A$2:$C$125,3,FALSE),"Unmapped")</f>
        <v/>
      </c>
    </row>
    <row r="476">
      <c r="A476" t="n">
        <v>2013</v>
      </c>
      <c r="B476" t="inlineStr">
        <is>
          <t>BS31220</t>
        </is>
      </c>
      <c r="C476" t="inlineStr">
        <is>
          <t>Tobacco manufacturing</t>
        </is>
      </c>
      <c r="D476" t="n">
        <v>18</v>
      </c>
      <c r="E476">
        <f>IFERROR(VLOOKUP(B476,Crosswalk!$A$2:$C$125,3,FALSE),"Unmapped")</f>
        <v/>
      </c>
    </row>
    <row r="477">
      <c r="A477" t="n">
        <v>2013</v>
      </c>
      <c r="B477" t="inlineStr">
        <is>
          <t>BS31A00</t>
        </is>
      </c>
      <c r="C477" t="inlineStr">
        <is>
          <t>Textile and textile product mills</t>
        </is>
      </c>
      <c r="D477" t="n">
        <v>259</v>
      </c>
      <c r="E477">
        <f>IFERROR(VLOOKUP(B477,Crosswalk!$A$2:$C$125,3,FALSE),"Unmapped")</f>
        <v/>
      </c>
    </row>
    <row r="478">
      <c r="A478" t="n">
        <v>2013</v>
      </c>
      <c r="B478" t="inlineStr">
        <is>
          <t>BS31B00</t>
        </is>
      </c>
      <c r="C478" t="inlineStr">
        <is>
          <t>Clothing and leather and allied product manufacturing</t>
        </is>
      </c>
      <c r="D478" t="n">
        <v>82</v>
      </c>
      <c r="E478">
        <f>IFERROR(VLOOKUP(B478,Crosswalk!$A$2:$C$125,3,FALSE),"Unmapped")</f>
        <v/>
      </c>
    </row>
    <row r="479">
      <c r="A479" t="n">
        <v>2013</v>
      </c>
      <c r="B479" t="inlineStr">
        <is>
          <t>BS32100</t>
        </is>
      </c>
      <c r="C479" t="inlineStr">
        <is>
          <t>Wood product manufacturing</t>
        </is>
      </c>
      <c r="D479" t="n">
        <v>10569</v>
      </c>
      <c r="E479">
        <f>IFERROR(VLOOKUP(B479,Crosswalk!$A$2:$C$125,3,FALSE),"Unmapped")</f>
        <v/>
      </c>
    </row>
    <row r="480">
      <c r="A480" t="n">
        <v>2013</v>
      </c>
      <c r="B480" t="inlineStr">
        <is>
          <t>BS32210</t>
        </is>
      </c>
      <c r="C480" t="inlineStr">
        <is>
          <t>Pulp, paper and paperboard mills</t>
        </is>
      </c>
      <c r="D480" t="n">
        <v>41125</v>
      </c>
      <c r="E480">
        <f>IFERROR(VLOOKUP(B480,Crosswalk!$A$2:$C$125,3,FALSE),"Unmapped")</f>
        <v/>
      </c>
    </row>
    <row r="481">
      <c r="A481" t="n">
        <v>2013</v>
      </c>
      <c r="B481" t="inlineStr">
        <is>
          <t>BS32220</t>
        </is>
      </c>
      <c r="C481" t="inlineStr">
        <is>
          <t>Converted paper product manufacturing</t>
        </is>
      </c>
      <c r="D481" t="n">
        <v>605</v>
      </c>
      <c r="E481">
        <f>IFERROR(VLOOKUP(B481,Crosswalk!$A$2:$C$125,3,FALSE),"Unmapped")</f>
        <v/>
      </c>
    </row>
    <row r="482">
      <c r="A482" t="n">
        <v>2013</v>
      </c>
      <c r="B482" t="inlineStr">
        <is>
          <t>BS32300</t>
        </is>
      </c>
      <c r="C482" t="inlineStr">
        <is>
          <t>Printing and related support activities</t>
        </is>
      </c>
      <c r="D482" t="n">
        <v>298</v>
      </c>
      <c r="E482">
        <f>IFERROR(VLOOKUP(B482,Crosswalk!$A$2:$C$125,3,FALSE),"Unmapped")</f>
        <v/>
      </c>
    </row>
    <row r="483">
      <c r="A483" t="n">
        <v>2013</v>
      </c>
      <c r="B483" t="inlineStr">
        <is>
          <t>BS32400</t>
        </is>
      </c>
      <c r="C483" t="inlineStr">
        <is>
          <t>Petroleum and coal product manufacturing</t>
        </is>
      </c>
      <c r="D483" t="n">
        <v>22386</v>
      </c>
      <c r="E483">
        <f>IFERROR(VLOOKUP(B483,Crosswalk!$A$2:$C$125,3,FALSE),"Unmapped")</f>
        <v/>
      </c>
    </row>
    <row r="484">
      <c r="A484" t="n">
        <v>2013</v>
      </c>
      <c r="B484" t="inlineStr">
        <is>
          <t>BS32510</t>
        </is>
      </c>
      <c r="C484" t="inlineStr">
        <is>
          <t>Basic chemical manufacturing</t>
        </is>
      </c>
      <c r="D484" t="n">
        <v>12258</v>
      </c>
      <c r="E484">
        <f>IFERROR(VLOOKUP(B484,Crosswalk!$A$2:$C$125,3,FALSE),"Unmapped")</f>
        <v/>
      </c>
    </row>
    <row r="485">
      <c r="A485" t="n">
        <v>2013</v>
      </c>
      <c r="B485" t="inlineStr">
        <is>
          <t>BS32530</t>
        </is>
      </c>
      <c r="C485" t="inlineStr">
        <is>
          <t>Pesticide, fertilizer and other agricultural chemical manufacturing</t>
        </is>
      </c>
      <c r="D485" t="n">
        <v>6771</v>
      </c>
      <c r="E485">
        <f>IFERROR(VLOOKUP(B485,Crosswalk!$A$2:$C$125,3,FALSE),"Unmapped")</f>
        <v/>
      </c>
    </row>
    <row r="486">
      <c r="A486" t="n">
        <v>2013</v>
      </c>
      <c r="B486" t="inlineStr">
        <is>
          <t>BS32540</t>
        </is>
      </c>
      <c r="C486" t="inlineStr">
        <is>
          <t>Pharmaceutical and medicine manufacturing</t>
        </is>
      </c>
      <c r="D486" t="n">
        <v>189</v>
      </c>
      <c r="E486">
        <f>IFERROR(VLOOKUP(B486,Crosswalk!$A$2:$C$125,3,FALSE),"Unmapped")</f>
        <v/>
      </c>
    </row>
    <row r="487">
      <c r="A487" t="n">
        <v>2013</v>
      </c>
      <c r="B487" t="inlineStr">
        <is>
          <t>BS325C0</t>
        </is>
      </c>
      <c r="C487" t="inlineStr">
        <is>
          <t>Miscellaneous chemical product manufacturing</t>
        </is>
      </c>
      <c r="D487" t="n">
        <v>2219</v>
      </c>
      <c r="E487">
        <f>IFERROR(VLOOKUP(B487,Crosswalk!$A$2:$C$125,3,FALSE),"Unmapped")</f>
        <v/>
      </c>
    </row>
    <row r="488">
      <c r="A488" t="n">
        <v>2013</v>
      </c>
      <c r="B488" t="inlineStr">
        <is>
          <t>BS32610</t>
        </is>
      </c>
      <c r="C488" t="inlineStr">
        <is>
          <t>Plastic product manufacturing</t>
        </is>
      </c>
      <c r="D488" t="n">
        <v>830</v>
      </c>
      <c r="E488">
        <f>IFERROR(VLOOKUP(B488,Crosswalk!$A$2:$C$125,3,FALSE),"Unmapped")</f>
        <v/>
      </c>
    </row>
    <row r="489">
      <c r="A489" t="n">
        <v>2013</v>
      </c>
      <c r="B489" t="inlineStr">
        <is>
          <t>BS32620</t>
        </is>
      </c>
      <c r="C489" t="inlineStr">
        <is>
          <t>Rubber product manufacturing</t>
        </is>
      </c>
      <c r="D489" t="n">
        <v>192</v>
      </c>
      <c r="E489">
        <f>IFERROR(VLOOKUP(B489,Crosswalk!$A$2:$C$125,3,FALSE),"Unmapped")</f>
        <v/>
      </c>
    </row>
    <row r="490">
      <c r="A490" t="n">
        <v>2013</v>
      </c>
      <c r="B490" t="inlineStr">
        <is>
          <t>BS32730</t>
        </is>
      </c>
      <c r="C490" t="inlineStr">
        <is>
          <t>Cement and concrete product manufacturing</t>
        </is>
      </c>
      <c r="D490" t="n">
        <v>9894</v>
      </c>
      <c r="E490">
        <f>IFERROR(VLOOKUP(B490,Crosswalk!$A$2:$C$125,3,FALSE),"Unmapped")</f>
        <v/>
      </c>
    </row>
    <row r="491">
      <c r="A491" t="n">
        <v>2013</v>
      </c>
      <c r="B491" t="inlineStr">
        <is>
          <t>BS327A0</t>
        </is>
      </c>
      <c r="C491" t="inlineStr">
        <is>
          <t>Non-metallic mineral product manufacturing (except cement and concrete products)</t>
        </is>
      </c>
      <c r="D491" t="n">
        <v>2951</v>
      </c>
      <c r="E491">
        <f>IFERROR(VLOOKUP(B491,Crosswalk!$A$2:$C$125,3,FALSE),"Unmapped")</f>
        <v/>
      </c>
    </row>
    <row r="492">
      <c r="A492" t="n">
        <v>2013</v>
      </c>
      <c r="B492" t="inlineStr">
        <is>
          <t>BS33100</t>
        </is>
      </c>
      <c r="C492" t="inlineStr">
        <is>
          <t>Primary metal manufacturing</t>
        </is>
      </c>
      <c r="D492" t="n">
        <v>23584</v>
      </c>
      <c r="E492">
        <f>IFERROR(VLOOKUP(B492,Crosswalk!$A$2:$C$125,3,FALSE),"Unmapped")</f>
        <v/>
      </c>
    </row>
    <row r="493">
      <c r="A493" t="n">
        <v>2013</v>
      </c>
      <c r="B493" t="inlineStr">
        <is>
          <t>BS33200</t>
        </is>
      </c>
      <c r="C493" t="inlineStr">
        <is>
          <t>Fabricated metal product manufacturing</t>
        </is>
      </c>
      <c r="D493" t="n">
        <v>1957</v>
      </c>
      <c r="E493">
        <f>IFERROR(VLOOKUP(B493,Crosswalk!$A$2:$C$125,3,FALSE),"Unmapped")</f>
        <v/>
      </c>
    </row>
    <row r="494">
      <c r="A494" t="n">
        <v>2013</v>
      </c>
      <c r="B494" t="inlineStr">
        <is>
          <t>BS33300</t>
        </is>
      </c>
      <c r="C494" t="inlineStr">
        <is>
          <t>Machinery manufacturing</t>
        </is>
      </c>
      <c r="D494" t="n">
        <v>926</v>
      </c>
      <c r="E494">
        <f>IFERROR(VLOOKUP(B494,Crosswalk!$A$2:$C$125,3,FALSE),"Unmapped")</f>
        <v/>
      </c>
    </row>
    <row r="495">
      <c r="A495" t="n">
        <v>2013</v>
      </c>
      <c r="B495" t="inlineStr">
        <is>
          <t>BS33410</t>
        </is>
      </c>
      <c r="C495" t="inlineStr">
        <is>
          <t>Computer and peripheral equipment manufacturing</t>
        </is>
      </c>
      <c r="D495" t="n">
        <v>10</v>
      </c>
      <c r="E495">
        <f>IFERROR(VLOOKUP(B495,Crosswalk!$A$2:$C$125,3,FALSE),"Unmapped")</f>
        <v/>
      </c>
    </row>
    <row r="496">
      <c r="A496" t="n">
        <v>2013</v>
      </c>
      <c r="B496" t="inlineStr">
        <is>
          <t>BS334B0</t>
        </is>
      </c>
      <c r="C496" t="inlineStr">
        <is>
          <t>Electronic product manufacturing</t>
        </is>
      </c>
      <c r="D496" t="n">
        <v>125</v>
      </c>
      <c r="E496">
        <f>IFERROR(VLOOKUP(B496,Crosswalk!$A$2:$C$125,3,FALSE),"Unmapped")</f>
        <v/>
      </c>
    </row>
    <row r="497">
      <c r="A497" t="n">
        <v>2013</v>
      </c>
      <c r="B497" t="inlineStr">
        <is>
          <t>BS33520</t>
        </is>
      </c>
      <c r="C497" t="inlineStr">
        <is>
          <t>Household appliance manufacturing</t>
        </is>
      </c>
      <c r="D497" t="n">
        <v>26</v>
      </c>
      <c r="E497">
        <f>IFERROR(VLOOKUP(B497,Crosswalk!$A$2:$C$125,3,FALSE),"Unmapped")</f>
        <v/>
      </c>
    </row>
    <row r="498">
      <c r="A498" t="n">
        <v>2013</v>
      </c>
      <c r="B498" t="inlineStr">
        <is>
          <t>BS335A0</t>
        </is>
      </c>
      <c r="C498" t="inlineStr">
        <is>
          <t>Electrical equipment and component manufacturing</t>
        </is>
      </c>
      <c r="D498" t="n">
        <v>192</v>
      </c>
      <c r="E498">
        <f>IFERROR(VLOOKUP(B498,Crosswalk!$A$2:$C$125,3,FALSE),"Unmapped")</f>
        <v/>
      </c>
    </row>
    <row r="499">
      <c r="A499" t="n">
        <v>2013</v>
      </c>
      <c r="B499" t="inlineStr">
        <is>
          <t>BS33610</t>
        </is>
      </c>
      <c r="C499" t="inlineStr">
        <is>
          <t>Motor vehicle manufacturing</t>
        </is>
      </c>
      <c r="D499" t="n">
        <v>663</v>
      </c>
      <c r="E499">
        <f>IFERROR(VLOOKUP(B499,Crosswalk!$A$2:$C$125,3,FALSE),"Unmapped")</f>
        <v/>
      </c>
    </row>
    <row r="500">
      <c r="A500" t="n">
        <v>2013</v>
      </c>
      <c r="B500" t="inlineStr">
        <is>
          <t>BS33620</t>
        </is>
      </c>
      <c r="C500" t="inlineStr">
        <is>
          <t>Motor vehicle body and trailer manufacturing</t>
        </is>
      </c>
      <c r="D500" t="n">
        <v>124</v>
      </c>
      <c r="E500">
        <f>IFERROR(VLOOKUP(B500,Crosswalk!$A$2:$C$125,3,FALSE),"Unmapped")</f>
        <v/>
      </c>
    </row>
    <row r="501">
      <c r="A501" t="n">
        <v>2013</v>
      </c>
      <c r="B501" t="inlineStr">
        <is>
          <t>BS33630</t>
        </is>
      </c>
      <c r="C501" t="inlineStr">
        <is>
          <t>Motor vehicle parts manufacturing</t>
        </is>
      </c>
      <c r="D501" t="n">
        <v>365</v>
      </c>
      <c r="E501">
        <f>IFERROR(VLOOKUP(B501,Crosswalk!$A$2:$C$125,3,FALSE),"Unmapped")</f>
        <v/>
      </c>
    </row>
    <row r="502">
      <c r="A502" t="n">
        <v>2013</v>
      </c>
      <c r="B502" t="inlineStr">
        <is>
          <t>BS33640</t>
        </is>
      </c>
      <c r="C502" t="inlineStr">
        <is>
          <t>Aerospace product and parts manufacturing</t>
        </is>
      </c>
      <c r="D502" t="n">
        <v>272</v>
      </c>
      <c r="E502">
        <f>IFERROR(VLOOKUP(B502,Crosswalk!$A$2:$C$125,3,FALSE),"Unmapped")</f>
        <v/>
      </c>
    </row>
    <row r="503">
      <c r="A503" t="n">
        <v>2013</v>
      </c>
      <c r="B503" t="inlineStr">
        <is>
          <t>BS33650</t>
        </is>
      </c>
      <c r="C503" t="inlineStr">
        <is>
          <t>Railroad rolling stock manufacturing</t>
        </is>
      </c>
      <c r="D503" t="n">
        <v>11</v>
      </c>
      <c r="E503">
        <f>IFERROR(VLOOKUP(B503,Crosswalk!$A$2:$C$125,3,FALSE),"Unmapped")</f>
        <v/>
      </c>
    </row>
    <row r="504">
      <c r="A504" t="n">
        <v>2013</v>
      </c>
      <c r="B504" t="inlineStr">
        <is>
          <t>BS33660</t>
        </is>
      </c>
      <c r="C504" t="inlineStr">
        <is>
          <t>Ship and boat building</t>
        </is>
      </c>
      <c r="D504" t="n">
        <v>21</v>
      </c>
      <c r="E504">
        <f>IFERROR(VLOOKUP(B504,Crosswalk!$A$2:$C$125,3,FALSE),"Unmapped")</f>
        <v/>
      </c>
    </row>
    <row r="505">
      <c r="A505" t="n">
        <v>2013</v>
      </c>
      <c r="B505" t="inlineStr">
        <is>
          <t>BS33690</t>
        </is>
      </c>
      <c r="C505" t="inlineStr">
        <is>
          <t>Other transportation equipment manufacturing</t>
        </is>
      </c>
      <c r="D505" t="n">
        <v>55</v>
      </c>
      <c r="E505">
        <f>IFERROR(VLOOKUP(B505,Crosswalk!$A$2:$C$125,3,FALSE),"Unmapped")</f>
        <v/>
      </c>
    </row>
    <row r="506">
      <c r="A506" t="n">
        <v>2013</v>
      </c>
      <c r="B506" t="inlineStr">
        <is>
          <t>BS33700</t>
        </is>
      </c>
      <c r="C506" t="inlineStr">
        <is>
          <t>Furniture and related product manufacturing</t>
        </is>
      </c>
      <c r="D506" t="n">
        <v>435</v>
      </c>
      <c r="E506">
        <f>IFERROR(VLOOKUP(B506,Crosswalk!$A$2:$C$125,3,FALSE),"Unmapped")</f>
        <v/>
      </c>
    </row>
    <row r="507">
      <c r="A507" t="n">
        <v>2013</v>
      </c>
      <c r="B507" t="inlineStr">
        <is>
          <t>BS33900</t>
        </is>
      </c>
      <c r="C507" t="inlineStr">
        <is>
          <t>Miscellaneous manufacturing</t>
        </is>
      </c>
      <c r="D507" t="n">
        <v>322</v>
      </c>
      <c r="E507">
        <f>IFERROR(VLOOKUP(B507,Crosswalk!$A$2:$C$125,3,FALSE),"Unmapped")</f>
        <v/>
      </c>
    </row>
    <row r="508">
      <c r="A508" t="n">
        <v>2013</v>
      </c>
      <c r="B508" t="inlineStr">
        <is>
          <t>BS41000</t>
        </is>
      </c>
      <c r="C508" t="inlineStr">
        <is>
          <t>Wholesale trade</t>
        </is>
      </c>
      <c r="D508" t="n">
        <v>11600</v>
      </c>
      <c r="E508">
        <f>IFERROR(VLOOKUP(B508,Crosswalk!$A$2:$C$125,3,FALSE),"Unmapped")</f>
        <v/>
      </c>
    </row>
    <row r="509">
      <c r="A509" t="n">
        <v>2013</v>
      </c>
      <c r="B509" t="inlineStr">
        <is>
          <t>BS48100</t>
        </is>
      </c>
      <c r="C509" t="inlineStr">
        <is>
          <t>Air transportation</t>
        </is>
      </c>
      <c r="D509" t="n">
        <v>17437</v>
      </c>
      <c r="E509">
        <f>IFERROR(VLOOKUP(B509,Crosswalk!$A$2:$C$125,3,FALSE),"Unmapped")</f>
        <v/>
      </c>
    </row>
    <row r="510">
      <c r="A510" t="n">
        <v>2013</v>
      </c>
      <c r="B510" t="inlineStr">
        <is>
          <t>BS48200</t>
        </is>
      </c>
      <c r="C510" t="inlineStr">
        <is>
          <t>Rail transportation</t>
        </is>
      </c>
      <c r="D510" t="n">
        <v>5504</v>
      </c>
      <c r="E510">
        <f>IFERROR(VLOOKUP(B510,Crosswalk!$A$2:$C$125,3,FALSE),"Unmapped")</f>
        <v/>
      </c>
    </row>
    <row r="511">
      <c r="A511" t="n">
        <v>2013</v>
      </c>
      <c r="B511" t="inlineStr">
        <is>
          <t>BS48300</t>
        </is>
      </c>
      <c r="C511" t="inlineStr">
        <is>
          <t>Water transportation</t>
        </is>
      </c>
      <c r="D511" t="n">
        <v>4632</v>
      </c>
      <c r="E511">
        <f>IFERROR(VLOOKUP(B511,Crosswalk!$A$2:$C$125,3,FALSE),"Unmapped")</f>
        <v/>
      </c>
    </row>
    <row r="512">
      <c r="A512" t="n">
        <v>2013</v>
      </c>
      <c r="B512" t="inlineStr">
        <is>
          <t>BS48400</t>
        </is>
      </c>
      <c r="C512" t="inlineStr">
        <is>
          <t>Truck transportation</t>
        </is>
      </c>
      <c r="D512" t="n">
        <v>22406</v>
      </c>
      <c r="E512">
        <f>IFERROR(VLOOKUP(B512,Crosswalk!$A$2:$C$125,3,FALSE),"Unmapped")</f>
        <v/>
      </c>
    </row>
    <row r="513">
      <c r="A513" t="n">
        <v>2013</v>
      </c>
      <c r="B513" t="inlineStr">
        <is>
          <t>BS48600</t>
        </is>
      </c>
      <c r="C513" t="inlineStr">
        <is>
          <t>Pipeline transportation</t>
        </is>
      </c>
      <c r="D513" t="n">
        <v>8427</v>
      </c>
      <c r="E513">
        <f>IFERROR(VLOOKUP(B513,Crosswalk!$A$2:$C$125,3,FALSE),"Unmapped")</f>
        <v/>
      </c>
    </row>
    <row r="514">
      <c r="A514" t="n">
        <v>2013</v>
      </c>
      <c r="B514" t="inlineStr">
        <is>
          <t>BS48B00</t>
        </is>
      </c>
      <c r="C514" t="inlineStr">
        <is>
          <t>Transit, ground passenger and scenic and sightseeing transportation, taxi and limousine service and support activities for transportation</t>
        </is>
      </c>
      <c r="D514" t="n">
        <v>4505</v>
      </c>
      <c r="E514">
        <f>IFERROR(VLOOKUP(B514,Crosswalk!$A$2:$C$125,3,FALSE),"Unmapped")</f>
        <v/>
      </c>
    </row>
    <row r="515">
      <c r="A515" t="n">
        <v>2013</v>
      </c>
      <c r="B515" t="inlineStr">
        <is>
          <t>BS49300</t>
        </is>
      </c>
      <c r="C515" t="inlineStr">
        <is>
          <t>Warehousing and storage</t>
        </is>
      </c>
      <c r="D515" t="n">
        <v>235</v>
      </c>
      <c r="E515">
        <f>IFERROR(VLOOKUP(B515,Crosswalk!$A$2:$C$125,3,FALSE),"Unmapped")</f>
        <v/>
      </c>
    </row>
    <row r="516">
      <c r="A516" t="n">
        <v>2013</v>
      </c>
      <c r="B516" t="inlineStr">
        <is>
          <t>BS49A00</t>
        </is>
      </c>
      <c r="C516" t="inlineStr">
        <is>
          <t>Postal service and couriers and messengers</t>
        </is>
      </c>
      <c r="D516" t="n">
        <v>2070</v>
      </c>
      <c r="E516">
        <f>IFERROR(VLOOKUP(B516,Crosswalk!$A$2:$C$125,3,FALSE),"Unmapped")</f>
        <v/>
      </c>
    </row>
    <row r="517">
      <c r="A517" t="n">
        <v>2013</v>
      </c>
      <c r="B517" t="inlineStr">
        <is>
          <t>BS4A000</t>
        </is>
      </c>
      <c r="C517" t="inlineStr">
        <is>
          <t>Retail trade</t>
        </is>
      </c>
      <c r="D517" t="n">
        <v>7341</v>
      </c>
      <c r="E517">
        <f>IFERROR(VLOOKUP(B517,Crosswalk!$A$2:$C$125,3,FALSE),"Unmapped")</f>
        <v/>
      </c>
    </row>
    <row r="518">
      <c r="A518" t="n">
        <v>2013</v>
      </c>
      <c r="B518" t="inlineStr">
        <is>
          <t>BS51200</t>
        </is>
      </c>
      <c r="C518" t="inlineStr">
        <is>
          <t>Motion picture and sound recording industries</t>
        </is>
      </c>
      <c r="D518" t="n">
        <v>330</v>
      </c>
      <c r="E518">
        <f>IFERROR(VLOOKUP(B518,Crosswalk!$A$2:$C$125,3,FALSE),"Unmapped")</f>
        <v/>
      </c>
    </row>
    <row r="519">
      <c r="A519" t="n">
        <v>2013</v>
      </c>
      <c r="B519" t="inlineStr">
        <is>
          <t>BS51510</t>
        </is>
      </c>
      <c r="C519" t="inlineStr">
        <is>
          <t>Radio and television broadcasting</t>
        </is>
      </c>
      <c r="D519" t="n">
        <v>27</v>
      </c>
      <c r="E519">
        <f>IFERROR(VLOOKUP(B519,Crosswalk!$A$2:$C$125,3,FALSE),"Unmapped")</f>
        <v/>
      </c>
    </row>
    <row r="520">
      <c r="A520" t="n">
        <v>2013</v>
      </c>
      <c r="B520" t="inlineStr">
        <is>
          <t>BS51B00</t>
        </is>
      </c>
      <c r="C520" t="inlineStr">
        <is>
          <t>Publishing, pay/specialty services, telecommunications and other information services</t>
        </is>
      </c>
      <c r="D520" t="n">
        <v>766</v>
      </c>
      <c r="E520">
        <f>IFERROR(VLOOKUP(B520,Crosswalk!$A$2:$C$125,3,FALSE),"Unmapped")</f>
        <v/>
      </c>
    </row>
    <row r="521">
      <c r="A521" t="n">
        <v>2013</v>
      </c>
      <c r="B521" t="inlineStr">
        <is>
          <t>BS52410</t>
        </is>
      </c>
      <c r="C521" t="inlineStr">
        <is>
          <t>Insurance carriers</t>
        </is>
      </c>
      <c r="D521" t="n">
        <v>175</v>
      </c>
      <c r="E521">
        <f>IFERROR(VLOOKUP(B521,Crosswalk!$A$2:$C$125,3,FALSE),"Unmapped")</f>
        <v/>
      </c>
    </row>
    <row r="522">
      <c r="A522" t="n">
        <v>2013</v>
      </c>
      <c r="B522" t="inlineStr">
        <is>
          <t>BS52B00</t>
        </is>
      </c>
      <c r="C522" t="inlineStr">
        <is>
          <t>Depository credit intermediation and monetary authorities</t>
        </is>
      </c>
      <c r="D522" t="n">
        <v>1314</v>
      </c>
      <c r="E522">
        <f>IFERROR(VLOOKUP(B522,Crosswalk!$A$2:$C$125,3,FALSE),"Unmapped")</f>
        <v/>
      </c>
    </row>
    <row r="523">
      <c r="A523" t="n">
        <v>2013</v>
      </c>
      <c r="B523" t="inlineStr">
        <is>
          <t>BS53110</t>
        </is>
      </c>
      <c r="C523" t="inlineStr">
        <is>
          <t>Lessors of real estate</t>
        </is>
      </c>
      <c r="D523" t="n">
        <v>6666</v>
      </c>
      <c r="E523">
        <f>IFERROR(VLOOKUP(B523,Crosswalk!$A$2:$C$125,3,FALSE),"Unmapped")</f>
        <v/>
      </c>
    </row>
    <row r="524">
      <c r="A524" t="n">
        <v>2013</v>
      </c>
      <c r="B524" t="inlineStr">
        <is>
          <t>BS5311A</t>
        </is>
      </c>
      <c r="C524" t="inlineStr">
        <is>
          <t>Owner-occupied dwellings</t>
        </is>
      </c>
      <c r="D524" t="n">
        <v>0</v>
      </c>
      <c r="E524">
        <f>IFERROR(VLOOKUP(B524,Crosswalk!$A$2:$C$125,3,FALSE),"Unmapped")</f>
        <v/>
      </c>
    </row>
    <row r="525">
      <c r="A525" t="n">
        <v>2013</v>
      </c>
      <c r="B525" t="inlineStr">
        <is>
          <t>BS53B00</t>
        </is>
      </c>
      <c r="C525" t="inlineStr">
        <is>
          <t>Rental and leasing services and lessors of non-financial intangible assets (except copyrighted works)</t>
        </is>
      </c>
      <c r="D525" t="n">
        <v>2459</v>
      </c>
      <c r="E525">
        <f>IFERROR(VLOOKUP(B525,Crosswalk!$A$2:$C$125,3,FALSE),"Unmapped")</f>
        <v/>
      </c>
    </row>
    <row r="526">
      <c r="A526" t="n">
        <v>2013</v>
      </c>
      <c r="B526" t="inlineStr">
        <is>
          <t>BS54180</t>
        </is>
      </c>
      <c r="C526" t="inlineStr">
        <is>
          <t>Advertising, public relations and related services</t>
        </is>
      </c>
      <c r="D526" t="n">
        <v>146</v>
      </c>
      <c r="E526">
        <f>IFERROR(VLOOKUP(B526,Crosswalk!$A$2:$C$125,3,FALSE),"Unmapped")</f>
        <v/>
      </c>
    </row>
    <row r="527">
      <c r="A527" t="n">
        <v>2013</v>
      </c>
      <c r="B527" t="inlineStr">
        <is>
          <t>BS541C0</t>
        </is>
      </c>
      <c r="C527" t="inlineStr">
        <is>
          <t>Legal, accounting and architectural, engineering and related services</t>
        </is>
      </c>
      <c r="D527" t="n">
        <v>1013</v>
      </c>
      <c r="E527">
        <f>IFERROR(VLOOKUP(B527,Crosswalk!$A$2:$C$125,3,FALSE),"Unmapped")</f>
        <v/>
      </c>
    </row>
    <row r="528">
      <c r="A528" t="n">
        <v>2013</v>
      </c>
      <c r="B528" t="inlineStr">
        <is>
          <t>BS541D0</t>
        </is>
      </c>
      <c r="C528" t="inlineStr">
        <is>
          <t>Computer systems design and other professional, scientific and technical services</t>
        </is>
      </c>
      <c r="D528" t="n">
        <v>797</v>
      </c>
      <c r="E528">
        <f>IFERROR(VLOOKUP(B528,Crosswalk!$A$2:$C$125,3,FALSE),"Unmapped")</f>
        <v/>
      </c>
    </row>
    <row r="529">
      <c r="A529" t="n">
        <v>2013</v>
      </c>
      <c r="B529" t="inlineStr">
        <is>
          <t>BS56100</t>
        </is>
      </c>
      <c r="C529" t="inlineStr">
        <is>
          <t>Administrative and support services</t>
        </is>
      </c>
      <c r="D529" t="n">
        <v>1967</v>
      </c>
      <c r="E529">
        <f>IFERROR(VLOOKUP(B529,Crosswalk!$A$2:$C$125,3,FALSE),"Unmapped")</f>
        <v/>
      </c>
    </row>
    <row r="530">
      <c r="A530" t="n">
        <v>2013</v>
      </c>
      <c r="B530" t="inlineStr">
        <is>
          <t>BS56200</t>
        </is>
      </c>
      <c r="C530" t="inlineStr">
        <is>
          <t>Waste management and remediation services</t>
        </is>
      </c>
      <c r="D530" t="n">
        <v>2138</v>
      </c>
      <c r="E530">
        <f>IFERROR(VLOOKUP(B530,Crosswalk!$A$2:$C$125,3,FALSE),"Unmapped")</f>
        <v/>
      </c>
    </row>
    <row r="531">
      <c r="A531" t="n">
        <v>2013</v>
      </c>
      <c r="B531" t="inlineStr">
        <is>
          <t>BS5A000</t>
        </is>
      </c>
      <c r="C531" t="inlineStr">
        <is>
          <t>Other finance, insurance and real estate services and management of companies and enterprises</t>
        </is>
      </c>
      <c r="D531" t="n">
        <v>3621</v>
      </c>
      <c r="E531">
        <f>IFERROR(VLOOKUP(B531,Crosswalk!$A$2:$C$125,3,FALSE),"Unmapped")</f>
        <v/>
      </c>
    </row>
    <row r="532">
      <c r="A532" t="n">
        <v>2013</v>
      </c>
      <c r="B532" t="inlineStr">
        <is>
          <t>BS61000</t>
        </is>
      </c>
      <c r="C532" t="inlineStr">
        <is>
          <t>Educational services</t>
        </is>
      </c>
      <c r="D532" t="n">
        <v>222</v>
      </c>
      <c r="E532">
        <f>IFERROR(VLOOKUP(B532,Crosswalk!$A$2:$C$125,3,FALSE),"Unmapped")</f>
        <v/>
      </c>
    </row>
    <row r="533">
      <c r="A533" t="n">
        <v>2013</v>
      </c>
      <c r="B533" t="inlineStr">
        <is>
          <t>BS62000</t>
        </is>
      </c>
      <c r="C533" t="inlineStr">
        <is>
          <t>Health care and social assistance</t>
        </is>
      </c>
      <c r="D533" t="n">
        <v>2110</v>
      </c>
      <c r="E533">
        <f>IFERROR(VLOOKUP(B533,Crosswalk!$A$2:$C$125,3,FALSE),"Unmapped")</f>
        <v/>
      </c>
    </row>
    <row r="534">
      <c r="A534" t="n">
        <v>2013</v>
      </c>
      <c r="B534" t="inlineStr">
        <is>
          <t>BS71000</t>
        </is>
      </c>
      <c r="C534" t="inlineStr">
        <is>
          <t>Arts, entertainment and recreation</t>
        </is>
      </c>
      <c r="D534" t="n">
        <v>253</v>
      </c>
      <c r="E534">
        <f>IFERROR(VLOOKUP(B534,Crosswalk!$A$2:$C$125,3,FALSE),"Unmapped")</f>
        <v/>
      </c>
    </row>
    <row r="535">
      <c r="A535" t="n">
        <v>2013</v>
      </c>
      <c r="B535" t="inlineStr">
        <is>
          <t>BS72000</t>
        </is>
      </c>
      <c r="C535" t="inlineStr">
        <is>
          <t>Accommodation and food services</t>
        </is>
      </c>
      <c r="D535" t="n">
        <v>1658</v>
      </c>
      <c r="E535">
        <f>IFERROR(VLOOKUP(B535,Crosswalk!$A$2:$C$125,3,FALSE),"Unmapped")</f>
        <v/>
      </c>
    </row>
    <row r="536">
      <c r="A536" t="n">
        <v>2013</v>
      </c>
      <c r="B536" t="inlineStr">
        <is>
          <t>BS81100</t>
        </is>
      </c>
      <c r="C536" t="inlineStr">
        <is>
          <t>Repair and maintenance</t>
        </is>
      </c>
      <c r="D536" t="n">
        <v>2092</v>
      </c>
      <c r="E536">
        <f>IFERROR(VLOOKUP(B536,Crosswalk!$A$2:$C$125,3,FALSE),"Unmapped")</f>
        <v/>
      </c>
    </row>
    <row r="537">
      <c r="A537" t="n">
        <v>2013</v>
      </c>
      <c r="B537" t="inlineStr">
        <is>
          <t>BS81300</t>
        </is>
      </c>
      <c r="C537" t="inlineStr">
        <is>
          <t>Professional and similar organisations</t>
        </is>
      </c>
      <c r="D537" t="n">
        <v>19</v>
      </c>
      <c r="E537">
        <f>IFERROR(VLOOKUP(B537,Crosswalk!$A$2:$C$125,3,FALSE),"Unmapped")</f>
        <v/>
      </c>
    </row>
    <row r="538">
      <c r="A538" t="n">
        <v>2013</v>
      </c>
      <c r="B538" t="inlineStr">
        <is>
          <t>BS81A00</t>
        </is>
      </c>
      <c r="C538" t="inlineStr">
        <is>
          <t>Personal services and private households</t>
        </is>
      </c>
      <c r="D538" t="n">
        <v>511</v>
      </c>
      <c r="E538">
        <f>IFERROR(VLOOKUP(B538,Crosswalk!$A$2:$C$125,3,FALSE),"Unmapped")</f>
        <v/>
      </c>
    </row>
    <row r="539">
      <c r="A539" t="n">
        <v>2013</v>
      </c>
      <c r="B539" t="inlineStr">
        <is>
          <t>FC11000</t>
        </is>
      </c>
      <c r="C539" t="inlineStr">
        <is>
          <t>Repair and maintenance</t>
        </is>
      </c>
      <c r="D539" t="n">
        <v>0</v>
      </c>
      <c r="E539">
        <f>IFERROR(VLOOKUP(B539,Crosswalk!$A$2:$C$125,3,FALSE),"Unmapped")</f>
        <v/>
      </c>
    </row>
    <row r="540">
      <c r="A540" t="n">
        <v>2013</v>
      </c>
      <c r="B540" t="inlineStr">
        <is>
          <t>FC12000</t>
        </is>
      </c>
      <c r="C540" t="inlineStr">
        <is>
          <t>Operating supplies</t>
        </is>
      </c>
      <c r="D540" t="n">
        <v>0</v>
      </c>
      <c r="E540">
        <f>IFERROR(VLOOKUP(B540,Crosswalk!$A$2:$C$125,3,FALSE),"Unmapped")</f>
        <v/>
      </c>
    </row>
    <row r="541">
      <c r="A541" t="n">
        <v>2013</v>
      </c>
      <c r="B541" t="inlineStr">
        <is>
          <t>FC13000</t>
        </is>
      </c>
      <c r="C541" t="inlineStr">
        <is>
          <t>Office supplies</t>
        </is>
      </c>
      <c r="D541" t="n">
        <v>0</v>
      </c>
      <c r="E541">
        <f>IFERROR(VLOOKUP(B541,Crosswalk!$A$2:$C$125,3,FALSE),"Unmapped")</f>
        <v/>
      </c>
    </row>
    <row r="542">
      <c r="A542" t="n">
        <v>2013</v>
      </c>
      <c r="B542" t="inlineStr">
        <is>
          <t>FC20000</t>
        </is>
      </c>
      <c r="C542" t="inlineStr">
        <is>
          <t>Advertising, promotion, meals, entertainment, and travel</t>
        </is>
      </c>
      <c r="D542" t="n">
        <v>0</v>
      </c>
      <c r="E542">
        <f>IFERROR(VLOOKUP(B542,Crosswalk!$A$2:$C$125,3,FALSE),"Unmapped")</f>
        <v/>
      </c>
    </row>
    <row r="543">
      <c r="A543" t="n">
        <v>2013</v>
      </c>
      <c r="B543" t="inlineStr">
        <is>
          <t>FC30000</t>
        </is>
      </c>
      <c r="C543" t="inlineStr">
        <is>
          <t>Transportation margins</t>
        </is>
      </c>
      <c r="D543" t="n">
        <v>0</v>
      </c>
      <c r="E543">
        <f>IFERROR(VLOOKUP(B543,Crosswalk!$A$2:$C$125,3,FALSE),"Unmapped")</f>
        <v/>
      </c>
    </row>
    <row r="544">
      <c r="A544" t="n">
        <v>2013</v>
      </c>
      <c r="B544" t="inlineStr">
        <is>
          <t>GS61130</t>
        </is>
      </c>
      <c r="C544" t="inlineStr">
        <is>
          <t>Universities</t>
        </is>
      </c>
      <c r="D544" t="n">
        <v>2212</v>
      </c>
      <c r="E544">
        <f>IFERROR(VLOOKUP(B544,Crosswalk!$A$2:$C$125,3,FALSE),"Unmapped")</f>
        <v/>
      </c>
    </row>
    <row r="545">
      <c r="A545" t="n">
        <v>2013</v>
      </c>
      <c r="B545" t="inlineStr">
        <is>
          <t>GS611B0</t>
        </is>
      </c>
      <c r="C545" t="inlineStr">
        <is>
          <t>Educational services (except universities)</t>
        </is>
      </c>
      <c r="D545" t="n">
        <v>2121</v>
      </c>
      <c r="E545">
        <f>IFERROR(VLOOKUP(B545,Crosswalk!$A$2:$C$125,3,FALSE),"Unmapped")</f>
        <v/>
      </c>
    </row>
    <row r="546">
      <c r="A546" t="n">
        <v>2013</v>
      </c>
      <c r="B546" t="inlineStr">
        <is>
          <t>GS62200</t>
        </is>
      </c>
      <c r="C546" t="inlineStr">
        <is>
          <t>Hospitals</t>
        </is>
      </c>
      <c r="D546" t="n">
        <v>1252</v>
      </c>
      <c r="E546">
        <f>IFERROR(VLOOKUP(B546,Crosswalk!$A$2:$C$125,3,FALSE),"Unmapped")</f>
        <v/>
      </c>
    </row>
    <row r="547">
      <c r="A547" t="n">
        <v>2013</v>
      </c>
      <c r="B547" t="inlineStr">
        <is>
          <t>GS62300</t>
        </is>
      </c>
      <c r="C547" t="inlineStr">
        <is>
          <t>Nursing and residential care facilities</t>
        </is>
      </c>
      <c r="D547" t="n">
        <v>131</v>
      </c>
      <c r="E547">
        <f>IFERROR(VLOOKUP(B547,Crosswalk!$A$2:$C$125,3,FALSE),"Unmapped")</f>
        <v/>
      </c>
    </row>
    <row r="548">
      <c r="A548" t="n">
        <v>2013</v>
      </c>
      <c r="B548" t="inlineStr">
        <is>
          <t>GS91100</t>
        </is>
      </c>
      <c r="C548" t="inlineStr">
        <is>
          <t>Other federal government services</t>
        </is>
      </c>
      <c r="D548" t="n">
        <v>1815</v>
      </c>
      <c r="E548">
        <f>IFERROR(VLOOKUP(B548,Crosswalk!$A$2:$C$125,3,FALSE),"Unmapped")</f>
        <v/>
      </c>
    </row>
    <row r="549">
      <c r="A549" t="n">
        <v>2013</v>
      </c>
      <c r="B549" t="inlineStr">
        <is>
          <t>GS91200</t>
        </is>
      </c>
      <c r="C549" t="inlineStr">
        <is>
          <t>Other provincial and territorial government services</t>
        </is>
      </c>
      <c r="D549" t="n">
        <v>1041</v>
      </c>
      <c r="E549">
        <f>IFERROR(VLOOKUP(B549,Crosswalk!$A$2:$C$125,3,FALSE),"Unmapped")</f>
        <v/>
      </c>
    </row>
    <row r="550">
      <c r="A550" t="n">
        <v>2013</v>
      </c>
      <c r="B550" t="inlineStr">
        <is>
          <t>GS91300</t>
        </is>
      </c>
      <c r="C550" t="inlineStr">
        <is>
          <t>Other municipal government services</t>
        </is>
      </c>
      <c r="D550" t="n">
        <v>6536</v>
      </c>
      <c r="E550">
        <f>IFERROR(VLOOKUP(B550,Crosswalk!$A$2:$C$125,3,FALSE),"Unmapped")</f>
        <v/>
      </c>
    </row>
    <row r="551">
      <c r="A551" t="n">
        <v>2013</v>
      </c>
      <c r="B551" t="inlineStr">
        <is>
          <t>GS91400</t>
        </is>
      </c>
      <c r="C551" t="inlineStr">
        <is>
          <t>Other Indigenous government services</t>
        </is>
      </c>
      <c r="D551" t="n">
        <v>202</v>
      </c>
      <c r="E551">
        <f>IFERROR(VLOOKUP(B551,Crosswalk!$A$2:$C$125,3,FALSE),"Unmapped")</f>
        <v/>
      </c>
    </row>
    <row r="552">
      <c r="A552" t="n">
        <v>2013</v>
      </c>
      <c r="B552" t="inlineStr">
        <is>
          <t>NP61000</t>
        </is>
      </c>
      <c r="C552" t="inlineStr">
        <is>
          <t>Non-profit education services</t>
        </is>
      </c>
      <c r="D552" t="n">
        <v>507</v>
      </c>
      <c r="E552">
        <f>IFERROR(VLOOKUP(B552,Crosswalk!$A$2:$C$125,3,FALSE),"Unmapped")</f>
        <v/>
      </c>
    </row>
    <row r="553">
      <c r="A553" t="n">
        <v>2013</v>
      </c>
      <c r="B553" t="inlineStr">
        <is>
          <t>NP62400</t>
        </is>
      </c>
      <c r="C553" t="inlineStr">
        <is>
          <t>Non-profit social assistance</t>
        </is>
      </c>
      <c r="D553" t="n">
        <v>266</v>
      </c>
      <c r="E553">
        <f>IFERROR(VLOOKUP(B553,Crosswalk!$A$2:$C$125,3,FALSE),"Unmapped")</f>
        <v/>
      </c>
    </row>
    <row r="554">
      <c r="A554" t="n">
        <v>2013</v>
      </c>
      <c r="B554" t="inlineStr">
        <is>
          <t>NP71000</t>
        </is>
      </c>
      <c r="C554" t="inlineStr">
        <is>
          <t>Non-profit arts, entertainment and recreation</t>
        </is>
      </c>
      <c r="D554" t="n">
        <v>259</v>
      </c>
      <c r="E554">
        <f>IFERROR(VLOOKUP(B554,Crosswalk!$A$2:$C$125,3,FALSE),"Unmapped")</f>
        <v/>
      </c>
    </row>
    <row r="555">
      <c r="A555" t="n">
        <v>2013</v>
      </c>
      <c r="B555" t="inlineStr">
        <is>
          <t>NP81310</t>
        </is>
      </c>
      <c r="C555" t="inlineStr">
        <is>
          <t>Religious organizations</t>
        </is>
      </c>
      <c r="D555" t="n">
        <v>964</v>
      </c>
      <c r="E555">
        <f>IFERROR(VLOOKUP(B555,Crosswalk!$A$2:$C$125,3,FALSE),"Unmapped")</f>
        <v/>
      </c>
    </row>
    <row r="556">
      <c r="A556" t="n">
        <v>2013</v>
      </c>
      <c r="B556" t="inlineStr">
        <is>
          <t>NPA0000</t>
        </is>
      </c>
      <c r="C556" t="inlineStr">
        <is>
          <t>Miscellaneous non-profit institutions serving households</t>
        </is>
      </c>
      <c r="D556" t="n">
        <v>1140</v>
      </c>
      <c r="E556">
        <f>IFERROR(VLOOKUP(B556,Crosswalk!$A$2:$C$125,3,FALSE),"Unmapped")</f>
        <v/>
      </c>
    </row>
    <row r="557">
      <c r="A557" t="n">
        <v>2014</v>
      </c>
      <c r="B557" t="inlineStr">
        <is>
          <t>BS111CL</t>
        </is>
      </c>
      <c r="C557" t="inlineStr">
        <is>
          <t>Cannabis production (licensed)</t>
        </is>
      </c>
      <c r="D557" t="n">
        <v>8</v>
      </c>
      <c r="E557">
        <f>IFERROR(VLOOKUP(B557,Crosswalk!$A$2:$C$125,3,FALSE),"Unmapped")</f>
        <v/>
      </c>
    </row>
    <row r="558">
      <c r="A558" t="n">
        <v>2014</v>
      </c>
      <c r="B558" t="inlineStr">
        <is>
          <t>BS111CU</t>
        </is>
      </c>
      <c r="C558" t="inlineStr">
        <is>
          <t>Cannabis production (unlicensed)</t>
        </is>
      </c>
      <c r="D558" t="n">
        <v>200</v>
      </c>
      <c r="E558">
        <f>IFERROR(VLOOKUP(B558,Crosswalk!$A$2:$C$125,3,FALSE),"Unmapped")</f>
        <v/>
      </c>
    </row>
    <row r="559">
      <c r="A559" t="n">
        <v>2014</v>
      </c>
      <c r="B559" t="inlineStr">
        <is>
          <t>BS11300</t>
        </is>
      </c>
      <c r="C559" t="inlineStr">
        <is>
          <t>Forestry and logging</t>
        </is>
      </c>
      <c r="D559" t="n">
        <v>7421</v>
      </c>
      <c r="E559">
        <f>IFERROR(VLOOKUP(B559,Crosswalk!$A$2:$C$125,3,FALSE),"Unmapped")</f>
        <v/>
      </c>
    </row>
    <row r="560">
      <c r="A560" t="n">
        <v>2014</v>
      </c>
      <c r="B560" t="inlineStr">
        <is>
          <t>BS11400</t>
        </is>
      </c>
      <c r="C560" t="inlineStr">
        <is>
          <t>Fishing, hunting and trapping</t>
        </is>
      </c>
      <c r="D560" t="n">
        <v>650</v>
      </c>
      <c r="E560">
        <f>IFERROR(VLOOKUP(B560,Crosswalk!$A$2:$C$125,3,FALSE),"Unmapped")</f>
        <v/>
      </c>
    </row>
    <row r="561">
      <c r="A561" t="n">
        <v>2014</v>
      </c>
      <c r="B561" t="inlineStr">
        <is>
          <t>BS11500</t>
        </is>
      </c>
      <c r="C561" t="inlineStr">
        <is>
          <t>Support activities for agriculture and forestry</t>
        </is>
      </c>
      <c r="D561" t="n">
        <v>639</v>
      </c>
      <c r="E561">
        <f>IFERROR(VLOOKUP(B561,Crosswalk!$A$2:$C$125,3,FALSE),"Unmapped")</f>
        <v/>
      </c>
    </row>
    <row r="562">
      <c r="A562" t="n">
        <v>2014</v>
      </c>
      <c r="B562" t="inlineStr">
        <is>
          <t>BS11B00</t>
        </is>
      </c>
      <c r="C562" t="inlineStr">
        <is>
          <t>Crop and animal production (except cannabis)</t>
        </is>
      </c>
      <c r="D562" t="n">
        <v>68863</v>
      </c>
      <c r="E562">
        <f>IFERROR(VLOOKUP(B562,Crosswalk!$A$2:$C$125,3,FALSE),"Unmapped")</f>
        <v/>
      </c>
    </row>
    <row r="563">
      <c r="A563" t="n">
        <v>2014</v>
      </c>
      <c r="B563" t="inlineStr">
        <is>
          <t>BS21100</t>
        </is>
      </c>
      <c r="C563" t="inlineStr">
        <is>
          <t>Oil and gas extraction</t>
        </is>
      </c>
      <c r="D563" t="n">
        <v>201107</v>
      </c>
      <c r="E563">
        <f>IFERROR(VLOOKUP(B563,Crosswalk!$A$2:$C$125,3,FALSE),"Unmapped")</f>
        <v/>
      </c>
    </row>
    <row r="564">
      <c r="A564" t="n">
        <v>2014</v>
      </c>
      <c r="B564" t="inlineStr">
        <is>
          <t>BS21210</t>
        </is>
      </c>
      <c r="C564" t="inlineStr">
        <is>
          <t>Coal mining</t>
        </is>
      </c>
      <c r="D564" t="n">
        <v>2546</v>
      </c>
      <c r="E564">
        <f>IFERROR(VLOOKUP(B564,Crosswalk!$A$2:$C$125,3,FALSE),"Unmapped")</f>
        <v/>
      </c>
    </row>
    <row r="565">
      <c r="A565" t="n">
        <v>2014</v>
      </c>
      <c r="B565" t="inlineStr">
        <is>
          <t>BS21220</t>
        </is>
      </c>
      <c r="C565" t="inlineStr">
        <is>
          <t>Metal ore mining</t>
        </is>
      </c>
      <c r="D565" t="n">
        <v>4589</v>
      </c>
      <c r="E565">
        <f>IFERROR(VLOOKUP(B565,Crosswalk!$A$2:$C$125,3,FALSE),"Unmapped")</f>
        <v/>
      </c>
    </row>
    <row r="566">
      <c r="A566" t="n">
        <v>2014</v>
      </c>
      <c r="B566" t="inlineStr">
        <is>
          <t>BS21230</t>
        </is>
      </c>
      <c r="C566" t="inlineStr">
        <is>
          <t>Non-metallic mineral mining and quarrying</t>
        </is>
      </c>
      <c r="D566" t="n">
        <v>2528</v>
      </c>
      <c r="E566">
        <f>IFERROR(VLOOKUP(B566,Crosswalk!$A$2:$C$125,3,FALSE),"Unmapped")</f>
        <v/>
      </c>
    </row>
    <row r="567">
      <c r="A567" t="n">
        <v>2014</v>
      </c>
      <c r="B567" t="inlineStr">
        <is>
          <t>BS21300</t>
        </is>
      </c>
      <c r="C567" t="inlineStr">
        <is>
          <t>Support activities for mining and oil and gas extraction</t>
        </is>
      </c>
      <c r="D567" t="n">
        <v>7266</v>
      </c>
      <c r="E567">
        <f>IFERROR(VLOOKUP(B567,Crosswalk!$A$2:$C$125,3,FALSE),"Unmapped")</f>
        <v/>
      </c>
    </row>
    <row r="568">
      <c r="A568" t="n">
        <v>2014</v>
      </c>
      <c r="B568" t="inlineStr">
        <is>
          <t>BS22110</t>
        </is>
      </c>
      <c r="C568" t="inlineStr">
        <is>
          <t>Electric power generation, transmission and distribution</t>
        </is>
      </c>
      <c r="D568" t="n">
        <v>85606</v>
      </c>
      <c r="E568">
        <f>IFERROR(VLOOKUP(B568,Crosswalk!$A$2:$C$125,3,FALSE),"Unmapped")</f>
        <v/>
      </c>
    </row>
    <row r="569">
      <c r="A569" t="n">
        <v>2014</v>
      </c>
      <c r="B569" t="inlineStr">
        <is>
          <t>BS221A0</t>
        </is>
      </c>
      <c r="C569" t="inlineStr">
        <is>
          <t>Natural gas distribution, water, sewage and other systems</t>
        </is>
      </c>
      <c r="D569" t="n">
        <v>2064</v>
      </c>
      <c r="E569">
        <f>IFERROR(VLOOKUP(B569,Crosswalk!$A$2:$C$125,3,FALSE),"Unmapped")</f>
        <v/>
      </c>
    </row>
    <row r="570">
      <c r="A570" t="n">
        <v>2014</v>
      </c>
      <c r="B570" t="inlineStr">
        <is>
          <t>BS23A00</t>
        </is>
      </c>
      <c r="C570" t="inlineStr">
        <is>
          <t>Residential building construction</t>
        </is>
      </c>
      <c r="D570" t="n">
        <v>1494</v>
      </c>
      <c r="E570">
        <f>IFERROR(VLOOKUP(B570,Crosswalk!$A$2:$C$125,3,FALSE),"Unmapped")</f>
        <v/>
      </c>
    </row>
    <row r="571">
      <c r="A571" t="n">
        <v>2014</v>
      </c>
      <c r="B571" t="inlineStr">
        <is>
          <t>BS23B00</t>
        </is>
      </c>
      <c r="C571" t="inlineStr">
        <is>
          <t>Non-residential building construction</t>
        </is>
      </c>
      <c r="D571" t="n">
        <v>445</v>
      </c>
      <c r="E571">
        <f>IFERROR(VLOOKUP(B571,Crosswalk!$A$2:$C$125,3,FALSE),"Unmapped")</f>
        <v/>
      </c>
    </row>
    <row r="572">
      <c r="A572" t="n">
        <v>2014</v>
      </c>
      <c r="B572" t="inlineStr">
        <is>
          <t>BS23C10</t>
        </is>
      </c>
      <c r="C572" t="inlineStr">
        <is>
          <t>Transportation engineering construction</t>
        </is>
      </c>
      <c r="D572" t="n">
        <v>930</v>
      </c>
      <c r="E572">
        <f>IFERROR(VLOOKUP(B572,Crosswalk!$A$2:$C$125,3,FALSE),"Unmapped")</f>
        <v/>
      </c>
    </row>
    <row r="573">
      <c r="A573" t="n">
        <v>2014</v>
      </c>
      <c r="B573" t="inlineStr">
        <is>
          <t>BS23C20</t>
        </is>
      </c>
      <c r="C573" t="inlineStr">
        <is>
          <t>Oil and gas engineering construction</t>
        </is>
      </c>
      <c r="D573" t="n">
        <v>1253</v>
      </c>
      <c r="E573">
        <f>IFERROR(VLOOKUP(B573,Crosswalk!$A$2:$C$125,3,FALSE),"Unmapped")</f>
        <v/>
      </c>
    </row>
    <row r="574">
      <c r="A574" t="n">
        <v>2014</v>
      </c>
      <c r="B574" t="inlineStr">
        <is>
          <t>BS23C30</t>
        </is>
      </c>
      <c r="C574" t="inlineStr">
        <is>
          <t>Electric power engineering construction</t>
        </is>
      </c>
      <c r="D574" t="n">
        <v>767</v>
      </c>
      <c r="E574">
        <f>IFERROR(VLOOKUP(B574,Crosswalk!$A$2:$C$125,3,FALSE),"Unmapped")</f>
        <v/>
      </c>
    </row>
    <row r="575">
      <c r="A575" t="n">
        <v>2014</v>
      </c>
      <c r="B575" t="inlineStr">
        <is>
          <t>BS23C40</t>
        </is>
      </c>
      <c r="C575" t="inlineStr">
        <is>
          <t>Communication engineering construction</t>
        </is>
      </c>
      <c r="D575" t="n">
        <v>281</v>
      </c>
      <c r="E575">
        <f>IFERROR(VLOOKUP(B575,Crosswalk!$A$2:$C$125,3,FALSE),"Unmapped")</f>
        <v/>
      </c>
    </row>
    <row r="576">
      <c r="A576" t="n">
        <v>2014</v>
      </c>
      <c r="B576" t="inlineStr">
        <is>
          <t>BS23C50</t>
        </is>
      </c>
      <c r="C576" t="inlineStr">
        <is>
          <t>Other engineering construction</t>
        </is>
      </c>
      <c r="D576" t="n">
        <v>863</v>
      </c>
      <c r="E576">
        <f>IFERROR(VLOOKUP(B576,Crosswalk!$A$2:$C$125,3,FALSE),"Unmapped")</f>
        <v/>
      </c>
    </row>
    <row r="577">
      <c r="A577" t="n">
        <v>2014</v>
      </c>
      <c r="B577" t="inlineStr">
        <is>
          <t>BS23D00</t>
        </is>
      </c>
      <c r="C577" t="inlineStr">
        <is>
          <t>Repair construction</t>
        </is>
      </c>
      <c r="D577" t="n">
        <v>557</v>
      </c>
      <c r="E577">
        <f>IFERROR(VLOOKUP(B577,Crosswalk!$A$2:$C$125,3,FALSE),"Unmapped")</f>
        <v/>
      </c>
    </row>
    <row r="578">
      <c r="A578" t="n">
        <v>2014</v>
      </c>
      <c r="B578" t="inlineStr">
        <is>
          <t>BS23E00</t>
        </is>
      </c>
      <c r="C578" t="inlineStr">
        <is>
          <t>Other activities of the construction industry</t>
        </is>
      </c>
      <c r="D578" t="n">
        <v>579</v>
      </c>
      <c r="E578">
        <f>IFERROR(VLOOKUP(B578,Crosswalk!$A$2:$C$125,3,FALSE),"Unmapped")</f>
        <v/>
      </c>
    </row>
    <row r="579">
      <c r="A579" t="n">
        <v>2014</v>
      </c>
      <c r="B579" t="inlineStr">
        <is>
          <t>BS31110</t>
        </is>
      </c>
      <c r="C579" t="inlineStr">
        <is>
          <t>Animal food manufacturing</t>
        </is>
      </c>
      <c r="D579" t="n">
        <v>457</v>
      </c>
      <c r="E579">
        <f>IFERROR(VLOOKUP(B579,Crosswalk!$A$2:$C$125,3,FALSE),"Unmapped")</f>
        <v/>
      </c>
    </row>
    <row r="580">
      <c r="A580" t="n">
        <v>2014</v>
      </c>
      <c r="B580" t="inlineStr">
        <is>
          <t>BS31130</t>
        </is>
      </c>
      <c r="C580" t="inlineStr">
        <is>
          <t>Sugar and confectionery product manufacturing</t>
        </is>
      </c>
      <c r="D580" t="n">
        <v>427</v>
      </c>
      <c r="E580">
        <f>IFERROR(VLOOKUP(B580,Crosswalk!$A$2:$C$125,3,FALSE),"Unmapped")</f>
        <v/>
      </c>
    </row>
    <row r="581">
      <c r="A581" t="n">
        <v>2014</v>
      </c>
      <c r="B581" t="inlineStr">
        <is>
          <t>BS31140</t>
        </is>
      </c>
      <c r="C581" t="inlineStr">
        <is>
          <t>Fruit and vegetable preserving and specialty food manufacturing</t>
        </is>
      </c>
      <c r="D581" t="n">
        <v>484</v>
      </c>
      <c r="E581">
        <f>IFERROR(VLOOKUP(B581,Crosswalk!$A$2:$C$125,3,FALSE),"Unmapped")</f>
        <v/>
      </c>
    </row>
    <row r="582">
      <c r="A582" t="n">
        <v>2014</v>
      </c>
      <c r="B582" t="inlineStr">
        <is>
          <t>BS31150</t>
        </is>
      </c>
      <c r="C582" t="inlineStr">
        <is>
          <t>Dairy product manufacturing</t>
        </is>
      </c>
      <c r="D582" t="n">
        <v>342</v>
      </c>
      <c r="E582">
        <f>IFERROR(VLOOKUP(B582,Crosswalk!$A$2:$C$125,3,FALSE),"Unmapped")</f>
        <v/>
      </c>
    </row>
    <row r="583">
      <c r="A583" t="n">
        <v>2014</v>
      </c>
      <c r="B583" t="inlineStr">
        <is>
          <t>BS31160</t>
        </is>
      </c>
      <c r="C583" t="inlineStr">
        <is>
          <t>Meat product manufacturing</t>
        </is>
      </c>
      <c r="D583" t="n">
        <v>934</v>
      </c>
      <c r="E583">
        <f>IFERROR(VLOOKUP(B583,Crosswalk!$A$2:$C$125,3,FALSE),"Unmapped")</f>
        <v/>
      </c>
    </row>
    <row r="584">
      <c r="A584" t="n">
        <v>2014</v>
      </c>
      <c r="B584" t="inlineStr">
        <is>
          <t>BS31170</t>
        </is>
      </c>
      <c r="C584" t="inlineStr">
        <is>
          <t>Seafood product preparation and packaging</t>
        </is>
      </c>
      <c r="D584" t="n">
        <v>181</v>
      </c>
      <c r="E584">
        <f>IFERROR(VLOOKUP(B584,Crosswalk!$A$2:$C$125,3,FALSE),"Unmapped")</f>
        <v/>
      </c>
    </row>
    <row r="585">
      <c r="A585" t="n">
        <v>2014</v>
      </c>
      <c r="B585" t="inlineStr">
        <is>
          <t>BS311A0</t>
        </is>
      </c>
      <c r="C585" t="inlineStr">
        <is>
          <t>Miscellaneous food manufacturing</t>
        </is>
      </c>
      <c r="D585" t="n">
        <v>2091</v>
      </c>
      <c r="E585">
        <f>IFERROR(VLOOKUP(B585,Crosswalk!$A$2:$C$125,3,FALSE),"Unmapped")</f>
        <v/>
      </c>
    </row>
    <row r="586">
      <c r="A586" t="n">
        <v>2014</v>
      </c>
      <c r="B586" t="inlineStr">
        <is>
          <t>BS31211</t>
        </is>
      </c>
      <c r="C586" t="inlineStr">
        <is>
          <t>Soft drink and ice manufacturing</t>
        </is>
      </c>
      <c r="D586" t="n">
        <v>186</v>
      </c>
      <c r="E586">
        <f>IFERROR(VLOOKUP(B586,Crosswalk!$A$2:$C$125,3,FALSE),"Unmapped")</f>
        <v/>
      </c>
    </row>
    <row r="587">
      <c r="A587" t="n">
        <v>2014</v>
      </c>
      <c r="B587" t="inlineStr">
        <is>
          <t>BS31212</t>
        </is>
      </c>
      <c r="C587" t="inlineStr">
        <is>
          <t>Breweries</t>
        </is>
      </c>
      <c r="D587" t="n">
        <v>460</v>
      </c>
      <c r="E587">
        <f>IFERROR(VLOOKUP(B587,Crosswalk!$A$2:$C$125,3,FALSE),"Unmapped")</f>
        <v/>
      </c>
    </row>
    <row r="588">
      <c r="A588" t="n">
        <v>2014</v>
      </c>
      <c r="B588" t="inlineStr">
        <is>
          <t>BS3121A</t>
        </is>
      </c>
      <c r="C588" t="inlineStr">
        <is>
          <t>Wineries and distilleries</t>
        </is>
      </c>
      <c r="D588" t="n">
        <v>289</v>
      </c>
      <c r="E588">
        <f>IFERROR(VLOOKUP(B588,Crosswalk!$A$2:$C$125,3,FALSE),"Unmapped")</f>
        <v/>
      </c>
    </row>
    <row r="589">
      <c r="A589" t="n">
        <v>2014</v>
      </c>
      <c r="B589" t="inlineStr">
        <is>
          <t>BS31220</t>
        </is>
      </c>
      <c r="C589" t="inlineStr">
        <is>
          <t>Tobacco manufacturing</t>
        </is>
      </c>
      <c r="D589" t="n">
        <v>23</v>
      </c>
      <c r="E589">
        <f>IFERROR(VLOOKUP(B589,Crosswalk!$A$2:$C$125,3,FALSE),"Unmapped")</f>
        <v/>
      </c>
    </row>
    <row r="590">
      <c r="A590" t="n">
        <v>2014</v>
      </c>
      <c r="B590" t="inlineStr">
        <is>
          <t>BS31A00</t>
        </is>
      </c>
      <c r="C590" t="inlineStr">
        <is>
          <t>Textile and textile product mills</t>
        </is>
      </c>
      <c r="D590" t="n">
        <v>193</v>
      </c>
      <c r="E590">
        <f>IFERROR(VLOOKUP(B590,Crosswalk!$A$2:$C$125,3,FALSE),"Unmapped")</f>
        <v/>
      </c>
    </row>
    <row r="591">
      <c r="A591" t="n">
        <v>2014</v>
      </c>
      <c r="B591" t="inlineStr">
        <is>
          <t>BS31B00</t>
        </is>
      </c>
      <c r="C591" t="inlineStr">
        <is>
          <t>Clothing and leather and allied product manufacturing</t>
        </is>
      </c>
      <c r="D591" t="n">
        <v>46</v>
      </c>
      <c r="E591">
        <f>IFERROR(VLOOKUP(B591,Crosswalk!$A$2:$C$125,3,FALSE),"Unmapped")</f>
        <v/>
      </c>
    </row>
    <row r="592">
      <c r="A592" t="n">
        <v>2014</v>
      </c>
      <c r="B592" t="inlineStr">
        <is>
          <t>BS32100</t>
        </is>
      </c>
      <c r="C592" t="inlineStr">
        <is>
          <t>Wood product manufacturing</t>
        </is>
      </c>
      <c r="D592" t="n">
        <v>10875</v>
      </c>
      <c r="E592">
        <f>IFERROR(VLOOKUP(B592,Crosswalk!$A$2:$C$125,3,FALSE),"Unmapped")</f>
        <v/>
      </c>
    </row>
    <row r="593">
      <c r="A593" t="n">
        <v>2014</v>
      </c>
      <c r="B593" t="inlineStr">
        <is>
          <t>BS32210</t>
        </is>
      </c>
      <c r="C593" t="inlineStr">
        <is>
          <t>Pulp, paper and paperboard mills</t>
        </is>
      </c>
      <c r="D593" t="n">
        <v>42534</v>
      </c>
      <c r="E593">
        <f>IFERROR(VLOOKUP(B593,Crosswalk!$A$2:$C$125,3,FALSE),"Unmapped")</f>
        <v/>
      </c>
    </row>
    <row r="594">
      <c r="A594" t="n">
        <v>2014</v>
      </c>
      <c r="B594" t="inlineStr">
        <is>
          <t>BS32220</t>
        </is>
      </c>
      <c r="C594" t="inlineStr">
        <is>
          <t>Converted paper product manufacturing</t>
        </is>
      </c>
      <c r="D594" t="n">
        <v>613</v>
      </c>
      <c r="E594">
        <f>IFERROR(VLOOKUP(B594,Crosswalk!$A$2:$C$125,3,FALSE),"Unmapped")</f>
        <v/>
      </c>
    </row>
    <row r="595">
      <c r="A595" t="n">
        <v>2014</v>
      </c>
      <c r="B595" t="inlineStr">
        <is>
          <t>BS32300</t>
        </is>
      </c>
      <c r="C595" t="inlineStr">
        <is>
          <t>Printing and related support activities</t>
        </is>
      </c>
      <c r="D595" t="n">
        <v>269</v>
      </c>
      <c r="E595">
        <f>IFERROR(VLOOKUP(B595,Crosswalk!$A$2:$C$125,3,FALSE),"Unmapped")</f>
        <v/>
      </c>
    </row>
    <row r="596">
      <c r="A596" t="n">
        <v>2014</v>
      </c>
      <c r="B596" t="inlineStr">
        <is>
          <t>BS32400</t>
        </is>
      </c>
      <c r="C596" t="inlineStr">
        <is>
          <t>Petroleum and coal product manufacturing</t>
        </is>
      </c>
      <c r="D596" t="n">
        <v>21277</v>
      </c>
      <c r="E596">
        <f>IFERROR(VLOOKUP(B596,Crosswalk!$A$2:$C$125,3,FALSE),"Unmapped")</f>
        <v/>
      </c>
    </row>
    <row r="597">
      <c r="A597" t="n">
        <v>2014</v>
      </c>
      <c r="B597" t="inlineStr">
        <is>
          <t>BS32510</t>
        </is>
      </c>
      <c r="C597" t="inlineStr">
        <is>
          <t>Basic chemical manufacturing</t>
        </is>
      </c>
      <c r="D597" t="n">
        <v>11506</v>
      </c>
      <c r="E597">
        <f>IFERROR(VLOOKUP(B597,Crosswalk!$A$2:$C$125,3,FALSE),"Unmapped")</f>
        <v/>
      </c>
    </row>
    <row r="598">
      <c r="A598" t="n">
        <v>2014</v>
      </c>
      <c r="B598" t="inlineStr">
        <is>
          <t>BS32530</t>
        </is>
      </c>
      <c r="C598" t="inlineStr">
        <is>
          <t>Pesticide, fertilizer and other agricultural chemical manufacturing</t>
        </is>
      </c>
      <c r="D598" t="n">
        <v>6092</v>
      </c>
      <c r="E598">
        <f>IFERROR(VLOOKUP(B598,Crosswalk!$A$2:$C$125,3,FALSE),"Unmapped")</f>
        <v/>
      </c>
    </row>
    <row r="599">
      <c r="A599" t="n">
        <v>2014</v>
      </c>
      <c r="B599" t="inlineStr">
        <is>
          <t>BS32540</t>
        </is>
      </c>
      <c r="C599" t="inlineStr">
        <is>
          <t>Pharmaceutical and medicine manufacturing</t>
        </is>
      </c>
      <c r="D599" t="n">
        <v>258</v>
      </c>
      <c r="E599">
        <f>IFERROR(VLOOKUP(B599,Crosswalk!$A$2:$C$125,3,FALSE),"Unmapped")</f>
        <v/>
      </c>
    </row>
    <row r="600">
      <c r="A600" t="n">
        <v>2014</v>
      </c>
      <c r="B600" t="inlineStr">
        <is>
          <t>BS325C0</t>
        </is>
      </c>
      <c r="C600" t="inlineStr">
        <is>
          <t>Miscellaneous chemical product manufacturing</t>
        </is>
      </c>
      <c r="D600" t="n">
        <v>3037</v>
      </c>
      <c r="E600">
        <f>IFERROR(VLOOKUP(B600,Crosswalk!$A$2:$C$125,3,FALSE),"Unmapped")</f>
        <v/>
      </c>
    </row>
    <row r="601">
      <c r="A601" t="n">
        <v>2014</v>
      </c>
      <c r="B601" t="inlineStr">
        <is>
          <t>BS32610</t>
        </is>
      </c>
      <c r="C601" t="inlineStr">
        <is>
          <t>Plastic product manufacturing</t>
        </is>
      </c>
      <c r="D601" t="n">
        <v>722</v>
      </c>
      <c r="E601">
        <f>IFERROR(VLOOKUP(B601,Crosswalk!$A$2:$C$125,3,FALSE),"Unmapped")</f>
        <v/>
      </c>
    </row>
    <row r="602">
      <c r="A602" t="n">
        <v>2014</v>
      </c>
      <c r="B602" t="inlineStr">
        <is>
          <t>BS32620</t>
        </is>
      </c>
      <c r="C602" t="inlineStr">
        <is>
          <t>Rubber product manufacturing</t>
        </is>
      </c>
      <c r="D602" t="n">
        <v>231</v>
      </c>
      <c r="E602">
        <f>IFERROR(VLOOKUP(B602,Crosswalk!$A$2:$C$125,3,FALSE),"Unmapped")</f>
        <v/>
      </c>
    </row>
    <row r="603">
      <c r="A603" t="n">
        <v>2014</v>
      </c>
      <c r="B603" t="inlineStr">
        <is>
          <t>BS32730</t>
        </is>
      </c>
      <c r="C603" t="inlineStr">
        <is>
          <t>Cement and concrete product manufacturing</t>
        </is>
      </c>
      <c r="D603" t="n">
        <v>10410</v>
      </c>
      <c r="E603">
        <f>IFERROR(VLOOKUP(B603,Crosswalk!$A$2:$C$125,3,FALSE),"Unmapped")</f>
        <v/>
      </c>
    </row>
    <row r="604">
      <c r="A604" t="n">
        <v>2014</v>
      </c>
      <c r="B604" t="inlineStr">
        <is>
          <t>BS327A0</t>
        </is>
      </c>
      <c r="C604" t="inlineStr">
        <is>
          <t>Non-metallic mineral product manufacturing (except cement and concrete products)</t>
        </is>
      </c>
      <c r="D604" t="n">
        <v>3010</v>
      </c>
      <c r="E604">
        <f>IFERROR(VLOOKUP(B604,Crosswalk!$A$2:$C$125,3,FALSE),"Unmapped")</f>
        <v/>
      </c>
    </row>
    <row r="605">
      <c r="A605" t="n">
        <v>2014</v>
      </c>
      <c r="B605" t="inlineStr">
        <is>
          <t>BS33100</t>
        </is>
      </c>
      <c r="C605" t="inlineStr">
        <is>
          <t>Primary metal manufacturing</t>
        </is>
      </c>
      <c r="D605" t="n">
        <v>24948</v>
      </c>
      <c r="E605">
        <f>IFERROR(VLOOKUP(B605,Crosswalk!$A$2:$C$125,3,FALSE),"Unmapped")</f>
        <v/>
      </c>
    </row>
    <row r="606">
      <c r="A606" t="n">
        <v>2014</v>
      </c>
      <c r="B606" t="inlineStr">
        <is>
          <t>BS33200</t>
        </is>
      </c>
      <c r="C606" t="inlineStr">
        <is>
          <t>Fabricated metal product manufacturing</t>
        </is>
      </c>
      <c r="D606" t="n">
        <v>1619</v>
      </c>
      <c r="E606">
        <f>IFERROR(VLOOKUP(B606,Crosswalk!$A$2:$C$125,3,FALSE),"Unmapped")</f>
        <v/>
      </c>
    </row>
    <row r="607">
      <c r="A607" t="n">
        <v>2014</v>
      </c>
      <c r="B607" t="inlineStr">
        <is>
          <t>BS33300</t>
        </is>
      </c>
      <c r="C607" t="inlineStr">
        <is>
          <t>Machinery manufacturing</t>
        </is>
      </c>
      <c r="D607" t="n">
        <v>887</v>
      </c>
      <c r="E607">
        <f>IFERROR(VLOOKUP(B607,Crosswalk!$A$2:$C$125,3,FALSE),"Unmapped")</f>
        <v/>
      </c>
    </row>
    <row r="608">
      <c r="A608" t="n">
        <v>2014</v>
      </c>
      <c r="B608" t="inlineStr">
        <is>
          <t>BS33410</t>
        </is>
      </c>
      <c r="C608" t="inlineStr">
        <is>
          <t>Computer and peripheral equipment manufacturing</t>
        </is>
      </c>
      <c r="D608" t="n">
        <v>15</v>
      </c>
      <c r="E608">
        <f>IFERROR(VLOOKUP(B608,Crosswalk!$A$2:$C$125,3,FALSE),"Unmapped")</f>
        <v/>
      </c>
    </row>
    <row r="609">
      <c r="A609" t="n">
        <v>2014</v>
      </c>
      <c r="B609" t="inlineStr">
        <is>
          <t>BS334B0</t>
        </is>
      </c>
      <c r="C609" t="inlineStr">
        <is>
          <t>Electronic product manufacturing</t>
        </is>
      </c>
      <c r="D609" t="n">
        <v>104</v>
      </c>
      <c r="E609">
        <f>IFERROR(VLOOKUP(B609,Crosswalk!$A$2:$C$125,3,FALSE),"Unmapped")</f>
        <v/>
      </c>
    </row>
    <row r="610">
      <c r="A610" t="n">
        <v>2014</v>
      </c>
      <c r="B610" t="inlineStr">
        <is>
          <t>BS33520</t>
        </is>
      </c>
      <c r="C610" t="inlineStr">
        <is>
          <t>Household appliance manufacturing</t>
        </is>
      </c>
      <c r="D610" t="n">
        <v>14</v>
      </c>
      <c r="E610">
        <f>IFERROR(VLOOKUP(B610,Crosswalk!$A$2:$C$125,3,FALSE),"Unmapped")</f>
        <v/>
      </c>
    </row>
    <row r="611">
      <c r="A611" t="n">
        <v>2014</v>
      </c>
      <c r="B611" t="inlineStr">
        <is>
          <t>BS335A0</t>
        </is>
      </c>
      <c r="C611" t="inlineStr">
        <is>
          <t>Electrical equipment and component manufacturing</t>
        </is>
      </c>
      <c r="D611" t="n">
        <v>169</v>
      </c>
      <c r="E611">
        <f>IFERROR(VLOOKUP(B611,Crosswalk!$A$2:$C$125,3,FALSE),"Unmapped")</f>
        <v/>
      </c>
    </row>
    <row r="612">
      <c r="A612" t="n">
        <v>2014</v>
      </c>
      <c r="B612" t="inlineStr">
        <is>
          <t>BS33610</t>
        </is>
      </c>
      <c r="C612" t="inlineStr">
        <is>
          <t>Motor vehicle manufacturing</t>
        </is>
      </c>
      <c r="D612" t="n">
        <v>683</v>
      </c>
      <c r="E612">
        <f>IFERROR(VLOOKUP(B612,Crosswalk!$A$2:$C$125,3,FALSE),"Unmapped")</f>
        <v/>
      </c>
    </row>
    <row r="613">
      <c r="A613" t="n">
        <v>2014</v>
      </c>
      <c r="B613" t="inlineStr">
        <is>
          <t>BS33620</t>
        </is>
      </c>
      <c r="C613" t="inlineStr">
        <is>
          <t>Motor vehicle body and trailer manufacturing</t>
        </is>
      </c>
      <c r="D613" t="n">
        <v>95</v>
      </c>
      <c r="E613">
        <f>IFERROR(VLOOKUP(B613,Crosswalk!$A$2:$C$125,3,FALSE),"Unmapped")</f>
        <v/>
      </c>
    </row>
    <row r="614">
      <c r="A614" t="n">
        <v>2014</v>
      </c>
      <c r="B614" t="inlineStr">
        <is>
          <t>BS33630</t>
        </is>
      </c>
      <c r="C614" t="inlineStr">
        <is>
          <t>Motor vehicle parts manufacturing</t>
        </is>
      </c>
      <c r="D614" t="n">
        <v>353</v>
      </c>
      <c r="E614">
        <f>IFERROR(VLOOKUP(B614,Crosswalk!$A$2:$C$125,3,FALSE),"Unmapped")</f>
        <v/>
      </c>
    </row>
    <row r="615">
      <c r="A615" t="n">
        <v>2014</v>
      </c>
      <c r="B615" t="inlineStr">
        <is>
          <t>BS33640</t>
        </is>
      </c>
      <c r="C615" t="inlineStr">
        <is>
          <t>Aerospace product and parts manufacturing</t>
        </is>
      </c>
      <c r="D615" t="n">
        <v>315</v>
      </c>
      <c r="E615">
        <f>IFERROR(VLOOKUP(B615,Crosswalk!$A$2:$C$125,3,FALSE),"Unmapped")</f>
        <v/>
      </c>
    </row>
    <row r="616">
      <c r="A616" t="n">
        <v>2014</v>
      </c>
      <c r="B616" t="inlineStr">
        <is>
          <t>BS33650</t>
        </is>
      </c>
      <c r="C616" t="inlineStr">
        <is>
          <t>Railroad rolling stock manufacturing</t>
        </is>
      </c>
      <c r="D616" t="n">
        <v>9</v>
      </c>
      <c r="E616">
        <f>IFERROR(VLOOKUP(B616,Crosswalk!$A$2:$C$125,3,FALSE),"Unmapped")</f>
        <v/>
      </c>
    </row>
    <row r="617">
      <c r="A617" t="n">
        <v>2014</v>
      </c>
      <c r="B617" t="inlineStr">
        <is>
          <t>BS33660</t>
        </is>
      </c>
      <c r="C617" t="inlineStr">
        <is>
          <t>Ship and boat building</t>
        </is>
      </c>
      <c r="D617" t="n">
        <v>24</v>
      </c>
      <c r="E617">
        <f>IFERROR(VLOOKUP(B617,Crosswalk!$A$2:$C$125,3,FALSE),"Unmapped")</f>
        <v/>
      </c>
    </row>
    <row r="618">
      <c r="A618" t="n">
        <v>2014</v>
      </c>
      <c r="B618" t="inlineStr">
        <is>
          <t>BS33690</t>
        </is>
      </c>
      <c r="C618" t="inlineStr">
        <is>
          <t>Other transportation equipment manufacturing</t>
        </is>
      </c>
      <c r="D618" t="n">
        <v>49</v>
      </c>
      <c r="E618">
        <f>IFERROR(VLOOKUP(B618,Crosswalk!$A$2:$C$125,3,FALSE),"Unmapped")</f>
        <v/>
      </c>
    </row>
    <row r="619">
      <c r="A619" t="n">
        <v>2014</v>
      </c>
      <c r="B619" t="inlineStr">
        <is>
          <t>BS33700</t>
        </is>
      </c>
      <c r="C619" t="inlineStr">
        <is>
          <t>Furniture and related product manufacturing</t>
        </is>
      </c>
      <c r="D619" t="n">
        <v>322</v>
      </c>
      <c r="E619">
        <f>IFERROR(VLOOKUP(B619,Crosswalk!$A$2:$C$125,3,FALSE),"Unmapped")</f>
        <v/>
      </c>
    </row>
    <row r="620">
      <c r="A620" t="n">
        <v>2014</v>
      </c>
      <c r="B620" t="inlineStr">
        <is>
          <t>BS33900</t>
        </is>
      </c>
      <c r="C620" t="inlineStr">
        <is>
          <t>Miscellaneous manufacturing</t>
        </is>
      </c>
      <c r="D620" t="n">
        <v>257</v>
      </c>
      <c r="E620">
        <f>IFERROR(VLOOKUP(B620,Crosswalk!$A$2:$C$125,3,FALSE),"Unmapped")</f>
        <v/>
      </c>
    </row>
    <row r="621">
      <c r="A621" t="n">
        <v>2014</v>
      </c>
      <c r="B621" t="inlineStr">
        <is>
          <t>BS41000</t>
        </is>
      </c>
      <c r="C621" t="inlineStr">
        <is>
          <t>Wholesale trade</t>
        </is>
      </c>
      <c r="D621" t="n">
        <v>11095</v>
      </c>
      <c r="E621">
        <f>IFERROR(VLOOKUP(B621,Crosswalk!$A$2:$C$125,3,FALSE),"Unmapped")</f>
        <v/>
      </c>
    </row>
    <row r="622">
      <c r="A622" t="n">
        <v>2014</v>
      </c>
      <c r="B622" t="inlineStr">
        <is>
          <t>BS453BL</t>
        </is>
      </c>
      <c r="C622" t="inlineStr">
        <is>
          <t>Cannabis stores (licensed)</t>
        </is>
      </c>
      <c r="D622" t="n">
        <v>0</v>
      </c>
      <c r="E622">
        <f>IFERROR(VLOOKUP(B622,Crosswalk!$A$2:$C$125,3,FALSE),"Unmapped")</f>
        <v/>
      </c>
    </row>
    <row r="623">
      <c r="A623" t="n">
        <v>2014</v>
      </c>
      <c r="B623" t="inlineStr">
        <is>
          <t>BS453BU</t>
        </is>
      </c>
      <c r="C623" t="inlineStr">
        <is>
          <t>Cannabis stores (unlicensed)</t>
        </is>
      </c>
      <c r="D623" t="n">
        <v>39</v>
      </c>
      <c r="E623">
        <f>IFERROR(VLOOKUP(B623,Crosswalk!$A$2:$C$125,3,FALSE),"Unmapped")</f>
        <v/>
      </c>
    </row>
    <row r="624">
      <c r="A624" t="n">
        <v>2014</v>
      </c>
      <c r="B624" t="inlineStr">
        <is>
          <t>BS48100</t>
        </is>
      </c>
      <c r="C624" t="inlineStr">
        <is>
          <t>Air transportation</t>
        </is>
      </c>
      <c r="D624" t="n">
        <v>18572</v>
      </c>
      <c r="E624">
        <f>IFERROR(VLOOKUP(B624,Crosswalk!$A$2:$C$125,3,FALSE),"Unmapped")</f>
        <v/>
      </c>
    </row>
    <row r="625">
      <c r="A625" t="n">
        <v>2014</v>
      </c>
      <c r="B625" t="inlineStr">
        <is>
          <t>BS48200</t>
        </is>
      </c>
      <c r="C625" t="inlineStr">
        <is>
          <t>Rail transportation</t>
        </is>
      </c>
      <c r="D625" t="n">
        <v>5743</v>
      </c>
      <c r="E625">
        <f>IFERROR(VLOOKUP(B625,Crosswalk!$A$2:$C$125,3,FALSE),"Unmapped")</f>
        <v/>
      </c>
    </row>
    <row r="626">
      <c r="A626" t="n">
        <v>2014</v>
      </c>
      <c r="B626" t="inlineStr">
        <is>
          <t>BS48300</t>
        </is>
      </c>
      <c r="C626" t="inlineStr">
        <is>
          <t>Water transportation</t>
        </is>
      </c>
      <c r="D626" t="n">
        <v>4101</v>
      </c>
      <c r="E626">
        <f>IFERROR(VLOOKUP(B626,Crosswalk!$A$2:$C$125,3,FALSE),"Unmapped")</f>
        <v/>
      </c>
    </row>
    <row r="627">
      <c r="A627" t="n">
        <v>2014</v>
      </c>
      <c r="B627" t="inlineStr">
        <is>
          <t>BS48400</t>
        </is>
      </c>
      <c r="C627" t="inlineStr">
        <is>
          <t>Truck transportation</t>
        </is>
      </c>
      <c r="D627" t="n">
        <v>22734</v>
      </c>
      <c r="E627">
        <f>IFERROR(VLOOKUP(B627,Crosswalk!$A$2:$C$125,3,FALSE),"Unmapped")</f>
        <v/>
      </c>
    </row>
    <row r="628">
      <c r="A628" t="n">
        <v>2014</v>
      </c>
      <c r="B628" t="inlineStr">
        <is>
          <t>BS48600</t>
        </is>
      </c>
      <c r="C628" t="inlineStr">
        <is>
          <t>Pipeline transportation</t>
        </is>
      </c>
      <c r="D628" t="n">
        <v>8923</v>
      </c>
      <c r="E628">
        <f>IFERROR(VLOOKUP(B628,Crosswalk!$A$2:$C$125,3,FALSE),"Unmapped")</f>
        <v/>
      </c>
    </row>
    <row r="629">
      <c r="A629" t="n">
        <v>2014</v>
      </c>
      <c r="B629" t="inlineStr">
        <is>
          <t>BS48B00</t>
        </is>
      </c>
      <c r="C629" t="inlineStr">
        <is>
          <t>Transit, ground passenger and scenic and sightseeing transportation, taxi and limousine service and support activities for transportation</t>
        </is>
      </c>
      <c r="D629" t="n">
        <v>4382</v>
      </c>
      <c r="E629">
        <f>IFERROR(VLOOKUP(B629,Crosswalk!$A$2:$C$125,3,FALSE),"Unmapped")</f>
        <v/>
      </c>
    </row>
    <row r="630">
      <c r="A630" t="n">
        <v>2014</v>
      </c>
      <c r="B630" t="inlineStr">
        <is>
          <t>BS49300</t>
        </is>
      </c>
      <c r="C630" t="inlineStr">
        <is>
          <t>Warehousing and storage</t>
        </is>
      </c>
      <c r="D630" t="n">
        <v>208</v>
      </c>
      <c r="E630">
        <f>IFERROR(VLOOKUP(B630,Crosswalk!$A$2:$C$125,3,FALSE),"Unmapped")</f>
        <v/>
      </c>
    </row>
    <row r="631">
      <c r="A631" t="n">
        <v>2014</v>
      </c>
      <c r="B631" t="inlineStr">
        <is>
          <t>BS49A00</t>
        </is>
      </c>
      <c r="C631" t="inlineStr">
        <is>
          <t>Postal service and couriers and messengers</t>
        </is>
      </c>
      <c r="D631" t="n">
        <v>1775</v>
      </c>
      <c r="E631">
        <f>IFERROR(VLOOKUP(B631,Crosswalk!$A$2:$C$125,3,FALSE),"Unmapped")</f>
        <v/>
      </c>
    </row>
    <row r="632">
      <c r="A632" t="n">
        <v>2014</v>
      </c>
      <c r="B632" t="inlineStr">
        <is>
          <t>BS4AA00</t>
        </is>
      </c>
      <c r="C632" t="inlineStr">
        <is>
          <t>Retail trade (except cannabis)</t>
        </is>
      </c>
      <c r="D632" t="n">
        <v>7646</v>
      </c>
      <c r="E632">
        <f>IFERROR(VLOOKUP(B632,Crosswalk!$A$2:$C$125,3,FALSE),"Unmapped")</f>
        <v/>
      </c>
    </row>
    <row r="633">
      <c r="A633" t="n">
        <v>2014</v>
      </c>
      <c r="B633" t="inlineStr">
        <is>
          <t>BS51200</t>
        </is>
      </c>
      <c r="C633" t="inlineStr">
        <is>
          <t>Motion picture and sound recording industries</t>
        </is>
      </c>
      <c r="D633" t="n">
        <v>326</v>
      </c>
      <c r="E633">
        <f>IFERROR(VLOOKUP(B633,Crosswalk!$A$2:$C$125,3,FALSE),"Unmapped")</f>
        <v/>
      </c>
    </row>
    <row r="634">
      <c r="A634" t="n">
        <v>2014</v>
      </c>
      <c r="B634" t="inlineStr">
        <is>
          <t>BS51510</t>
        </is>
      </c>
      <c r="C634" t="inlineStr">
        <is>
          <t>Radio and television broadcasting</t>
        </is>
      </c>
      <c r="D634" t="n">
        <v>25</v>
      </c>
      <c r="E634">
        <f>IFERROR(VLOOKUP(B634,Crosswalk!$A$2:$C$125,3,FALSE),"Unmapped")</f>
        <v/>
      </c>
    </row>
    <row r="635">
      <c r="A635" t="n">
        <v>2014</v>
      </c>
      <c r="B635" t="inlineStr">
        <is>
          <t>BS51B00</t>
        </is>
      </c>
      <c r="C635" t="inlineStr">
        <is>
          <t>Publishing, pay/specialty services, telecommunications and other information services</t>
        </is>
      </c>
      <c r="D635" t="n">
        <v>769</v>
      </c>
      <c r="E635">
        <f>IFERROR(VLOOKUP(B635,Crosswalk!$A$2:$C$125,3,FALSE),"Unmapped")</f>
        <v/>
      </c>
    </row>
    <row r="636">
      <c r="A636" t="n">
        <v>2014</v>
      </c>
      <c r="B636" t="inlineStr">
        <is>
          <t>BS52410</t>
        </is>
      </c>
      <c r="C636" t="inlineStr">
        <is>
          <t>Insurance carriers</t>
        </is>
      </c>
      <c r="D636" t="n">
        <v>176</v>
      </c>
      <c r="E636">
        <f>IFERROR(VLOOKUP(B636,Crosswalk!$A$2:$C$125,3,FALSE),"Unmapped")</f>
        <v/>
      </c>
    </row>
    <row r="637">
      <c r="A637" t="n">
        <v>2014</v>
      </c>
      <c r="B637" t="inlineStr">
        <is>
          <t>BS52B00</t>
        </is>
      </c>
      <c r="C637" t="inlineStr">
        <is>
          <t>Depository credit intermediation and monetary authorities</t>
        </is>
      </c>
      <c r="D637" t="n">
        <v>1191</v>
      </c>
      <c r="E637">
        <f>IFERROR(VLOOKUP(B637,Crosswalk!$A$2:$C$125,3,FALSE),"Unmapped")</f>
        <v/>
      </c>
    </row>
    <row r="638">
      <c r="A638" t="n">
        <v>2014</v>
      </c>
      <c r="B638" t="inlineStr">
        <is>
          <t>BS53110</t>
        </is>
      </c>
      <c r="C638" t="inlineStr">
        <is>
          <t>Lessors of real estate</t>
        </is>
      </c>
      <c r="D638" t="n">
        <v>6460</v>
      </c>
      <c r="E638">
        <f>IFERROR(VLOOKUP(B638,Crosswalk!$A$2:$C$125,3,FALSE),"Unmapped")</f>
        <v/>
      </c>
    </row>
    <row r="639">
      <c r="A639" t="n">
        <v>2014</v>
      </c>
      <c r="B639" t="inlineStr">
        <is>
          <t>BS5311A</t>
        </is>
      </c>
      <c r="C639" t="inlineStr">
        <is>
          <t>Owner-occupied dwellings</t>
        </is>
      </c>
      <c r="D639" t="n">
        <v>0</v>
      </c>
      <c r="E639">
        <f>IFERROR(VLOOKUP(B639,Crosswalk!$A$2:$C$125,3,FALSE),"Unmapped")</f>
        <v/>
      </c>
    </row>
    <row r="640">
      <c r="A640" t="n">
        <v>2014</v>
      </c>
      <c r="B640" t="inlineStr">
        <is>
          <t>BS53B00</t>
        </is>
      </c>
      <c r="C640" t="inlineStr">
        <is>
          <t>Rental and leasing services and lessors of non-financial intangible assets (except copyrighted works)</t>
        </is>
      </c>
      <c r="D640" t="n">
        <v>2702</v>
      </c>
      <c r="E640">
        <f>IFERROR(VLOOKUP(B640,Crosswalk!$A$2:$C$125,3,FALSE),"Unmapped")</f>
        <v/>
      </c>
    </row>
    <row r="641">
      <c r="A641" t="n">
        <v>2014</v>
      </c>
      <c r="B641" t="inlineStr">
        <is>
          <t>BS54180</t>
        </is>
      </c>
      <c r="C641" t="inlineStr">
        <is>
          <t>Advertising, public relations and related services</t>
        </is>
      </c>
      <c r="D641" t="n">
        <v>189</v>
      </c>
      <c r="E641">
        <f>IFERROR(VLOOKUP(B641,Crosswalk!$A$2:$C$125,3,FALSE),"Unmapped")</f>
        <v/>
      </c>
    </row>
    <row r="642">
      <c r="A642" t="n">
        <v>2014</v>
      </c>
      <c r="B642" t="inlineStr">
        <is>
          <t>BS541C0</t>
        </is>
      </c>
      <c r="C642" t="inlineStr">
        <is>
          <t>Legal, accounting and architectural, engineering and related services</t>
        </is>
      </c>
      <c r="D642" t="n">
        <v>1003</v>
      </c>
      <c r="E642">
        <f>IFERROR(VLOOKUP(B642,Crosswalk!$A$2:$C$125,3,FALSE),"Unmapped")</f>
        <v/>
      </c>
    </row>
    <row r="643">
      <c r="A643" t="n">
        <v>2014</v>
      </c>
      <c r="B643" t="inlineStr">
        <is>
          <t>BS541D0</t>
        </is>
      </c>
      <c r="C643" t="inlineStr">
        <is>
          <t>Computer systems design and other professional, scientific and technical services</t>
        </is>
      </c>
      <c r="D643" t="n">
        <v>791</v>
      </c>
      <c r="E643">
        <f>IFERROR(VLOOKUP(B643,Crosswalk!$A$2:$C$125,3,FALSE),"Unmapped")</f>
        <v/>
      </c>
    </row>
    <row r="644">
      <c r="A644" t="n">
        <v>2014</v>
      </c>
      <c r="B644" t="inlineStr">
        <is>
          <t>BS56100</t>
        </is>
      </c>
      <c r="C644" t="inlineStr">
        <is>
          <t>Administrative and support services</t>
        </is>
      </c>
      <c r="D644" t="n">
        <v>2096</v>
      </c>
      <c r="E644">
        <f>IFERROR(VLOOKUP(B644,Crosswalk!$A$2:$C$125,3,FALSE),"Unmapped")</f>
        <v/>
      </c>
    </row>
    <row r="645">
      <c r="A645" t="n">
        <v>2014</v>
      </c>
      <c r="B645" t="inlineStr">
        <is>
          <t>BS56200</t>
        </is>
      </c>
      <c r="C645" t="inlineStr">
        <is>
          <t>Waste management and remediation services</t>
        </is>
      </c>
      <c r="D645" t="n">
        <v>1177</v>
      </c>
      <c r="E645">
        <f>IFERROR(VLOOKUP(B645,Crosswalk!$A$2:$C$125,3,FALSE),"Unmapped")</f>
        <v/>
      </c>
    </row>
    <row r="646">
      <c r="A646" t="n">
        <v>2014</v>
      </c>
      <c r="B646" t="inlineStr">
        <is>
          <t>BS5A000</t>
        </is>
      </c>
      <c r="C646" t="inlineStr">
        <is>
          <t>Other finance, insurance and real estate services and management of companies and enterprises</t>
        </is>
      </c>
      <c r="D646" t="n">
        <v>3763</v>
      </c>
      <c r="E646">
        <f>IFERROR(VLOOKUP(B646,Crosswalk!$A$2:$C$125,3,FALSE),"Unmapped")</f>
        <v/>
      </c>
    </row>
    <row r="647">
      <c r="A647" t="n">
        <v>2014</v>
      </c>
      <c r="B647" t="inlineStr">
        <is>
          <t>BS61000</t>
        </is>
      </c>
      <c r="C647" t="inlineStr">
        <is>
          <t>Educational services</t>
        </is>
      </c>
      <c r="D647" t="n">
        <v>199</v>
      </c>
      <c r="E647">
        <f>IFERROR(VLOOKUP(B647,Crosswalk!$A$2:$C$125,3,FALSE),"Unmapped")</f>
        <v/>
      </c>
    </row>
    <row r="648">
      <c r="A648" t="n">
        <v>2014</v>
      </c>
      <c r="B648" t="inlineStr">
        <is>
          <t>BS62000</t>
        </is>
      </c>
      <c r="C648" t="inlineStr">
        <is>
          <t>Health care and social assistance</t>
        </is>
      </c>
      <c r="D648" t="n">
        <v>2319</v>
      </c>
      <c r="E648">
        <f>IFERROR(VLOOKUP(B648,Crosswalk!$A$2:$C$125,3,FALSE),"Unmapped")</f>
        <v/>
      </c>
    </row>
    <row r="649">
      <c r="A649" t="n">
        <v>2014</v>
      </c>
      <c r="B649" t="inlineStr">
        <is>
          <t>BS71000</t>
        </is>
      </c>
      <c r="C649" t="inlineStr">
        <is>
          <t>Arts, entertainment and recreation</t>
        </is>
      </c>
      <c r="D649" t="n">
        <v>256</v>
      </c>
      <c r="E649">
        <f>IFERROR(VLOOKUP(B649,Crosswalk!$A$2:$C$125,3,FALSE),"Unmapped")</f>
        <v/>
      </c>
    </row>
    <row r="650">
      <c r="A650" t="n">
        <v>2014</v>
      </c>
      <c r="B650" t="inlineStr">
        <is>
          <t>BS72000</t>
        </is>
      </c>
      <c r="C650" t="inlineStr">
        <is>
          <t>Accommodation and food services</t>
        </is>
      </c>
      <c r="D650" t="n">
        <v>1751</v>
      </c>
      <c r="E650">
        <f>IFERROR(VLOOKUP(B650,Crosswalk!$A$2:$C$125,3,FALSE),"Unmapped")</f>
        <v/>
      </c>
    </row>
    <row r="651">
      <c r="A651" t="n">
        <v>2014</v>
      </c>
      <c r="B651" t="inlineStr">
        <is>
          <t>BS81100</t>
        </is>
      </c>
      <c r="C651" t="inlineStr">
        <is>
          <t>Repair and maintenance</t>
        </is>
      </c>
      <c r="D651" t="n">
        <v>2368</v>
      </c>
      <c r="E651">
        <f>IFERROR(VLOOKUP(B651,Crosswalk!$A$2:$C$125,3,FALSE),"Unmapped")</f>
        <v/>
      </c>
    </row>
    <row r="652">
      <c r="A652" t="n">
        <v>2014</v>
      </c>
      <c r="B652" t="inlineStr">
        <is>
          <t>BS81300</t>
        </is>
      </c>
      <c r="C652" t="inlineStr">
        <is>
          <t>Professional and similar organisations</t>
        </is>
      </c>
      <c r="D652" t="n">
        <v>12</v>
      </c>
      <c r="E652">
        <f>IFERROR(VLOOKUP(B652,Crosswalk!$A$2:$C$125,3,FALSE),"Unmapped")</f>
        <v/>
      </c>
    </row>
    <row r="653">
      <c r="A653" t="n">
        <v>2014</v>
      </c>
      <c r="B653" t="inlineStr">
        <is>
          <t>BS81A00</t>
        </is>
      </c>
      <c r="C653" t="inlineStr">
        <is>
          <t>Personal services and private households</t>
        </is>
      </c>
      <c r="D653" t="n">
        <v>552</v>
      </c>
      <c r="E653">
        <f>IFERROR(VLOOKUP(B653,Crosswalk!$A$2:$C$125,3,FALSE),"Unmapped")</f>
        <v/>
      </c>
    </row>
    <row r="654">
      <c r="A654" t="n">
        <v>2014</v>
      </c>
      <c r="B654" t="inlineStr">
        <is>
          <t>FC11000</t>
        </is>
      </c>
      <c r="C654" t="inlineStr">
        <is>
          <t>Repair and maintenance</t>
        </is>
      </c>
      <c r="D654" t="n">
        <v>0</v>
      </c>
      <c r="E654">
        <f>IFERROR(VLOOKUP(B654,Crosswalk!$A$2:$C$125,3,FALSE),"Unmapped")</f>
        <v/>
      </c>
    </row>
    <row r="655">
      <c r="A655" t="n">
        <v>2014</v>
      </c>
      <c r="B655" t="inlineStr">
        <is>
          <t>FC12000</t>
        </is>
      </c>
      <c r="C655" t="inlineStr">
        <is>
          <t>Operating supplies</t>
        </is>
      </c>
      <c r="D655" t="n">
        <v>0</v>
      </c>
      <c r="E655">
        <f>IFERROR(VLOOKUP(B655,Crosswalk!$A$2:$C$125,3,FALSE),"Unmapped")</f>
        <v/>
      </c>
    </row>
    <row r="656">
      <c r="A656" t="n">
        <v>2014</v>
      </c>
      <c r="B656" t="inlineStr">
        <is>
          <t>FC13000</t>
        </is>
      </c>
      <c r="C656" t="inlineStr">
        <is>
          <t>Office supplies</t>
        </is>
      </c>
      <c r="D656" t="n">
        <v>0</v>
      </c>
      <c r="E656">
        <f>IFERROR(VLOOKUP(B656,Crosswalk!$A$2:$C$125,3,FALSE),"Unmapped")</f>
        <v/>
      </c>
    </row>
    <row r="657">
      <c r="A657" t="n">
        <v>2014</v>
      </c>
      <c r="B657" t="inlineStr">
        <is>
          <t>FC20000</t>
        </is>
      </c>
      <c r="C657" t="inlineStr">
        <is>
          <t>Advertising, promotion, meals, entertainment, and travel</t>
        </is>
      </c>
      <c r="D657" t="n">
        <v>0</v>
      </c>
      <c r="E657">
        <f>IFERROR(VLOOKUP(B657,Crosswalk!$A$2:$C$125,3,FALSE),"Unmapped")</f>
        <v/>
      </c>
    </row>
    <row r="658">
      <c r="A658" t="n">
        <v>2014</v>
      </c>
      <c r="B658" t="inlineStr">
        <is>
          <t>FC30000</t>
        </is>
      </c>
      <c r="C658" t="inlineStr">
        <is>
          <t>Transportation margins</t>
        </is>
      </c>
      <c r="D658" t="n">
        <v>0</v>
      </c>
      <c r="E658">
        <f>IFERROR(VLOOKUP(B658,Crosswalk!$A$2:$C$125,3,FALSE),"Unmapped")</f>
        <v/>
      </c>
    </row>
    <row r="659">
      <c r="A659" t="n">
        <v>2014</v>
      </c>
      <c r="B659" t="inlineStr">
        <is>
          <t>GS61130</t>
        </is>
      </c>
      <c r="C659" t="inlineStr">
        <is>
          <t>Universities</t>
        </is>
      </c>
      <c r="D659" t="n">
        <v>2252</v>
      </c>
      <c r="E659">
        <f>IFERROR(VLOOKUP(B659,Crosswalk!$A$2:$C$125,3,FALSE),"Unmapped")</f>
        <v/>
      </c>
    </row>
    <row r="660">
      <c r="A660" t="n">
        <v>2014</v>
      </c>
      <c r="B660" t="inlineStr">
        <is>
          <t>GS611B0</t>
        </is>
      </c>
      <c r="C660" t="inlineStr">
        <is>
          <t>Educational services (except universities)</t>
        </is>
      </c>
      <c r="D660" t="n">
        <v>2303</v>
      </c>
      <c r="E660">
        <f>IFERROR(VLOOKUP(B660,Crosswalk!$A$2:$C$125,3,FALSE),"Unmapped")</f>
        <v/>
      </c>
    </row>
    <row r="661">
      <c r="A661" t="n">
        <v>2014</v>
      </c>
      <c r="B661" t="inlineStr">
        <is>
          <t>GS62200</t>
        </is>
      </c>
      <c r="C661" t="inlineStr">
        <is>
          <t>Hospitals</t>
        </is>
      </c>
      <c r="D661" t="n">
        <v>1313</v>
      </c>
      <c r="E661">
        <f>IFERROR(VLOOKUP(B661,Crosswalk!$A$2:$C$125,3,FALSE),"Unmapped")</f>
        <v/>
      </c>
    </row>
    <row r="662">
      <c r="A662" t="n">
        <v>2014</v>
      </c>
      <c r="B662" t="inlineStr">
        <is>
          <t>GS62300</t>
        </is>
      </c>
      <c r="C662" t="inlineStr">
        <is>
          <t>Nursing and residential care facilities</t>
        </is>
      </c>
      <c r="D662" t="n">
        <v>137</v>
      </c>
      <c r="E662">
        <f>IFERROR(VLOOKUP(B662,Crosswalk!$A$2:$C$125,3,FALSE),"Unmapped")</f>
        <v/>
      </c>
    </row>
    <row r="663">
      <c r="A663" t="n">
        <v>2014</v>
      </c>
      <c r="B663" t="inlineStr">
        <is>
          <t>GS91100</t>
        </is>
      </c>
      <c r="C663" t="inlineStr">
        <is>
          <t>Other federal government services</t>
        </is>
      </c>
      <c r="D663" t="n">
        <v>1779</v>
      </c>
      <c r="E663">
        <f>IFERROR(VLOOKUP(B663,Crosswalk!$A$2:$C$125,3,FALSE),"Unmapped")</f>
        <v/>
      </c>
    </row>
    <row r="664">
      <c r="A664" t="n">
        <v>2014</v>
      </c>
      <c r="B664" t="inlineStr">
        <is>
          <t>GS91200</t>
        </is>
      </c>
      <c r="C664" t="inlineStr">
        <is>
          <t>Other provincial and territorial government services</t>
        </is>
      </c>
      <c r="D664" t="n">
        <v>1076</v>
      </c>
      <c r="E664">
        <f>IFERROR(VLOOKUP(B664,Crosswalk!$A$2:$C$125,3,FALSE),"Unmapped")</f>
        <v/>
      </c>
    </row>
    <row r="665">
      <c r="A665" t="n">
        <v>2014</v>
      </c>
      <c r="B665" t="inlineStr">
        <is>
          <t>GS91300</t>
        </is>
      </c>
      <c r="C665" t="inlineStr">
        <is>
          <t>Other municipal government services</t>
        </is>
      </c>
      <c r="D665" t="n">
        <v>6480</v>
      </c>
      <c r="E665">
        <f>IFERROR(VLOOKUP(B665,Crosswalk!$A$2:$C$125,3,FALSE),"Unmapped")</f>
        <v/>
      </c>
    </row>
    <row r="666">
      <c r="A666" t="n">
        <v>2014</v>
      </c>
      <c r="B666" t="inlineStr">
        <is>
          <t>GS91400</t>
        </is>
      </c>
      <c r="C666" t="inlineStr">
        <is>
          <t>Other Indigenous government services</t>
        </is>
      </c>
      <c r="D666" t="n">
        <v>213</v>
      </c>
      <c r="E666">
        <f>IFERROR(VLOOKUP(B666,Crosswalk!$A$2:$C$125,3,FALSE),"Unmapped")</f>
        <v/>
      </c>
    </row>
    <row r="667">
      <c r="A667" t="n">
        <v>2014</v>
      </c>
      <c r="B667" t="inlineStr">
        <is>
          <t>NP61000</t>
        </is>
      </c>
      <c r="C667" t="inlineStr">
        <is>
          <t>Non-profit education services</t>
        </is>
      </c>
      <c r="D667" t="n">
        <v>447</v>
      </c>
      <c r="E667">
        <f>IFERROR(VLOOKUP(B667,Crosswalk!$A$2:$C$125,3,FALSE),"Unmapped")</f>
        <v/>
      </c>
    </row>
    <row r="668">
      <c r="A668" t="n">
        <v>2014</v>
      </c>
      <c r="B668" t="inlineStr">
        <is>
          <t>NP62400</t>
        </is>
      </c>
      <c r="C668" t="inlineStr">
        <is>
          <t>Non-profit social assistance</t>
        </is>
      </c>
      <c r="D668" t="n">
        <v>256</v>
      </c>
      <c r="E668">
        <f>IFERROR(VLOOKUP(B668,Crosswalk!$A$2:$C$125,3,FALSE),"Unmapped")</f>
        <v/>
      </c>
    </row>
    <row r="669">
      <c r="A669" t="n">
        <v>2014</v>
      </c>
      <c r="B669" t="inlineStr">
        <is>
          <t>NP71000</t>
        </is>
      </c>
      <c r="C669" t="inlineStr">
        <is>
          <t>Non-profit arts, entertainment and recreation</t>
        </is>
      </c>
      <c r="D669" t="n">
        <v>216</v>
      </c>
      <c r="E669">
        <f>IFERROR(VLOOKUP(B669,Crosswalk!$A$2:$C$125,3,FALSE),"Unmapped")</f>
        <v/>
      </c>
    </row>
    <row r="670">
      <c r="A670" t="n">
        <v>2014</v>
      </c>
      <c r="B670" t="inlineStr">
        <is>
          <t>NP81310</t>
        </is>
      </c>
      <c r="C670" t="inlineStr">
        <is>
          <t>Religious organizations</t>
        </is>
      </c>
      <c r="D670" t="n">
        <v>786</v>
      </c>
      <c r="E670">
        <f>IFERROR(VLOOKUP(B670,Crosswalk!$A$2:$C$125,3,FALSE),"Unmapped")</f>
        <v/>
      </c>
    </row>
    <row r="671">
      <c r="A671" t="n">
        <v>2014</v>
      </c>
      <c r="B671" t="inlineStr">
        <is>
          <t>NPA0000</t>
        </is>
      </c>
      <c r="C671" t="inlineStr">
        <is>
          <t>Miscellaneous non-profit institutions serving households</t>
        </is>
      </c>
      <c r="D671" t="n">
        <v>940</v>
      </c>
      <c r="E671">
        <f>IFERROR(VLOOKUP(B671,Crosswalk!$A$2:$C$125,3,FALSE),"Unmapped")</f>
        <v/>
      </c>
    </row>
    <row r="672">
      <c r="A672" t="n">
        <v>2015</v>
      </c>
      <c r="B672" t="inlineStr">
        <is>
          <t>BS111CL</t>
        </is>
      </c>
      <c r="C672" t="inlineStr">
        <is>
          <t>Cannabis production (licensed)</t>
        </is>
      </c>
      <c r="D672" t="n">
        <v>8</v>
      </c>
      <c r="E672">
        <f>IFERROR(VLOOKUP(B672,Crosswalk!$A$2:$C$125,3,FALSE),"Unmapped")</f>
        <v/>
      </c>
    </row>
    <row r="673">
      <c r="A673" t="n">
        <v>2015</v>
      </c>
      <c r="B673" t="inlineStr">
        <is>
          <t>BS111CU</t>
        </is>
      </c>
      <c r="C673" t="inlineStr">
        <is>
          <t>Cannabis production (unlicensed)</t>
        </is>
      </c>
      <c r="D673" t="n">
        <v>207</v>
      </c>
      <c r="E673">
        <f>IFERROR(VLOOKUP(B673,Crosswalk!$A$2:$C$125,3,FALSE),"Unmapped")</f>
        <v/>
      </c>
    </row>
    <row r="674">
      <c r="A674" t="n">
        <v>2015</v>
      </c>
      <c r="B674" t="inlineStr">
        <is>
          <t>BS11300</t>
        </is>
      </c>
      <c r="C674" t="inlineStr">
        <is>
          <t>Forestry and logging</t>
        </is>
      </c>
      <c r="D674" t="n">
        <v>8960</v>
      </c>
      <c r="E674">
        <f>IFERROR(VLOOKUP(B674,Crosswalk!$A$2:$C$125,3,FALSE),"Unmapped")</f>
        <v/>
      </c>
    </row>
    <row r="675">
      <c r="A675" t="n">
        <v>2015</v>
      </c>
      <c r="B675" t="inlineStr">
        <is>
          <t>BS11400</t>
        </is>
      </c>
      <c r="C675" t="inlineStr">
        <is>
          <t>Fishing, hunting and trapping</t>
        </is>
      </c>
      <c r="D675" t="n">
        <v>856</v>
      </c>
      <c r="E675">
        <f>IFERROR(VLOOKUP(B675,Crosswalk!$A$2:$C$125,3,FALSE),"Unmapped")</f>
        <v/>
      </c>
    </row>
    <row r="676">
      <c r="A676" t="n">
        <v>2015</v>
      </c>
      <c r="B676" t="inlineStr">
        <is>
          <t>BS11500</t>
        </is>
      </c>
      <c r="C676" t="inlineStr">
        <is>
          <t>Support activities for agriculture and forestry</t>
        </is>
      </c>
      <c r="D676" t="n">
        <v>871</v>
      </c>
      <c r="E676">
        <f>IFERROR(VLOOKUP(B676,Crosswalk!$A$2:$C$125,3,FALSE),"Unmapped")</f>
        <v/>
      </c>
    </row>
    <row r="677">
      <c r="A677" t="n">
        <v>2015</v>
      </c>
      <c r="B677" t="inlineStr">
        <is>
          <t>BS11B00</t>
        </is>
      </c>
      <c r="C677" t="inlineStr">
        <is>
          <t>Crop and animal production (except cannabis)</t>
        </is>
      </c>
      <c r="D677" t="n">
        <v>70078</v>
      </c>
      <c r="E677">
        <f>IFERROR(VLOOKUP(B677,Crosswalk!$A$2:$C$125,3,FALSE),"Unmapped")</f>
        <v/>
      </c>
    </row>
    <row r="678">
      <c r="A678" t="n">
        <v>2015</v>
      </c>
      <c r="B678" t="inlineStr">
        <is>
          <t>BS21100</t>
        </is>
      </c>
      <c r="C678" t="inlineStr">
        <is>
          <t>Oil and gas extraction</t>
        </is>
      </c>
      <c r="D678" t="n">
        <v>200818</v>
      </c>
      <c r="E678">
        <f>IFERROR(VLOOKUP(B678,Crosswalk!$A$2:$C$125,3,FALSE),"Unmapped")</f>
        <v/>
      </c>
    </row>
    <row r="679">
      <c r="A679" t="n">
        <v>2015</v>
      </c>
      <c r="B679" t="inlineStr">
        <is>
          <t>BS21210</t>
        </is>
      </c>
      <c r="C679" t="inlineStr">
        <is>
          <t>Coal mining</t>
        </is>
      </c>
      <c r="D679" t="n">
        <v>2501</v>
      </c>
      <c r="E679">
        <f>IFERROR(VLOOKUP(B679,Crosswalk!$A$2:$C$125,3,FALSE),"Unmapped")</f>
        <v/>
      </c>
    </row>
    <row r="680">
      <c r="A680" t="n">
        <v>2015</v>
      </c>
      <c r="B680" t="inlineStr">
        <is>
          <t>BS21220</t>
        </is>
      </c>
      <c r="C680" t="inlineStr">
        <is>
          <t>Metal ore mining</t>
        </is>
      </c>
      <c r="D680" t="n">
        <v>4801</v>
      </c>
      <c r="E680">
        <f>IFERROR(VLOOKUP(B680,Crosswalk!$A$2:$C$125,3,FALSE),"Unmapped")</f>
        <v/>
      </c>
    </row>
    <row r="681">
      <c r="A681" t="n">
        <v>2015</v>
      </c>
      <c r="B681" t="inlineStr">
        <is>
          <t>BS21230</t>
        </is>
      </c>
      <c r="C681" t="inlineStr">
        <is>
          <t>Non-metallic mineral mining and quarrying</t>
        </is>
      </c>
      <c r="D681" t="n">
        <v>2510</v>
      </c>
      <c r="E681">
        <f>IFERROR(VLOOKUP(B681,Crosswalk!$A$2:$C$125,3,FALSE),"Unmapped")</f>
        <v/>
      </c>
    </row>
    <row r="682">
      <c r="A682" t="n">
        <v>2015</v>
      </c>
      <c r="B682" t="inlineStr">
        <is>
          <t>BS21300</t>
        </is>
      </c>
      <c r="C682" t="inlineStr">
        <is>
          <t>Support activities for mining and oil and gas extraction</t>
        </is>
      </c>
      <c r="D682" t="n">
        <v>7212</v>
      </c>
      <c r="E682">
        <f>IFERROR(VLOOKUP(B682,Crosswalk!$A$2:$C$125,3,FALSE),"Unmapped")</f>
        <v/>
      </c>
    </row>
    <row r="683">
      <c r="A683" t="n">
        <v>2015</v>
      </c>
      <c r="B683" t="inlineStr">
        <is>
          <t>BS22110</t>
        </is>
      </c>
      <c r="C683" t="inlineStr">
        <is>
          <t>Electric power generation, transmission and distribution</t>
        </is>
      </c>
      <c r="D683" t="n">
        <v>83857</v>
      </c>
      <c r="E683">
        <f>IFERROR(VLOOKUP(B683,Crosswalk!$A$2:$C$125,3,FALSE),"Unmapped")</f>
        <v/>
      </c>
    </row>
    <row r="684">
      <c r="A684" t="n">
        <v>2015</v>
      </c>
      <c r="B684" t="inlineStr">
        <is>
          <t>BS221A0</t>
        </is>
      </c>
      <c r="C684" t="inlineStr">
        <is>
          <t>Natural gas distribution, water, sewage and other systems</t>
        </is>
      </c>
      <c r="D684" t="n">
        <v>2277</v>
      </c>
      <c r="E684">
        <f>IFERROR(VLOOKUP(B684,Crosswalk!$A$2:$C$125,3,FALSE),"Unmapped")</f>
        <v/>
      </c>
    </row>
    <row r="685">
      <c r="A685" t="n">
        <v>2015</v>
      </c>
      <c r="B685" t="inlineStr">
        <is>
          <t>BS23A00</t>
        </is>
      </c>
      <c r="C685" t="inlineStr">
        <is>
          <t>Residential building construction</t>
        </is>
      </c>
      <c r="D685" t="n">
        <v>1645</v>
      </c>
      <c r="E685">
        <f>IFERROR(VLOOKUP(B685,Crosswalk!$A$2:$C$125,3,FALSE),"Unmapped")</f>
        <v/>
      </c>
    </row>
    <row r="686">
      <c r="A686" t="n">
        <v>2015</v>
      </c>
      <c r="B686" t="inlineStr">
        <is>
          <t>BS23B00</t>
        </is>
      </c>
      <c r="C686" t="inlineStr">
        <is>
          <t>Non-residential building construction</t>
        </is>
      </c>
      <c r="D686" t="n">
        <v>566</v>
      </c>
      <c r="E686">
        <f>IFERROR(VLOOKUP(B686,Crosswalk!$A$2:$C$125,3,FALSE),"Unmapped")</f>
        <v/>
      </c>
    </row>
    <row r="687">
      <c r="A687" t="n">
        <v>2015</v>
      </c>
      <c r="B687" t="inlineStr">
        <is>
          <t>BS23C10</t>
        </is>
      </c>
      <c r="C687" t="inlineStr">
        <is>
          <t>Transportation engineering construction</t>
        </is>
      </c>
      <c r="D687" t="n">
        <v>1275</v>
      </c>
      <c r="E687">
        <f>IFERROR(VLOOKUP(B687,Crosswalk!$A$2:$C$125,3,FALSE),"Unmapped")</f>
        <v/>
      </c>
    </row>
    <row r="688">
      <c r="A688" t="n">
        <v>2015</v>
      </c>
      <c r="B688" t="inlineStr">
        <is>
          <t>BS23C20</t>
        </is>
      </c>
      <c r="C688" t="inlineStr">
        <is>
          <t>Oil and gas engineering construction</t>
        </is>
      </c>
      <c r="D688" t="n">
        <v>1115</v>
      </c>
      <c r="E688">
        <f>IFERROR(VLOOKUP(B688,Crosswalk!$A$2:$C$125,3,FALSE),"Unmapped")</f>
        <v/>
      </c>
    </row>
    <row r="689">
      <c r="A689" t="n">
        <v>2015</v>
      </c>
      <c r="B689" t="inlineStr">
        <is>
          <t>BS23C30</t>
        </is>
      </c>
      <c r="C689" t="inlineStr">
        <is>
          <t>Electric power engineering construction</t>
        </is>
      </c>
      <c r="D689" t="n">
        <v>923</v>
      </c>
      <c r="E689">
        <f>IFERROR(VLOOKUP(B689,Crosswalk!$A$2:$C$125,3,FALSE),"Unmapped")</f>
        <v/>
      </c>
    </row>
    <row r="690">
      <c r="A690" t="n">
        <v>2015</v>
      </c>
      <c r="B690" t="inlineStr">
        <is>
          <t>BS23C40</t>
        </is>
      </c>
      <c r="C690" t="inlineStr">
        <is>
          <t>Communication engineering construction</t>
        </is>
      </c>
      <c r="D690" t="n">
        <v>350</v>
      </c>
      <c r="E690">
        <f>IFERROR(VLOOKUP(B690,Crosswalk!$A$2:$C$125,3,FALSE),"Unmapped")</f>
        <v/>
      </c>
    </row>
    <row r="691">
      <c r="A691" t="n">
        <v>2015</v>
      </c>
      <c r="B691" t="inlineStr">
        <is>
          <t>BS23C50</t>
        </is>
      </c>
      <c r="C691" t="inlineStr">
        <is>
          <t>Other engineering construction</t>
        </is>
      </c>
      <c r="D691" t="n">
        <v>1112</v>
      </c>
      <c r="E691">
        <f>IFERROR(VLOOKUP(B691,Crosswalk!$A$2:$C$125,3,FALSE),"Unmapped")</f>
        <v/>
      </c>
    </row>
    <row r="692">
      <c r="A692" t="n">
        <v>2015</v>
      </c>
      <c r="B692" t="inlineStr">
        <is>
          <t>BS23D00</t>
        </is>
      </c>
      <c r="C692" t="inlineStr">
        <is>
          <t>Repair construction</t>
        </is>
      </c>
      <c r="D692" t="n">
        <v>652</v>
      </c>
      <c r="E692">
        <f>IFERROR(VLOOKUP(B692,Crosswalk!$A$2:$C$125,3,FALSE),"Unmapped")</f>
        <v/>
      </c>
    </row>
    <row r="693">
      <c r="A693" t="n">
        <v>2015</v>
      </c>
      <c r="B693" t="inlineStr">
        <is>
          <t>BS23E00</t>
        </is>
      </c>
      <c r="C693" t="inlineStr">
        <is>
          <t>Other activities of the construction industry</t>
        </is>
      </c>
      <c r="D693" t="n">
        <v>663</v>
      </c>
      <c r="E693">
        <f>IFERROR(VLOOKUP(B693,Crosswalk!$A$2:$C$125,3,FALSE),"Unmapped")</f>
        <v/>
      </c>
    </row>
    <row r="694">
      <c r="A694" t="n">
        <v>2015</v>
      </c>
      <c r="B694" t="inlineStr">
        <is>
          <t>BS31110</t>
        </is>
      </c>
      <c r="C694" t="inlineStr">
        <is>
          <t>Animal food manufacturing</t>
        </is>
      </c>
      <c r="D694" t="n">
        <v>320</v>
      </c>
      <c r="E694">
        <f>IFERROR(VLOOKUP(B694,Crosswalk!$A$2:$C$125,3,FALSE),"Unmapped")</f>
        <v/>
      </c>
    </row>
    <row r="695">
      <c r="A695" t="n">
        <v>2015</v>
      </c>
      <c r="B695" t="inlineStr">
        <is>
          <t>BS31130</t>
        </is>
      </c>
      <c r="C695" t="inlineStr">
        <is>
          <t>Sugar and confectionery product manufacturing</t>
        </is>
      </c>
      <c r="D695" t="n">
        <v>466</v>
      </c>
      <c r="E695">
        <f>IFERROR(VLOOKUP(B695,Crosswalk!$A$2:$C$125,3,FALSE),"Unmapped")</f>
        <v/>
      </c>
    </row>
    <row r="696">
      <c r="A696" t="n">
        <v>2015</v>
      </c>
      <c r="B696" t="inlineStr">
        <is>
          <t>BS31140</t>
        </is>
      </c>
      <c r="C696" t="inlineStr">
        <is>
          <t>Fruit and vegetable preserving and specialty food manufacturing</t>
        </is>
      </c>
      <c r="D696" t="n">
        <v>525</v>
      </c>
      <c r="E696">
        <f>IFERROR(VLOOKUP(B696,Crosswalk!$A$2:$C$125,3,FALSE),"Unmapped")</f>
        <v/>
      </c>
    </row>
    <row r="697">
      <c r="A697" t="n">
        <v>2015</v>
      </c>
      <c r="B697" t="inlineStr">
        <is>
          <t>BS31150</t>
        </is>
      </c>
      <c r="C697" t="inlineStr">
        <is>
          <t>Dairy product manufacturing</t>
        </is>
      </c>
      <c r="D697" t="n">
        <v>385</v>
      </c>
      <c r="E697">
        <f>IFERROR(VLOOKUP(B697,Crosswalk!$A$2:$C$125,3,FALSE),"Unmapped")</f>
        <v/>
      </c>
    </row>
    <row r="698">
      <c r="A698" t="n">
        <v>2015</v>
      </c>
      <c r="B698" t="inlineStr">
        <is>
          <t>BS31160</t>
        </is>
      </c>
      <c r="C698" t="inlineStr">
        <is>
          <t>Meat product manufacturing</t>
        </is>
      </c>
      <c r="D698" t="n">
        <v>1019</v>
      </c>
      <c r="E698">
        <f>IFERROR(VLOOKUP(B698,Crosswalk!$A$2:$C$125,3,FALSE),"Unmapped")</f>
        <v/>
      </c>
    </row>
    <row r="699">
      <c r="A699" t="n">
        <v>2015</v>
      </c>
      <c r="B699" t="inlineStr">
        <is>
          <t>BS31170</t>
        </is>
      </c>
      <c r="C699" t="inlineStr">
        <is>
          <t>Seafood product preparation and packaging</t>
        </is>
      </c>
      <c r="D699" t="n">
        <v>154</v>
      </c>
      <c r="E699">
        <f>IFERROR(VLOOKUP(B699,Crosswalk!$A$2:$C$125,3,FALSE),"Unmapped")</f>
        <v/>
      </c>
    </row>
    <row r="700">
      <c r="A700" t="n">
        <v>2015</v>
      </c>
      <c r="B700" t="inlineStr">
        <is>
          <t>BS311A0</t>
        </is>
      </c>
      <c r="C700" t="inlineStr">
        <is>
          <t>Miscellaneous food manufacturing</t>
        </is>
      </c>
      <c r="D700" t="n">
        <v>2207</v>
      </c>
      <c r="E700">
        <f>IFERROR(VLOOKUP(B700,Crosswalk!$A$2:$C$125,3,FALSE),"Unmapped")</f>
        <v/>
      </c>
    </row>
    <row r="701">
      <c r="A701" t="n">
        <v>2015</v>
      </c>
      <c r="B701" t="inlineStr">
        <is>
          <t>BS31211</t>
        </is>
      </c>
      <c r="C701" t="inlineStr">
        <is>
          <t>Soft drink and ice manufacturing</t>
        </is>
      </c>
      <c r="D701" t="n">
        <v>201</v>
      </c>
      <c r="E701">
        <f>IFERROR(VLOOKUP(B701,Crosswalk!$A$2:$C$125,3,FALSE),"Unmapped")</f>
        <v/>
      </c>
    </row>
    <row r="702">
      <c r="A702" t="n">
        <v>2015</v>
      </c>
      <c r="B702" t="inlineStr">
        <is>
          <t>BS31212</t>
        </is>
      </c>
      <c r="C702" t="inlineStr">
        <is>
          <t>Breweries</t>
        </is>
      </c>
      <c r="D702" t="n">
        <v>509</v>
      </c>
      <c r="E702">
        <f>IFERROR(VLOOKUP(B702,Crosswalk!$A$2:$C$125,3,FALSE),"Unmapped")</f>
        <v/>
      </c>
    </row>
    <row r="703">
      <c r="A703" t="n">
        <v>2015</v>
      </c>
      <c r="B703" t="inlineStr">
        <is>
          <t>BS3121A</t>
        </is>
      </c>
      <c r="C703" t="inlineStr">
        <is>
          <t>Wineries and distilleries</t>
        </is>
      </c>
      <c r="D703" t="n">
        <v>249</v>
      </c>
      <c r="E703">
        <f>IFERROR(VLOOKUP(B703,Crosswalk!$A$2:$C$125,3,FALSE),"Unmapped")</f>
        <v/>
      </c>
    </row>
    <row r="704">
      <c r="A704" t="n">
        <v>2015</v>
      </c>
      <c r="B704" t="inlineStr">
        <is>
          <t>BS31220</t>
        </is>
      </c>
      <c r="C704" t="inlineStr">
        <is>
          <t>Tobacco manufacturing</t>
        </is>
      </c>
      <c r="D704" t="n">
        <v>31</v>
      </c>
      <c r="E704">
        <f>IFERROR(VLOOKUP(B704,Crosswalk!$A$2:$C$125,3,FALSE),"Unmapped")</f>
        <v/>
      </c>
    </row>
    <row r="705">
      <c r="A705" t="n">
        <v>2015</v>
      </c>
      <c r="B705" t="inlineStr">
        <is>
          <t>BS31A00</t>
        </is>
      </c>
      <c r="C705" t="inlineStr">
        <is>
          <t>Textile and textile product mills</t>
        </is>
      </c>
      <c r="D705" t="n">
        <v>162</v>
      </c>
      <c r="E705">
        <f>IFERROR(VLOOKUP(B705,Crosswalk!$A$2:$C$125,3,FALSE),"Unmapped")</f>
        <v/>
      </c>
    </row>
    <row r="706">
      <c r="A706" t="n">
        <v>2015</v>
      </c>
      <c r="B706" t="inlineStr">
        <is>
          <t>BS31B00</t>
        </is>
      </c>
      <c r="C706" t="inlineStr">
        <is>
          <t>Clothing and leather and allied product manufacturing</t>
        </is>
      </c>
      <c r="D706" t="n">
        <v>61</v>
      </c>
      <c r="E706">
        <f>IFERROR(VLOOKUP(B706,Crosswalk!$A$2:$C$125,3,FALSE),"Unmapped")</f>
        <v/>
      </c>
    </row>
    <row r="707">
      <c r="A707" t="n">
        <v>2015</v>
      </c>
      <c r="B707" t="inlineStr">
        <is>
          <t>BS32100</t>
        </is>
      </c>
      <c r="C707" t="inlineStr">
        <is>
          <t>Wood product manufacturing</t>
        </is>
      </c>
      <c r="D707" t="n">
        <v>10101</v>
      </c>
      <c r="E707">
        <f>IFERROR(VLOOKUP(B707,Crosswalk!$A$2:$C$125,3,FALSE),"Unmapped")</f>
        <v/>
      </c>
    </row>
    <row r="708">
      <c r="A708" t="n">
        <v>2015</v>
      </c>
      <c r="B708" t="inlineStr">
        <is>
          <t>BS32210</t>
        </is>
      </c>
      <c r="C708" t="inlineStr">
        <is>
          <t>Pulp, paper and paperboard mills</t>
        </is>
      </c>
      <c r="D708" t="n">
        <v>42291</v>
      </c>
      <c r="E708">
        <f>IFERROR(VLOOKUP(B708,Crosswalk!$A$2:$C$125,3,FALSE),"Unmapped")</f>
        <v/>
      </c>
    </row>
    <row r="709">
      <c r="A709" t="n">
        <v>2015</v>
      </c>
      <c r="B709" t="inlineStr">
        <is>
          <t>BS32220</t>
        </is>
      </c>
      <c r="C709" t="inlineStr">
        <is>
          <t>Converted paper product manufacturing</t>
        </is>
      </c>
      <c r="D709" t="n">
        <v>505</v>
      </c>
      <c r="E709">
        <f>IFERROR(VLOOKUP(B709,Crosswalk!$A$2:$C$125,3,FALSE),"Unmapped")</f>
        <v/>
      </c>
    </row>
    <row r="710">
      <c r="A710" t="n">
        <v>2015</v>
      </c>
      <c r="B710" t="inlineStr">
        <is>
          <t>BS32300</t>
        </is>
      </c>
      <c r="C710" t="inlineStr">
        <is>
          <t>Printing and related support activities</t>
        </is>
      </c>
      <c r="D710" t="n">
        <v>267</v>
      </c>
      <c r="E710">
        <f>IFERROR(VLOOKUP(B710,Crosswalk!$A$2:$C$125,3,FALSE),"Unmapped")</f>
        <v/>
      </c>
    </row>
    <row r="711">
      <c r="A711" t="n">
        <v>2015</v>
      </c>
      <c r="B711" t="inlineStr">
        <is>
          <t>BS32400</t>
        </is>
      </c>
      <c r="C711" t="inlineStr">
        <is>
          <t>Petroleum and coal product manufacturing</t>
        </is>
      </c>
      <c r="D711" t="n">
        <v>20489</v>
      </c>
      <c r="E711">
        <f>IFERROR(VLOOKUP(B711,Crosswalk!$A$2:$C$125,3,FALSE),"Unmapped")</f>
        <v/>
      </c>
    </row>
    <row r="712">
      <c r="A712" t="n">
        <v>2015</v>
      </c>
      <c r="B712" t="inlineStr">
        <is>
          <t>BS32510</t>
        </is>
      </c>
      <c r="C712" t="inlineStr">
        <is>
          <t>Basic chemical manufacturing</t>
        </is>
      </c>
      <c r="D712" t="n">
        <v>12180</v>
      </c>
      <c r="E712">
        <f>IFERROR(VLOOKUP(B712,Crosswalk!$A$2:$C$125,3,FALSE),"Unmapped")</f>
        <v/>
      </c>
    </row>
    <row r="713">
      <c r="A713" t="n">
        <v>2015</v>
      </c>
      <c r="B713" t="inlineStr">
        <is>
          <t>BS32530</t>
        </is>
      </c>
      <c r="C713" t="inlineStr">
        <is>
          <t>Pesticide, fertilizer and other agricultural chemical manufacturing</t>
        </is>
      </c>
      <c r="D713" t="n">
        <v>6655</v>
      </c>
      <c r="E713">
        <f>IFERROR(VLOOKUP(B713,Crosswalk!$A$2:$C$125,3,FALSE),"Unmapped")</f>
        <v/>
      </c>
    </row>
    <row r="714">
      <c r="A714" t="n">
        <v>2015</v>
      </c>
      <c r="B714" t="inlineStr">
        <is>
          <t>BS32540</t>
        </is>
      </c>
      <c r="C714" t="inlineStr">
        <is>
          <t>Pharmaceutical and medicine manufacturing</t>
        </is>
      </c>
      <c r="D714" t="n">
        <v>263</v>
      </c>
      <c r="E714">
        <f>IFERROR(VLOOKUP(B714,Crosswalk!$A$2:$C$125,3,FALSE),"Unmapped")</f>
        <v/>
      </c>
    </row>
    <row r="715">
      <c r="A715" t="n">
        <v>2015</v>
      </c>
      <c r="B715" t="inlineStr">
        <is>
          <t>BS325C0</t>
        </is>
      </c>
      <c r="C715" t="inlineStr">
        <is>
          <t>Miscellaneous chemical product manufacturing</t>
        </is>
      </c>
      <c r="D715" t="n">
        <v>3021</v>
      </c>
      <c r="E715">
        <f>IFERROR(VLOOKUP(B715,Crosswalk!$A$2:$C$125,3,FALSE),"Unmapped")</f>
        <v/>
      </c>
    </row>
    <row r="716">
      <c r="A716" t="n">
        <v>2015</v>
      </c>
      <c r="B716" t="inlineStr">
        <is>
          <t>BS32610</t>
        </is>
      </c>
      <c r="C716" t="inlineStr">
        <is>
          <t>Plastic product manufacturing</t>
        </is>
      </c>
      <c r="D716" t="n">
        <v>749</v>
      </c>
      <c r="E716">
        <f>IFERROR(VLOOKUP(B716,Crosswalk!$A$2:$C$125,3,FALSE),"Unmapped")</f>
        <v/>
      </c>
    </row>
    <row r="717">
      <c r="A717" t="n">
        <v>2015</v>
      </c>
      <c r="B717" t="inlineStr">
        <is>
          <t>BS32620</t>
        </is>
      </c>
      <c r="C717" t="inlineStr">
        <is>
          <t>Rubber product manufacturing</t>
        </is>
      </c>
      <c r="D717" t="n">
        <v>245</v>
      </c>
      <c r="E717">
        <f>IFERROR(VLOOKUP(B717,Crosswalk!$A$2:$C$125,3,FALSE),"Unmapped")</f>
        <v/>
      </c>
    </row>
    <row r="718">
      <c r="A718" t="n">
        <v>2015</v>
      </c>
      <c r="B718" t="inlineStr">
        <is>
          <t>BS32730</t>
        </is>
      </c>
      <c r="C718" t="inlineStr">
        <is>
          <t>Cement and concrete product manufacturing</t>
        </is>
      </c>
      <c r="D718" t="n">
        <v>10071</v>
      </c>
      <c r="E718">
        <f>IFERROR(VLOOKUP(B718,Crosswalk!$A$2:$C$125,3,FALSE),"Unmapped")</f>
        <v/>
      </c>
    </row>
    <row r="719">
      <c r="A719" t="n">
        <v>2015</v>
      </c>
      <c r="B719" t="inlineStr">
        <is>
          <t>BS327A0</t>
        </is>
      </c>
      <c r="C719" t="inlineStr">
        <is>
          <t>Non-metallic mineral product manufacturing (except cement and concrete products)</t>
        </is>
      </c>
      <c r="D719" t="n">
        <v>3026</v>
      </c>
      <c r="E719">
        <f>IFERROR(VLOOKUP(B719,Crosswalk!$A$2:$C$125,3,FALSE),"Unmapped")</f>
        <v/>
      </c>
    </row>
    <row r="720">
      <c r="A720" t="n">
        <v>2015</v>
      </c>
      <c r="B720" t="inlineStr">
        <is>
          <t>BS33100</t>
        </is>
      </c>
      <c r="C720" t="inlineStr">
        <is>
          <t>Primary metal manufacturing</t>
        </is>
      </c>
      <c r="D720" t="n">
        <v>24618</v>
      </c>
      <c r="E720">
        <f>IFERROR(VLOOKUP(B720,Crosswalk!$A$2:$C$125,3,FALSE),"Unmapped")</f>
        <v/>
      </c>
    </row>
    <row r="721">
      <c r="A721" t="n">
        <v>2015</v>
      </c>
      <c r="B721" t="inlineStr">
        <is>
          <t>BS33200</t>
        </is>
      </c>
      <c r="C721" t="inlineStr">
        <is>
          <t>Fabricated metal product manufacturing</t>
        </is>
      </c>
      <c r="D721" t="n">
        <v>1595</v>
      </c>
      <c r="E721">
        <f>IFERROR(VLOOKUP(B721,Crosswalk!$A$2:$C$125,3,FALSE),"Unmapped")</f>
        <v/>
      </c>
    </row>
    <row r="722">
      <c r="A722" t="n">
        <v>2015</v>
      </c>
      <c r="B722" t="inlineStr">
        <is>
          <t>BS33300</t>
        </is>
      </c>
      <c r="C722" t="inlineStr">
        <is>
          <t>Machinery manufacturing</t>
        </is>
      </c>
      <c r="D722" t="n">
        <v>858</v>
      </c>
      <c r="E722">
        <f>IFERROR(VLOOKUP(B722,Crosswalk!$A$2:$C$125,3,FALSE),"Unmapped")</f>
        <v/>
      </c>
    </row>
    <row r="723">
      <c r="A723" t="n">
        <v>2015</v>
      </c>
      <c r="B723" t="inlineStr">
        <is>
          <t>BS33410</t>
        </is>
      </c>
      <c r="C723" t="inlineStr">
        <is>
          <t>Computer and peripheral equipment manufacturing</t>
        </is>
      </c>
      <c r="D723" t="n">
        <v>12</v>
      </c>
      <c r="E723">
        <f>IFERROR(VLOOKUP(B723,Crosswalk!$A$2:$C$125,3,FALSE),"Unmapped")</f>
        <v/>
      </c>
    </row>
    <row r="724">
      <c r="A724" t="n">
        <v>2015</v>
      </c>
      <c r="B724" t="inlineStr">
        <is>
          <t>BS334B0</t>
        </is>
      </c>
      <c r="C724" t="inlineStr">
        <is>
          <t>Electronic product manufacturing</t>
        </is>
      </c>
      <c r="D724" t="n">
        <v>128</v>
      </c>
      <c r="E724">
        <f>IFERROR(VLOOKUP(B724,Crosswalk!$A$2:$C$125,3,FALSE),"Unmapped")</f>
        <v/>
      </c>
    </row>
    <row r="725">
      <c r="A725" t="n">
        <v>2015</v>
      </c>
      <c r="B725" t="inlineStr">
        <is>
          <t>BS33520</t>
        </is>
      </c>
      <c r="C725" t="inlineStr">
        <is>
          <t>Household appliance manufacturing</t>
        </is>
      </c>
      <c r="D725" t="n">
        <v>15</v>
      </c>
      <c r="E725">
        <f>IFERROR(VLOOKUP(B725,Crosswalk!$A$2:$C$125,3,FALSE),"Unmapped")</f>
        <v/>
      </c>
    </row>
    <row r="726">
      <c r="A726" t="n">
        <v>2015</v>
      </c>
      <c r="B726" t="inlineStr">
        <is>
          <t>BS335A0</t>
        </is>
      </c>
      <c r="C726" t="inlineStr">
        <is>
          <t>Electrical equipment and component manufacturing</t>
        </is>
      </c>
      <c r="D726" t="n">
        <v>153</v>
      </c>
      <c r="E726">
        <f>IFERROR(VLOOKUP(B726,Crosswalk!$A$2:$C$125,3,FALSE),"Unmapped")</f>
        <v/>
      </c>
    </row>
    <row r="727">
      <c r="A727" t="n">
        <v>2015</v>
      </c>
      <c r="B727" t="inlineStr">
        <is>
          <t>BS33610</t>
        </is>
      </c>
      <c r="C727" t="inlineStr">
        <is>
          <t>Motor vehicle manufacturing</t>
        </is>
      </c>
      <c r="D727" t="n">
        <v>680</v>
      </c>
      <c r="E727">
        <f>IFERROR(VLOOKUP(B727,Crosswalk!$A$2:$C$125,3,FALSE),"Unmapped")</f>
        <v/>
      </c>
    </row>
    <row r="728">
      <c r="A728" t="n">
        <v>2015</v>
      </c>
      <c r="B728" t="inlineStr">
        <is>
          <t>BS33620</t>
        </is>
      </c>
      <c r="C728" t="inlineStr">
        <is>
          <t>Motor vehicle body and trailer manufacturing</t>
        </is>
      </c>
      <c r="D728" t="n">
        <v>90</v>
      </c>
      <c r="E728">
        <f>IFERROR(VLOOKUP(B728,Crosswalk!$A$2:$C$125,3,FALSE),"Unmapped")</f>
        <v/>
      </c>
    </row>
    <row r="729">
      <c r="A729" t="n">
        <v>2015</v>
      </c>
      <c r="B729" t="inlineStr">
        <is>
          <t>BS33630</t>
        </is>
      </c>
      <c r="C729" t="inlineStr">
        <is>
          <t>Motor vehicle parts manufacturing</t>
        </is>
      </c>
      <c r="D729" t="n">
        <v>381</v>
      </c>
      <c r="E729">
        <f>IFERROR(VLOOKUP(B729,Crosswalk!$A$2:$C$125,3,FALSE),"Unmapped")</f>
        <v/>
      </c>
    </row>
    <row r="730">
      <c r="A730" t="n">
        <v>2015</v>
      </c>
      <c r="B730" t="inlineStr">
        <is>
          <t>BS33640</t>
        </is>
      </c>
      <c r="C730" t="inlineStr">
        <is>
          <t>Aerospace product and parts manufacturing</t>
        </is>
      </c>
      <c r="D730" t="n">
        <v>345</v>
      </c>
      <c r="E730">
        <f>IFERROR(VLOOKUP(B730,Crosswalk!$A$2:$C$125,3,FALSE),"Unmapped")</f>
        <v/>
      </c>
    </row>
    <row r="731">
      <c r="A731" t="n">
        <v>2015</v>
      </c>
      <c r="B731" t="inlineStr">
        <is>
          <t>BS33650</t>
        </is>
      </c>
      <c r="C731" t="inlineStr">
        <is>
          <t>Railroad rolling stock manufacturing</t>
        </is>
      </c>
      <c r="D731" t="n">
        <v>22</v>
      </c>
      <c r="E731">
        <f>IFERROR(VLOOKUP(B731,Crosswalk!$A$2:$C$125,3,FALSE),"Unmapped")</f>
        <v/>
      </c>
    </row>
    <row r="732">
      <c r="A732" t="n">
        <v>2015</v>
      </c>
      <c r="B732" t="inlineStr">
        <is>
          <t>BS33660</t>
        </is>
      </c>
      <c r="C732" t="inlineStr">
        <is>
          <t>Ship and boat building</t>
        </is>
      </c>
      <c r="D732" t="n">
        <v>33</v>
      </c>
      <c r="E732">
        <f>IFERROR(VLOOKUP(B732,Crosswalk!$A$2:$C$125,3,FALSE),"Unmapped")</f>
        <v/>
      </c>
    </row>
    <row r="733">
      <c r="A733" t="n">
        <v>2015</v>
      </c>
      <c r="B733" t="inlineStr">
        <is>
          <t>BS33690</t>
        </is>
      </c>
      <c r="C733" t="inlineStr">
        <is>
          <t>Other transportation equipment manufacturing</t>
        </is>
      </c>
      <c r="D733" t="n">
        <v>43</v>
      </c>
      <c r="E733">
        <f>IFERROR(VLOOKUP(B733,Crosswalk!$A$2:$C$125,3,FALSE),"Unmapped")</f>
        <v/>
      </c>
    </row>
    <row r="734">
      <c r="A734" t="n">
        <v>2015</v>
      </c>
      <c r="B734" t="inlineStr">
        <is>
          <t>BS33700</t>
        </is>
      </c>
      <c r="C734" t="inlineStr">
        <is>
          <t>Furniture and related product manufacturing</t>
        </is>
      </c>
      <c r="D734" t="n">
        <v>436</v>
      </c>
      <c r="E734">
        <f>IFERROR(VLOOKUP(B734,Crosswalk!$A$2:$C$125,3,FALSE),"Unmapped")</f>
        <v/>
      </c>
    </row>
    <row r="735">
      <c r="A735" t="n">
        <v>2015</v>
      </c>
      <c r="B735" t="inlineStr">
        <is>
          <t>BS33900</t>
        </is>
      </c>
      <c r="C735" t="inlineStr">
        <is>
          <t>Miscellaneous manufacturing</t>
        </is>
      </c>
      <c r="D735" t="n">
        <v>310</v>
      </c>
      <c r="E735">
        <f>IFERROR(VLOOKUP(B735,Crosswalk!$A$2:$C$125,3,FALSE),"Unmapped")</f>
        <v/>
      </c>
    </row>
    <row r="736">
      <c r="A736" t="n">
        <v>2015</v>
      </c>
      <c r="B736" t="inlineStr">
        <is>
          <t>BS41000</t>
        </is>
      </c>
      <c r="C736" t="inlineStr">
        <is>
          <t>Wholesale trade</t>
        </is>
      </c>
      <c r="D736" t="n">
        <v>9537</v>
      </c>
      <c r="E736">
        <f>IFERROR(VLOOKUP(B736,Crosswalk!$A$2:$C$125,3,FALSE),"Unmapped")</f>
        <v/>
      </c>
    </row>
    <row r="737">
      <c r="A737" t="n">
        <v>2015</v>
      </c>
      <c r="B737" t="inlineStr">
        <is>
          <t>BS453BL</t>
        </is>
      </c>
      <c r="C737" t="inlineStr">
        <is>
          <t>Cannabis stores (licensed)</t>
        </is>
      </c>
      <c r="D737" t="n">
        <v>0</v>
      </c>
      <c r="E737">
        <f>IFERROR(VLOOKUP(B737,Crosswalk!$A$2:$C$125,3,FALSE),"Unmapped")</f>
        <v/>
      </c>
    </row>
    <row r="738">
      <c r="A738" t="n">
        <v>2015</v>
      </c>
      <c r="B738" t="inlineStr">
        <is>
          <t>BS453BU</t>
        </is>
      </c>
      <c r="C738" t="inlineStr">
        <is>
          <t>Cannabis stores (unlicensed)</t>
        </is>
      </c>
      <c r="D738" t="n">
        <v>36</v>
      </c>
      <c r="E738">
        <f>IFERROR(VLOOKUP(B738,Crosswalk!$A$2:$C$125,3,FALSE),"Unmapped")</f>
        <v/>
      </c>
    </row>
    <row r="739">
      <c r="A739" t="n">
        <v>2015</v>
      </c>
      <c r="B739" t="inlineStr">
        <is>
          <t>BS48100</t>
        </is>
      </c>
      <c r="C739" t="inlineStr">
        <is>
          <t>Air transportation</t>
        </is>
      </c>
      <c r="D739" t="n">
        <v>18822</v>
      </c>
      <c r="E739">
        <f>IFERROR(VLOOKUP(B739,Crosswalk!$A$2:$C$125,3,FALSE),"Unmapped")</f>
        <v/>
      </c>
    </row>
    <row r="740">
      <c r="A740" t="n">
        <v>2015</v>
      </c>
      <c r="B740" t="inlineStr">
        <is>
          <t>BS48200</t>
        </is>
      </c>
      <c r="C740" t="inlineStr">
        <is>
          <t>Rail transportation</t>
        </is>
      </c>
      <c r="D740" t="n">
        <v>5522</v>
      </c>
      <c r="E740">
        <f>IFERROR(VLOOKUP(B740,Crosswalk!$A$2:$C$125,3,FALSE),"Unmapped")</f>
        <v/>
      </c>
    </row>
    <row r="741">
      <c r="A741" t="n">
        <v>2015</v>
      </c>
      <c r="B741" t="inlineStr">
        <is>
          <t>BS48300</t>
        </is>
      </c>
      <c r="C741" t="inlineStr">
        <is>
          <t>Water transportation</t>
        </is>
      </c>
      <c r="D741" t="n">
        <v>3803</v>
      </c>
      <c r="E741">
        <f>IFERROR(VLOOKUP(B741,Crosswalk!$A$2:$C$125,3,FALSE),"Unmapped")</f>
        <v/>
      </c>
    </row>
    <row r="742">
      <c r="A742" t="n">
        <v>2015</v>
      </c>
      <c r="B742" t="inlineStr">
        <is>
          <t>BS48400</t>
        </is>
      </c>
      <c r="C742" t="inlineStr">
        <is>
          <t>Truck transportation</t>
        </is>
      </c>
      <c r="D742" t="n">
        <v>20998</v>
      </c>
      <c r="E742">
        <f>IFERROR(VLOOKUP(B742,Crosswalk!$A$2:$C$125,3,FALSE),"Unmapped")</f>
        <v/>
      </c>
    </row>
    <row r="743">
      <c r="A743" t="n">
        <v>2015</v>
      </c>
      <c r="B743" t="inlineStr">
        <is>
          <t>BS48600</t>
        </is>
      </c>
      <c r="C743" t="inlineStr">
        <is>
          <t>Pipeline transportation</t>
        </is>
      </c>
      <c r="D743" t="n">
        <v>8929</v>
      </c>
      <c r="E743">
        <f>IFERROR(VLOOKUP(B743,Crosswalk!$A$2:$C$125,3,FALSE),"Unmapped")</f>
        <v/>
      </c>
    </row>
    <row r="744">
      <c r="A744" t="n">
        <v>2015</v>
      </c>
      <c r="B744" t="inlineStr">
        <is>
          <t>BS48B00</t>
        </is>
      </c>
      <c r="C744" t="inlineStr">
        <is>
          <t>Transit, ground passenger and scenic and sightseeing transportation, taxi and limousine service and support activities for transportation</t>
        </is>
      </c>
      <c r="D744" t="n">
        <v>4256</v>
      </c>
      <c r="E744">
        <f>IFERROR(VLOOKUP(B744,Crosswalk!$A$2:$C$125,3,FALSE),"Unmapped")</f>
        <v/>
      </c>
    </row>
    <row r="745">
      <c r="A745" t="n">
        <v>2015</v>
      </c>
      <c r="B745" t="inlineStr">
        <is>
          <t>BS49300</t>
        </is>
      </c>
      <c r="C745" t="inlineStr">
        <is>
          <t>Warehousing and storage</t>
        </is>
      </c>
      <c r="D745" t="n">
        <v>206</v>
      </c>
      <c r="E745">
        <f>IFERROR(VLOOKUP(B745,Crosswalk!$A$2:$C$125,3,FALSE),"Unmapped")</f>
        <v/>
      </c>
    </row>
    <row r="746">
      <c r="A746" t="n">
        <v>2015</v>
      </c>
      <c r="B746" t="inlineStr">
        <is>
          <t>BS49A00</t>
        </is>
      </c>
      <c r="C746" t="inlineStr">
        <is>
          <t>Postal service and couriers and messengers</t>
        </is>
      </c>
      <c r="D746" t="n">
        <v>2178</v>
      </c>
      <c r="E746">
        <f>IFERROR(VLOOKUP(B746,Crosswalk!$A$2:$C$125,3,FALSE),"Unmapped")</f>
        <v/>
      </c>
    </row>
    <row r="747">
      <c r="A747" t="n">
        <v>2015</v>
      </c>
      <c r="B747" t="inlineStr">
        <is>
          <t>BS4AA00</t>
        </is>
      </c>
      <c r="C747" t="inlineStr">
        <is>
          <t>Retail trade (except cannabis)</t>
        </is>
      </c>
      <c r="D747" t="n">
        <v>7283</v>
      </c>
      <c r="E747">
        <f>IFERROR(VLOOKUP(B747,Crosswalk!$A$2:$C$125,3,FALSE),"Unmapped")</f>
        <v/>
      </c>
    </row>
    <row r="748">
      <c r="A748" t="n">
        <v>2015</v>
      </c>
      <c r="B748" t="inlineStr">
        <is>
          <t>BS51200</t>
        </is>
      </c>
      <c r="C748" t="inlineStr">
        <is>
          <t>Motion picture and sound recording industries</t>
        </is>
      </c>
      <c r="D748" t="n">
        <v>442</v>
      </c>
      <c r="E748">
        <f>IFERROR(VLOOKUP(B748,Crosswalk!$A$2:$C$125,3,FALSE),"Unmapped")</f>
        <v/>
      </c>
    </row>
    <row r="749">
      <c r="A749" t="n">
        <v>2015</v>
      </c>
      <c r="B749" t="inlineStr">
        <is>
          <t>BS51510</t>
        </is>
      </c>
      <c r="C749" t="inlineStr">
        <is>
          <t>Radio and television broadcasting</t>
        </is>
      </c>
      <c r="D749" t="n">
        <v>26</v>
      </c>
      <c r="E749">
        <f>IFERROR(VLOOKUP(B749,Crosswalk!$A$2:$C$125,3,FALSE),"Unmapped")</f>
        <v/>
      </c>
    </row>
    <row r="750">
      <c r="A750" t="n">
        <v>2015</v>
      </c>
      <c r="B750" t="inlineStr">
        <is>
          <t>BS51B00</t>
        </is>
      </c>
      <c r="C750" t="inlineStr">
        <is>
          <t>Publishing, pay/specialty services, telecommunications and other information services</t>
        </is>
      </c>
      <c r="D750" t="n">
        <v>743</v>
      </c>
      <c r="E750">
        <f>IFERROR(VLOOKUP(B750,Crosswalk!$A$2:$C$125,3,FALSE),"Unmapped")</f>
        <v/>
      </c>
    </row>
    <row r="751">
      <c r="A751" t="n">
        <v>2015</v>
      </c>
      <c r="B751" t="inlineStr">
        <is>
          <t>BS52410</t>
        </is>
      </c>
      <c r="C751" t="inlineStr">
        <is>
          <t>Insurance carriers</t>
        </is>
      </c>
      <c r="D751" t="n">
        <v>175</v>
      </c>
      <c r="E751">
        <f>IFERROR(VLOOKUP(B751,Crosswalk!$A$2:$C$125,3,FALSE),"Unmapped")</f>
        <v/>
      </c>
    </row>
    <row r="752">
      <c r="A752" t="n">
        <v>2015</v>
      </c>
      <c r="B752" t="inlineStr">
        <is>
          <t>BS52B00</t>
        </is>
      </c>
      <c r="C752" t="inlineStr">
        <is>
          <t>Depository credit intermediation and monetary authorities</t>
        </is>
      </c>
      <c r="D752" t="n">
        <v>1089</v>
      </c>
      <c r="E752">
        <f>IFERROR(VLOOKUP(B752,Crosswalk!$A$2:$C$125,3,FALSE),"Unmapped")</f>
        <v/>
      </c>
    </row>
    <row r="753">
      <c r="A753" t="n">
        <v>2015</v>
      </c>
      <c r="B753" t="inlineStr">
        <is>
          <t>BS53110</t>
        </is>
      </c>
      <c r="C753" t="inlineStr">
        <is>
          <t>Lessors of real estate</t>
        </is>
      </c>
      <c r="D753" t="n">
        <v>5948</v>
      </c>
      <c r="E753">
        <f>IFERROR(VLOOKUP(B753,Crosswalk!$A$2:$C$125,3,FALSE),"Unmapped")</f>
        <v/>
      </c>
    </row>
    <row r="754">
      <c r="A754" t="n">
        <v>2015</v>
      </c>
      <c r="B754" t="inlineStr">
        <is>
          <t>BS5311A</t>
        </is>
      </c>
      <c r="C754" t="inlineStr">
        <is>
          <t>Owner-occupied dwellings</t>
        </is>
      </c>
      <c r="D754" t="n">
        <v>0</v>
      </c>
      <c r="E754">
        <f>IFERROR(VLOOKUP(B754,Crosswalk!$A$2:$C$125,3,FALSE),"Unmapped")</f>
        <v/>
      </c>
    </row>
    <row r="755">
      <c r="A755" t="n">
        <v>2015</v>
      </c>
      <c r="B755" t="inlineStr">
        <is>
          <t>BS53B00</t>
        </is>
      </c>
      <c r="C755" t="inlineStr">
        <is>
          <t>Rental and leasing services and lessors of non-financial intangible assets (except copyrighted works)</t>
        </is>
      </c>
      <c r="D755" t="n">
        <v>2589</v>
      </c>
      <c r="E755">
        <f>IFERROR(VLOOKUP(B755,Crosswalk!$A$2:$C$125,3,FALSE),"Unmapped")</f>
        <v/>
      </c>
    </row>
    <row r="756">
      <c r="A756" t="n">
        <v>2015</v>
      </c>
      <c r="B756" t="inlineStr">
        <is>
          <t>BS54180</t>
        </is>
      </c>
      <c r="C756" t="inlineStr">
        <is>
          <t>Advertising, public relations and related services</t>
        </is>
      </c>
      <c r="D756" t="n">
        <v>187</v>
      </c>
      <c r="E756">
        <f>IFERROR(VLOOKUP(B756,Crosswalk!$A$2:$C$125,3,FALSE),"Unmapped")</f>
        <v/>
      </c>
    </row>
    <row r="757">
      <c r="A757" t="n">
        <v>2015</v>
      </c>
      <c r="B757" t="inlineStr">
        <is>
          <t>BS541C0</t>
        </is>
      </c>
      <c r="C757" t="inlineStr">
        <is>
          <t>Legal, accounting and architectural, engineering and related services</t>
        </is>
      </c>
      <c r="D757" t="n">
        <v>1047</v>
      </c>
      <c r="E757">
        <f>IFERROR(VLOOKUP(B757,Crosswalk!$A$2:$C$125,3,FALSE),"Unmapped")</f>
        <v/>
      </c>
    </row>
    <row r="758">
      <c r="A758" t="n">
        <v>2015</v>
      </c>
      <c r="B758" t="inlineStr">
        <is>
          <t>BS541D0</t>
        </is>
      </c>
      <c r="C758" t="inlineStr">
        <is>
          <t>Computer systems design and other professional, scientific and technical services</t>
        </is>
      </c>
      <c r="D758" t="n">
        <v>900</v>
      </c>
      <c r="E758">
        <f>IFERROR(VLOOKUP(B758,Crosswalk!$A$2:$C$125,3,FALSE),"Unmapped")</f>
        <v/>
      </c>
    </row>
    <row r="759">
      <c r="A759" t="n">
        <v>2015</v>
      </c>
      <c r="B759" t="inlineStr">
        <is>
          <t>BS56100</t>
        </is>
      </c>
      <c r="C759" t="inlineStr">
        <is>
          <t>Administrative and support services</t>
        </is>
      </c>
      <c r="D759" t="n">
        <v>2469</v>
      </c>
      <c r="E759">
        <f>IFERROR(VLOOKUP(B759,Crosswalk!$A$2:$C$125,3,FALSE),"Unmapped")</f>
        <v/>
      </c>
    </row>
    <row r="760">
      <c r="A760" t="n">
        <v>2015</v>
      </c>
      <c r="B760" t="inlineStr">
        <is>
          <t>BS56200</t>
        </is>
      </c>
      <c r="C760" t="inlineStr">
        <is>
          <t>Waste management and remediation services</t>
        </is>
      </c>
      <c r="D760" t="n">
        <v>1287</v>
      </c>
      <c r="E760">
        <f>IFERROR(VLOOKUP(B760,Crosswalk!$A$2:$C$125,3,FALSE),"Unmapped")</f>
        <v/>
      </c>
    </row>
    <row r="761">
      <c r="A761" t="n">
        <v>2015</v>
      </c>
      <c r="B761" t="inlineStr">
        <is>
          <t>BS5A000</t>
        </is>
      </c>
      <c r="C761" t="inlineStr">
        <is>
          <t>Other finance, insurance and real estate services and management of companies and enterprises</t>
        </is>
      </c>
      <c r="D761" t="n">
        <v>3642</v>
      </c>
      <c r="E761">
        <f>IFERROR(VLOOKUP(B761,Crosswalk!$A$2:$C$125,3,FALSE),"Unmapped")</f>
        <v/>
      </c>
    </row>
    <row r="762">
      <c r="A762" t="n">
        <v>2015</v>
      </c>
      <c r="B762" t="inlineStr">
        <is>
          <t>BS61000</t>
        </is>
      </c>
      <c r="C762" t="inlineStr">
        <is>
          <t>Educational services</t>
        </is>
      </c>
      <c r="D762" t="n">
        <v>224</v>
      </c>
      <c r="E762">
        <f>IFERROR(VLOOKUP(B762,Crosswalk!$A$2:$C$125,3,FALSE),"Unmapped")</f>
        <v/>
      </c>
    </row>
    <row r="763">
      <c r="A763" t="n">
        <v>2015</v>
      </c>
      <c r="B763" t="inlineStr">
        <is>
          <t>BS62000</t>
        </is>
      </c>
      <c r="C763" t="inlineStr">
        <is>
          <t>Health care and social assistance</t>
        </is>
      </c>
      <c r="D763" t="n">
        <v>2064</v>
      </c>
      <c r="E763">
        <f>IFERROR(VLOOKUP(B763,Crosswalk!$A$2:$C$125,3,FALSE),"Unmapped")</f>
        <v/>
      </c>
    </row>
    <row r="764">
      <c r="A764" t="n">
        <v>2015</v>
      </c>
      <c r="B764" t="inlineStr">
        <is>
          <t>BS71000</t>
        </is>
      </c>
      <c r="C764" t="inlineStr">
        <is>
          <t>Arts, entertainment and recreation</t>
        </is>
      </c>
      <c r="D764" t="n">
        <v>252</v>
      </c>
      <c r="E764">
        <f>IFERROR(VLOOKUP(B764,Crosswalk!$A$2:$C$125,3,FALSE),"Unmapped")</f>
        <v/>
      </c>
    </row>
    <row r="765">
      <c r="A765" t="n">
        <v>2015</v>
      </c>
      <c r="B765" t="inlineStr">
        <is>
          <t>BS72000</t>
        </is>
      </c>
      <c r="C765" t="inlineStr">
        <is>
          <t>Accommodation and food services</t>
        </is>
      </c>
      <c r="D765" t="n">
        <v>1719</v>
      </c>
      <c r="E765">
        <f>IFERROR(VLOOKUP(B765,Crosswalk!$A$2:$C$125,3,FALSE),"Unmapped")</f>
        <v/>
      </c>
    </row>
    <row r="766">
      <c r="A766" t="n">
        <v>2015</v>
      </c>
      <c r="B766" t="inlineStr">
        <is>
          <t>BS81100</t>
        </is>
      </c>
      <c r="C766" t="inlineStr">
        <is>
          <t>Repair and maintenance</t>
        </is>
      </c>
      <c r="D766" t="n">
        <v>2313</v>
      </c>
      <c r="E766">
        <f>IFERROR(VLOOKUP(B766,Crosswalk!$A$2:$C$125,3,FALSE),"Unmapped")</f>
        <v/>
      </c>
    </row>
    <row r="767">
      <c r="A767" t="n">
        <v>2015</v>
      </c>
      <c r="B767" t="inlineStr">
        <is>
          <t>BS81300</t>
        </is>
      </c>
      <c r="C767" t="inlineStr">
        <is>
          <t>Professional and similar organisations</t>
        </is>
      </c>
      <c r="D767" t="n">
        <v>15</v>
      </c>
      <c r="E767">
        <f>IFERROR(VLOOKUP(B767,Crosswalk!$A$2:$C$125,3,FALSE),"Unmapped")</f>
        <v/>
      </c>
    </row>
    <row r="768">
      <c r="A768" t="n">
        <v>2015</v>
      </c>
      <c r="B768" t="inlineStr">
        <is>
          <t>BS81A00</t>
        </is>
      </c>
      <c r="C768" t="inlineStr">
        <is>
          <t>Personal services and private households</t>
        </is>
      </c>
      <c r="D768" t="n">
        <v>619</v>
      </c>
      <c r="E768">
        <f>IFERROR(VLOOKUP(B768,Crosswalk!$A$2:$C$125,3,FALSE),"Unmapped")</f>
        <v/>
      </c>
    </row>
    <row r="769">
      <c r="A769" t="n">
        <v>2015</v>
      </c>
      <c r="B769" t="inlineStr">
        <is>
          <t>FC11000</t>
        </is>
      </c>
      <c r="C769" t="inlineStr">
        <is>
          <t>Repair and maintenance</t>
        </is>
      </c>
      <c r="D769" t="n">
        <v>0</v>
      </c>
      <c r="E769">
        <f>IFERROR(VLOOKUP(B769,Crosswalk!$A$2:$C$125,3,FALSE),"Unmapped")</f>
        <v/>
      </c>
    </row>
    <row r="770">
      <c r="A770" t="n">
        <v>2015</v>
      </c>
      <c r="B770" t="inlineStr">
        <is>
          <t>FC12000</t>
        </is>
      </c>
      <c r="C770" t="inlineStr">
        <is>
          <t>Operating supplies</t>
        </is>
      </c>
      <c r="D770" t="n">
        <v>0</v>
      </c>
      <c r="E770">
        <f>IFERROR(VLOOKUP(B770,Crosswalk!$A$2:$C$125,3,FALSE),"Unmapped")</f>
        <v/>
      </c>
    </row>
    <row r="771">
      <c r="A771" t="n">
        <v>2015</v>
      </c>
      <c r="B771" t="inlineStr">
        <is>
          <t>FC13000</t>
        </is>
      </c>
      <c r="C771" t="inlineStr">
        <is>
          <t>Office supplies</t>
        </is>
      </c>
      <c r="D771" t="n">
        <v>0</v>
      </c>
      <c r="E771">
        <f>IFERROR(VLOOKUP(B771,Crosswalk!$A$2:$C$125,3,FALSE),"Unmapped")</f>
        <v/>
      </c>
    </row>
    <row r="772">
      <c r="A772" t="n">
        <v>2015</v>
      </c>
      <c r="B772" t="inlineStr">
        <is>
          <t>FC20000</t>
        </is>
      </c>
      <c r="C772" t="inlineStr">
        <is>
          <t>Advertising, promotion, meals, entertainment, and travel</t>
        </is>
      </c>
      <c r="D772" t="n">
        <v>0</v>
      </c>
      <c r="E772">
        <f>IFERROR(VLOOKUP(B772,Crosswalk!$A$2:$C$125,3,FALSE),"Unmapped")</f>
        <v/>
      </c>
    </row>
    <row r="773">
      <c r="A773" t="n">
        <v>2015</v>
      </c>
      <c r="B773" t="inlineStr">
        <is>
          <t>FC30000</t>
        </is>
      </c>
      <c r="C773" t="inlineStr">
        <is>
          <t>Transportation margins</t>
        </is>
      </c>
      <c r="D773" t="n">
        <v>0</v>
      </c>
      <c r="E773">
        <f>IFERROR(VLOOKUP(B773,Crosswalk!$A$2:$C$125,3,FALSE),"Unmapped")</f>
        <v/>
      </c>
    </row>
    <row r="774">
      <c r="A774" t="n">
        <v>2015</v>
      </c>
      <c r="B774" t="inlineStr">
        <is>
          <t>GS61130</t>
        </is>
      </c>
      <c r="C774" t="inlineStr">
        <is>
          <t>Universities</t>
        </is>
      </c>
      <c r="D774" t="n">
        <v>2266</v>
      </c>
      <c r="E774">
        <f>IFERROR(VLOOKUP(B774,Crosswalk!$A$2:$C$125,3,FALSE),"Unmapped")</f>
        <v/>
      </c>
    </row>
    <row r="775">
      <c r="A775" t="n">
        <v>2015</v>
      </c>
      <c r="B775" t="inlineStr">
        <is>
          <t>GS611B0</t>
        </is>
      </c>
      <c r="C775" t="inlineStr">
        <is>
          <t>Educational services (except universities)</t>
        </is>
      </c>
      <c r="D775" t="n">
        <v>2260</v>
      </c>
      <c r="E775">
        <f>IFERROR(VLOOKUP(B775,Crosswalk!$A$2:$C$125,3,FALSE),"Unmapped")</f>
        <v/>
      </c>
    </row>
    <row r="776">
      <c r="A776" t="n">
        <v>2015</v>
      </c>
      <c r="B776" t="inlineStr">
        <is>
          <t>GS62200</t>
        </is>
      </c>
      <c r="C776" t="inlineStr">
        <is>
          <t>Hospitals</t>
        </is>
      </c>
      <c r="D776" t="n">
        <v>1237</v>
      </c>
      <c r="E776">
        <f>IFERROR(VLOOKUP(B776,Crosswalk!$A$2:$C$125,3,FALSE),"Unmapped")</f>
        <v/>
      </c>
    </row>
    <row r="777">
      <c r="A777" t="n">
        <v>2015</v>
      </c>
      <c r="B777" t="inlineStr">
        <is>
          <t>GS62300</t>
        </is>
      </c>
      <c r="C777" t="inlineStr">
        <is>
          <t>Nursing and residential care facilities</t>
        </is>
      </c>
      <c r="D777" t="n">
        <v>133</v>
      </c>
      <c r="E777">
        <f>IFERROR(VLOOKUP(B777,Crosswalk!$A$2:$C$125,3,FALSE),"Unmapped")</f>
        <v/>
      </c>
    </row>
    <row r="778">
      <c r="A778" t="n">
        <v>2015</v>
      </c>
      <c r="B778" t="inlineStr">
        <is>
          <t>GS91100</t>
        </is>
      </c>
      <c r="C778" t="inlineStr">
        <is>
          <t>Other federal government services</t>
        </is>
      </c>
      <c r="D778" t="n">
        <v>1648</v>
      </c>
      <c r="E778">
        <f>IFERROR(VLOOKUP(B778,Crosswalk!$A$2:$C$125,3,FALSE),"Unmapped")</f>
        <v/>
      </c>
    </row>
    <row r="779">
      <c r="A779" t="n">
        <v>2015</v>
      </c>
      <c r="B779" t="inlineStr">
        <is>
          <t>GS91200</t>
        </is>
      </c>
      <c r="C779" t="inlineStr">
        <is>
          <t>Other provincial and territorial government services</t>
        </is>
      </c>
      <c r="D779" t="n">
        <v>1296</v>
      </c>
      <c r="E779">
        <f>IFERROR(VLOOKUP(B779,Crosswalk!$A$2:$C$125,3,FALSE),"Unmapped")</f>
        <v/>
      </c>
    </row>
    <row r="780">
      <c r="A780" t="n">
        <v>2015</v>
      </c>
      <c r="B780" t="inlineStr">
        <is>
          <t>GS91300</t>
        </is>
      </c>
      <c r="C780" t="inlineStr">
        <is>
          <t>Other municipal government services</t>
        </is>
      </c>
      <c r="D780" t="n">
        <v>6103</v>
      </c>
      <c r="E780">
        <f>IFERROR(VLOOKUP(B780,Crosswalk!$A$2:$C$125,3,FALSE),"Unmapped")</f>
        <v/>
      </c>
    </row>
    <row r="781">
      <c r="A781" t="n">
        <v>2015</v>
      </c>
      <c r="B781" t="inlineStr">
        <is>
          <t>GS91400</t>
        </is>
      </c>
      <c r="C781" t="inlineStr">
        <is>
          <t>Other Indigenous government services</t>
        </is>
      </c>
      <c r="D781" t="n">
        <v>222</v>
      </c>
      <c r="E781">
        <f>IFERROR(VLOOKUP(B781,Crosswalk!$A$2:$C$125,3,FALSE),"Unmapped")</f>
        <v/>
      </c>
    </row>
    <row r="782">
      <c r="A782" t="n">
        <v>2015</v>
      </c>
      <c r="B782" t="inlineStr">
        <is>
          <t>NP61000</t>
        </is>
      </c>
      <c r="C782" t="inlineStr">
        <is>
          <t>Non-profit education services</t>
        </is>
      </c>
      <c r="D782" t="n">
        <v>489</v>
      </c>
      <c r="E782">
        <f>IFERROR(VLOOKUP(B782,Crosswalk!$A$2:$C$125,3,FALSE),"Unmapped")</f>
        <v/>
      </c>
    </row>
    <row r="783">
      <c r="A783" t="n">
        <v>2015</v>
      </c>
      <c r="B783" t="inlineStr">
        <is>
          <t>NP62400</t>
        </is>
      </c>
      <c r="C783" t="inlineStr">
        <is>
          <t>Non-profit social assistance</t>
        </is>
      </c>
      <c r="D783" t="n">
        <v>240</v>
      </c>
      <c r="E783">
        <f>IFERROR(VLOOKUP(B783,Crosswalk!$A$2:$C$125,3,FALSE),"Unmapped")</f>
        <v/>
      </c>
    </row>
    <row r="784">
      <c r="A784" t="n">
        <v>2015</v>
      </c>
      <c r="B784" t="inlineStr">
        <is>
          <t>NP71000</t>
        </is>
      </c>
      <c r="C784" t="inlineStr">
        <is>
          <t>Non-profit arts, entertainment and recreation</t>
        </is>
      </c>
      <c r="D784" t="n">
        <v>202</v>
      </c>
      <c r="E784">
        <f>IFERROR(VLOOKUP(B784,Crosswalk!$A$2:$C$125,3,FALSE),"Unmapped")</f>
        <v/>
      </c>
    </row>
    <row r="785">
      <c r="A785" t="n">
        <v>2015</v>
      </c>
      <c r="B785" t="inlineStr">
        <is>
          <t>NP81310</t>
        </is>
      </c>
      <c r="C785" t="inlineStr">
        <is>
          <t>Religious organizations</t>
        </is>
      </c>
      <c r="D785" t="n">
        <v>638</v>
      </c>
      <c r="E785">
        <f>IFERROR(VLOOKUP(B785,Crosswalk!$A$2:$C$125,3,FALSE),"Unmapped")</f>
        <v/>
      </c>
    </row>
    <row r="786">
      <c r="A786" t="n">
        <v>2015</v>
      </c>
      <c r="B786" t="inlineStr">
        <is>
          <t>NPA0000</t>
        </is>
      </c>
      <c r="C786" t="inlineStr">
        <is>
          <t>Miscellaneous non-profit institutions serving households</t>
        </is>
      </c>
      <c r="D786" t="n">
        <v>1022</v>
      </c>
      <c r="E786">
        <f>IFERROR(VLOOKUP(B786,Crosswalk!$A$2:$C$125,3,FALSE),"Unmapped")</f>
        <v/>
      </c>
    </row>
    <row r="787">
      <c r="A787" t="n">
        <v>2016</v>
      </c>
      <c r="B787" t="inlineStr">
        <is>
          <t>BS111CL</t>
        </is>
      </c>
      <c r="C787" t="inlineStr">
        <is>
          <t>Cannabis production (licensed)</t>
        </is>
      </c>
      <c r="D787" t="n">
        <v>8</v>
      </c>
      <c r="E787">
        <f>IFERROR(VLOOKUP(B787,Crosswalk!$A$2:$C$125,3,FALSE),"Unmapped")</f>
        <v/>
      </c>
    </row>
    <row r="788">
      <c r="A788" t="n">
        <v>2016</v>
      </c>
      <c r="B788" t="inlineStr">
        <is>
          <t>BS111CU</t>
        </is>
      </c>
      <c r="C788" t="inlineStr">
        <is>
          <t>Cannabis production (unlicensed)</t>
        </is>
      </c>
      <c r="D788" t="n">
        <v>193</v>
      </c>
      <c r="E788">
        <f>IFERROR(VLOOKUP(B788,Crosswalk!$A$2:$C$125,3,FALSE),"Unmapped")</f>
        <v/>
      </c>
    </row>
    <row r="789">
      <c r="A789" t="n">
        <v>2016</v>
      </c>
      <c r="B789" t="inlineStr">
        <is>
          <t>BS11300</t>
        </is>
      </c>
      <c r="C789" t="inlineStr">
        <is>
          <t>Forestry and logging</t>
        </is>
      </c>
      <c r="D789" t="n">
        <v>8478</v>
      </c>
      <c r="E789">
        <f>IFERROR(VLOOKUP(B789,Crosswalk!$A$2:$C$125,3,FALSE),"Unmapped")</f>
        <v/>
      </c>
    </row>
    <row r="790">
      <c r="A790" t="n">
        <v>2016</v>
      </c>
      <c r="B790" t="inlineStr">
        <is>
          <t>BS11400</t>
        </is>
      </c>
      <c r="C790" t="inlineStr">
        <is>
          <t>Fishing, hunting and trapping</t>
        </is>
      </c>
      <c r="D790" t="n">
        <v>839</v>
      </c>
      <c r="E790">
        <f>IFERROR(VLOOKUP(B790,Crosswalk!$A$2:$C$125,3,FALSE),"Unmapped")</f>
        <v/>
      </c>
    </row>
    <row r="791">
      <c r="A791" t="n">
        <v>2016</v>
      </c>
      <c r="B791" t="inlineStr">
        <is>
          <t>BS11500</t>
        </is>
      </c>
      <c r="C791" t="inlineStr">
        <is>
          <t>Support activities for agriculture and forestry</t>
        </is>
      </c>
      <c r="D791" t="n">
        <v>916</v>
      </c>
      <c r="E791">
        <f>IFERROR(VLOOKUP(B791,Crosswalk!$A$2:$C$125,3,FALSE),"Unmapped")</f>
        <v/>
      </c>
    </row>
    <row r="792">
      <c r="A792" t="n">
        <v>2016</v>
      </c>
      <c r="B792" t="inlineStr">
        <is>
          <t>BS11B00</t>
        </is>
      </c>
      <c r="C792" t="inlineStr">
        <is>
          <t>Crop and animal production (except cannabis)</t>
        </is>
      </c>
      <c r="D792" t="n">
        <v>71068</v>
      </c>
      <c r="E792">
        <f>IFERROR(VLOOKUP(B792,Crosswalk!$A$2:$C$125,3,FALSE),"Unmapped")</f>
        <v/>
      </c>
    </row>
    <row r="793">
      <c r="A793" t="n">
        <v>2016</v>
      </c>
      <c r="B793" t="inlineStr">
        <is>
          <t>BS21100</t>
        </is>
      </c>
      <c r="C793" t="inlineStr">
        <is>
          <t>Oil and gas extraction</t>
        </is>
      </c>
      <c r="D793" t="n">
        <v>182236</v>
      </c>
      <c r="E793">
        <f>IFERROR(VLOOKUP(B793,Crosswalk!$A$2:$C$125,3,FALSE),"Unmapped")</f>
        <v/>
      </c>
    </row>
    <row r="794">
      <c r="A794" t="n">
        <v>2016</v>
      </c>
      <c r="B794" t="inlineStr">
        <is>
          <t>BS21210</t>
        </is>
      </c>
      <c r="C794" t="inlineStr">
        <is>
          <t>Coal mining</t>
        </is>
      </c>
      <c r="D794" t="n">
        <v>3304</v>
      </c>
      <c r="E794">
        <f>IFERROR(VLOOKUP(B794,Crosswalk!$A$2:$C$125,3,FALSE),"Unmapped")</f>
        <v/>
      </c>
    </row>
    <row r="795">
      <c r="A795" t="n">
        <v>2016</v>
      </c>
      <c r="B795" t="inlineStr">
        <is>
          <t>BS21220</t>
        </is>
      </c>
      <c r="C795" t="inlineStr">
        <is>
          <t>Metal ore mining</t>
        </is>
      </c>
      <c r="D795" t="n">
        <v>4242</v>
      </c>
      <c r="E795">
        <f>IFERROR(VLOOKUP(B795,Crosswalk!$A$2:$C$125,3,FALSE),"Unmapped")</f>
        <v/>
      </c>
    </row>
    <row r="796">
      <c r="A796" t="n">
        <v>2016</v>
      </c>
      <c r="B796" t="inlineStr">
        <is>
          <t>BS21230</t>
        </is>
      </c>
      <c r="C796" t="inlineStr">
        <is>
          <t>Non-metallic mineral mining and quarrying</t>
        </is>
      </c>
      <c r="D796" t="n">
        <v>2442</v>
      </c>
      <c r="E796">
        <f>IFERROR(VLOOKUP(B796,Crosswalk!$A$2:$C$125,3,FALSE),"Unmapped")</f>
        <v/>
      </c>
    </row>
    <row r="797">
      <c r="A797" t="n">
        <v>2016</v>
      </c>
      <c r="B797" t="inlineStr">
        <is>
          <t>BS21300</t>
        </is>
      </c>
      <c r="C797" t="inlineStr">
        <is>
          <t>Support activities for mining and oil and gas extraction</t>
        </is>
      </c>
      <c r="D797" t="n">
        <v>6140</v>
      </c>
      <c r="E797">
        <f>IFERROR(VLOOKUP(B797,Crosswalk!$A$2:$C$125,3,FALSE),"Unmapped")</f>
        <v/>
      </c>
    </row>
    <row r="798">
      <c r="A798" t="n">
        <v>2016</v>
      </c>
      <c r="B798" t="inlineStr">
        <is>
          <t>BS22110</t>
        </is>
      </c>
      <c r="C798" t="inlineStr">
        <is>
          <t>Electric power generation, transmission and distribution</t>
        </is>
      </c>
      <c r="D798" t="n">
        <v>82281</v>
      </c>
      <c r="E798">
        <f>IFERROR(VLOOKUP(B798,Crosswalk!$A$2:$C$125,3,FALSE),"Unmapped")</f>
        <v/>
      </c>
    </row>
    <row r="799">
      <c r="A799" t="n">
        <v>2016</v>
      </c>
      <c r="B799" t="inlineStr">
        <is>
          <t>BS221A0</t>
        </is>
      </c>
      <c r="C799" t="inlineStr">
        <is>
          <t>Natural gas distribution, water, sewage and other systems</t>
        </is>
      </c>
      <c r="D799" t="n">
        <v>2164</v>
      </c>
      <c r="E799">
        <f>IFERROR(VLOOKUP(B799,Crosswalk!$A$2:$C$125,3,FALSE),"Unmapped")</f>
        <v/>
      </c>
    </row>
    <row r="800">
      <c r="A800" t="n">
        <v>2016</v>
      </c>
      <c r="B800" t="inlineStr">
        <is>
          <t>BS23A00</t>
        </is>
      </c>
      <c r="C800" t="inlineStr">
        <is>
          <t>Residential building construction</t>
        </is>
      </c>
      <c r="D800" t="n">
        <v>1895</v>
      </c>
      <c r="E800">
        <f>IFERROR(VLOOKUP(B800,Crosswalk!$A$2:$C$125,3,FALSE),"Unmapped")</f>
        <v/>
      </c>
    </row>
    <row r="801">
      <c r="A801" t="n">
        <v>2016</v>
      </c>
      <c r="B801" t="inlineStr">
        <is>
          <t>BS23B00</t>
        </is>
      </c>
      <c r="C801" t="inlineStr">
        <is>
          <t>Non-residential building construction</t>
        </is>
      </c>
      <c r="D801" t="n">
        <v>584</v>
      </c>
      <c r="E801">
        <f>IFERROR(VLOOKUP(B801,Crosswalk!$A$2:$C$125,3,FALSE),"Unmapped")</f>
        <v/>
      </c>
    </row>
    <row r="802">
      <c r="A802" t="n">
        <v>2016</v>
      </c>
      <c r="B802" t="inlineStr">
        <is>
          <t>BS23C10</t>
        </is>
      </c>
      <c r="C802" t="inlineStr">
        <is>
          <t>Transportation engineering construction</t>
        </is>
      </c>
      <c r="D802" t="n">
        <v>1388</v>
      </c>
      <c r="E802">
        <f>IFERROR(VLOOKUP(B802,Crosswalk!$A$2:$C$125,3,FALSE),"Unmapped")</f>
        <v/>
      </c>
    </row>
    <row r="803">
      <c r="A803" t="n">
        <v>2016</v>
      </c>
      <c r="B803" t="inlineStr">
        <is>
          <t>BS23C20</t>
        </is>
      </c>
      <c r="C803" t="inlineStr">
        <is>
          <t>Oil and gas engineering construction</t>
        </is>
      </c>
      <c r="D803" t="n">
        <v>1235</v>
      </c>
      <c r="E803">
        <f>IFERROR(VLOOKUP(B803,Crosswalk!$A$2:$C$125,3,FALSE),"Unmapped")</f>
        <v/>
      </c>
    </row>
    <row r="804">
      <c r="A804" t="n">
        <v>2016</v>
      </c>
      <c r="B804" t="inlineStr">
        <is>
          <t>BS23C30</t>
        </is>
      </c>
      <c r="C804" t="inlineStr">
        <is>
          <t>Electric power engineering construction</t>
        </is>
      </c>
      <c r="D804" t="n">
        <v>1073</v>
      </c>
      <c r="E804">
        <f>IFERROR(VLOOKUP(B804,Crosswalk!$A$2:$C$125,3,FALSE),"Unmapped")</f>
        <v/>
      </c>
    </row>
    <row r="805">
      <c r="A805" t="n">
        <v>2016</v>
      </c>
      <c r="B805" t="inlineStr">
        <is>
          <t>BS23C40</t>
        </is>
      </c>
      <c r="C805" t="inlineStr">
        <is>
          <t>Communication engineering construction</t>
        </is>
      </c>
      <c r="D805" t="n">
        <v>458</v>
      </c>
      <c r="E805">
        <f>IFERROR(VLOOKUP(B805,Crosswalk!$A$2:$C$125,3,FALSE),"Unmapped")</f>
        <v/>
      </c>
    </row>
    <row r="806">
      <c r="A806" t="n">
        <v>2016</v>
      </c>
      <c r="B806" t="inlineStr">
        <is>
          <t>BS23C50</t>
        </is>
      </c>
      <c r="C806" t="inlineStr">
        <is>
          <t>Other engineering construction</t>
        </is>
      </c>
      <c r="D806" t="n">
        <v>1198</v>
      </c>
      <c r="E806">
        <f>IFERROR(VLOOKUP(B806,Crosswalk!$A$2:$C$125,3,FALSE),"Unmapped")</f>
        <v/>
      </c>
    </row>
    <row r="807">
      <c r="A807" t="n">
        <v>2016</v>
      </c>
      <c r="B807" t="inlineStr">
        <is>
          <t>BS23D00</t>
        </is>
      </c>
      <c r="C807" t="inlineStr">
        <is>
          <t>Repair construction</t>
        </is>
      </c>
      <c r="D807" t="n">
        <v>728</v>
      </c>
      <c r="E807">
        <f>IFERROR(VLOOKUP(B807,Crosswalk!$A$2:$C$125,3,FALSE),"Unmapped")</f>
        <v/>
      </c>
    </row>
    <row r="808">
      <c r="A808" t="n">
        <v>2016</v>
      </c>
      <c r="B808" t="inlineStr">
        <is>
          <t>BS23E00</t>
        </is>
      </c>
      <c r="C808" t="inlineStr">
        <is>
          <t>Other activities of the construction industry</t>
        </is>
      </c>
      <c r="D808" t="n">
        <v>707</v>
      </c>
      <c r="E808">
        <f>IFERROR(VLOOKUP(B808,Crosswalk!$A$2:$C$125,3,FALSE),"Unmapped")</f>
        <v/>
      </c>
    </row>
    <row r="809">
      <c r="A809" t="n">
        <v>2016</v>
      </c>
      <c r="B809" t="inlineStr">
        <is>
          <t>BS31110</t>
        </is>
      </c>
      <c r="C809" t="inlineStr">
        <is>
          <t>Animal food manufacturing</t>
        </is>
      </c>
      <c r="D809" t="n">
        <v>341</v>
      </c>
      <c r="E809">
        <f>IFERROR(VLOOKUP(B809,Crosswalk!$A$2:$C$125,3,FALSE),"Unmapped")</f>
        <v/>
      </c>
    </row>
    <row r="810">
      <c r="A810" t="n">
        <v>2016</v>
      </c>
      <c r="B810" t="inlineStr">
        <is>
          <t>BS31130</t>
        </is>
      </c>
      <c r="C810" t="inlineStr">
        <is>
          <t>Sugar and confectionery product manufacturing</t>
        </is>
      </c>
      <c r="D810" t="n">
        <v>397</v>
      </c>
      <c r="E810">
        <f>IFERROR(VLOOKUP(B810,Crosswalk!$A$2:$C$125,3,FALSE),"Unmapped")</f>
        <v/>
      </c>
    </row>
    <row r="811">
      <c r="A811" t="n">
        <v>2016</v>
      </c>
      <c r="B811" t="inlineStr">
        <is>
          <t>BS31140</t>
        </is>
      </c>
      <c r="C811" t="inlineStr">
        <is>
          <t>Fruit and vegetable preserving and specialty food manufacturing</t>
        </is>
      </c>
      <c r="D811" t="n">
        <v>457</v>
      </c>
      <c r="E811">
        <f>IFERROR(VLOOKUP(B811,Crosswalk!$A$2:$C$125,3,FALSE),"Unmapped")</f>
        <v/>
      </c>
    </row>
    <row r="812">
      <c r="A812" t="n">
        <v>2016</v>
      </c>
      <c r="B812" t="inlineStr">
        <is>
          <t>BS31150</t>
        </is>
      </c>
      <c r="C812" t="inlineStr">
        <is>
          <t>Dairy product manufacturing</t>
        </is>
      </c>
      <c r="D812" t="n">
        <v>383</v>
      </c>
      <c r="E812">
        <f>IFERROR(VLOOKUP(B812,Crosswalk!$A$2:$C$125,3,FALSE),"Unmapped")</f>
        <v/>
      </c>
    </row>
    <row r="813">
      <c r="A813" t="n">
        <v>2016</v>
      </c>
      <c r="B813" t="inlineStr">
        <is>
          <t>BS31160</t>
        </is>
      </c>
      <c r="C813" t="inlineStr">
        <is>
          <t>Meat product manufacturing</t>
        </is>
      </c>
      <c r="D813" t="n">
        <v>1159</v>
      </c>
      <c r="E813">
        <f>IFERROR(VLOOKUP(B813,Crosswalk!$A$2:$C$125,3,FALSE),"Unmapped")</f>
        <v/>
      </c>
    </row>
    <row r="814">
      <c r="A814" t="n">
        <v>2016</v>
      </c>
      <c r="B814" t="inlineStr">
        <is>
          <t>BS31170</t>
        </is>
      </c>
      <c r="C814" t="inlineStr">
        <is>
          <t>Seafood product preparation and packaging</t>
        </is>
      </c>
      <c r="D814" t="n">
        <v>178</v>
      </c>
      <c r="E814">
        <f>IFERROR(VLOOKUP(B814,Crosswalk!$A$2:$C$125,3,FALSE),"Unmapped")</f>
        <v/>
      </c>
    </row>
    <row r="815">
      <c r="A815" t="n">
        <v>2016</v>
      </c>
      <c r="B815" t="inlineStr">
        <is>
          <t>BS311A0</t>
        </is>
      </c>
      <c r="C815" t="inlineStr">
        <is>
          <t>Miscellaneous food manufacturing</t>
        </is>
      </c>
      <c r="D815" t="n">
        <v>2072</v>
      </c>
      <c r="E815">
        <f>IFERROR(VLOOKUP(B815,Crosswalk!$A$2:$C$125,3,FALSE),"Unmapped")</f>
        <v/>
      </c>
    </row>
    <row r="816">
      <c r="A816" t="n">
        <v>2016</v>
      </c>
      <c r="B816" t="inlineStr">
        <is>
          <t>BS31211</t>
        </is>
      </c>
      <c r="C816" t="inlineStr">
        <is>
          <t>Soft drink and ice manufacturing</t>
        </is>
      </c>
      <c r="D816" t="n">
        <v>223</v>
      </c>
      <c r="E816">
        <f>IFERROR(VLOOKUP(B816,Crosswalk!$A$2:$C$125,3,FALSE),"Unmapped")</f>
        <v/>
      </c>
    </row>
    <row r="817">
      <c r="A817" t="n">
        <v>2016</v>
      </c>
      <c r="B817" t="inlineStr">
        <is>
          <t>BS31212</t>
        </is>
      </c>
      <c r="C817" t="inlineStr">
        <is>
          <t>Breweries</t>
        </is>
      </c>
      <c r="D817" t="n">
        <v>487</v>
      </c>
      <c r="E817">
        <f>IFERROR(VLOOKUP(B817,Crosswalk!$A$2:$C$125,3,FALSE),"Unmapped")</f>
        <v/>
      </c>
    </row>
    <row r="818">
      <c r="A818" t="n">
        <v>2016</v>
      </c>
      <c r="B818" t="inlineStr">
        <is>
          <t>BS3121A</t>
        </is>
      </c>
      <c r="C818" t="inlineStr">
        <is>
          <t>Wineries and distilleries</t>
        </is>
      </c>
      <c r="D818" t="n">
        <v>263</v>
      </c>
      <c r="E818">
        <f>IFERROR(VLOOKUP(B818,Crosswalk!$A$2:$C$125,3,FALSE),"Unmapped")</f>
        <v/>
      </c>
    </row>
    <row r="819">
      <c r="A819" t="n">
        <v>2016</v>
      </c>
      <c r="B819" t="inlineStr">
        <is>
          <t>BS31220</t>
        </is>
      </c>
      <c r="C819" t="inlineStr">
        <is>
          <t>Tobacco manufacturing</t>
        </is>
      </c>
      <c r="D819" t="n">
        <v>34</v>
      </c>
      <c r="E819">
        <f>IFERROR(VLOOKUP(B819,Crosswalk!$A$2:$C$125,3,FALSE),"Unmapped")</f>
        <v/>
      </c>
    </row>
    <row r="820">
      <c r="A820" t="n">
        <v>2016</v>
      </c>
      <c r="B820" t="inlineStr">
        <is>
          <t>BS31A00</t>
        </is>
      </c>
      <c r="C820" t="inlineStr">
        <is>
          <t>Textile and textile product mills</t>
        </is>
      </c>
      <c r="D820" t="n">
        <v>150</v>
      </c>
      <c r="E820">
        <f>IFERROR(VLOOKUP(B820,Crosswalk!$A$2:$C$125,3,FALSE),"Unmapped")</f>
        <v/>
      </c>
    </row>
    <row r="821">
      <c r="A821" t="n">
        <v>2016</v>
      </c>
      <c r="B821" t="inlineStr">
        <is>
          <t>BS31B00</t>
        </is>
      </c>
      <c r="C821" t="inlineStr">
        <is>
          <t>Clothing and leather and allied product manufacturing</t>
        </is>
      </c>
      <c r="D821" t="n">
        <v>66</v>
      </c>
      <c r="E821">
        <f>IFERROR(VLOOKUP(B821,Crosswalk!$A$2:$C$125,3,FALSE),"Unmapped")</f>
        <v/>
      </c>
    </row>
    <row r="822">
      <c r="A822" t="n">
        <v>2016</v>
      </c>
      <c r="B822" t="inlineStr">
        <is>
          <t>BS32100</t>
        </is>
      </c>
      <c r="C822" t="inlineStr">
        <is>
          <t>Wood product manufacturing</t>
        </is>
      </c>
      <c r="D822" t="n">
        <v>8907</v>
      </c>
      <c r="E822">
        <f>IFERROR(VLOOKUP(B822,Crosswalk!$A$2:$C$125,3,FALSE),"Unmapped")</f>
        <v/>
      </c>
    </row>
    <row r="823">
      <c r="A823" t="n">
        <v>2016</v>
      </c>
      <c r="B823" t="inlineStr">
        <is>
          <t>BS32210</t>
        </is>
      </c>
      <c r="C823" t="inlineStr">
        <is>
          <t>Pulp, paper and paperboard mills</t>
        </is>
      </c>
      <c r="D823" t="n">
        <v>39244</v>
      </c>
      <c r="E823">
        <f>IFERROR(VLOOKUP(B823,Crosswalk!$A$2:$C$125,3,FALSE),"Unmapped")</f>
        <v/>
      </c>
    </row>
    <row r="824">
      <c r="A824" t="n">
        <v>2016</v>
      </c>
      <c r="B824" t="inlineStr">
        <is>
          <t>BS32220</t>
        </is>
      </c>
      <c r="C824" t="inlineStr">
        <is>
          <t>Converted paper product manufacturing</t>
        </is>
      </c>
      <c r="D824" t="n">
        <v>474</v>
      </c>
      <c r="E824">
        <f>IFERROR(VLOOKUP(B824,Crosswalk!$A$2:$C$125,3,FALSE),"Unmapped")</f>
        <v/>
      </c>
    </row>
    <row r="825">
      <c r="A825" t="n">
        <v>2016</v>
      </c>
      <c r="B825" t="inlineStr">
        <is>
          <t>BS32300</t>
        </is>
      </c>
      <c r="C825" t="inlineStr">
        <is>
          <t>Printing and related support activities</t>
        </is>
      </c>
      <c r="D825" t="n">
        <v>313</v>
      </c>
      <c r="E825">
        <f>IFERROR(VLOOKUP(B825,Crosswalk!$A$2:$C$125,3,FALSE),"Unmapped")</f>
        <v/>
      </c>
    </row>
    <row r="826">
      <c r="A826" t="n">
        <v>2016</v>
      </c>
      <c r="B826" t="inlineStr">
        <is>
          <t>BS32400</t>
        </is>
      </c>
      <c r="C826" t="inlineStr">
        <is>
          <t>Petroleum and coal product manufacturing</t>
        </is>
      </c>
      <c r="D826" t="n">
        <v>21273</v>
      </c>
      <c r="E826">
        <f>IFERROR(VLOOKUP(B826,Crosswalk!$A$2:$C$125,3,FALSE),"Unmapped")</f>
        <v/>
      </c>
    </row>
    <row r="827">
      <c r="A827" t="n">
        <v>2016</v>
      </c>
      <c r="B827" t="inlineStr">
        <is>
          <t>BS32510</t>
        </is>
      </c>
      <c r="C827" t="inlineStr">
        <is>
          <t>Basic chemical manufacturing</t>
        </is>
      </c>
      <c r="D827" t="n">
        <v>11271</v>
      </c>
      <c r="E827">
        <f>IFERROR(VLOOKUP(B827,Crosswalk!$A$2:$C$125,3,FALSE),"Unmapped")</f>
        <v/>
      </c>
    </row>
    <row r="828">
      <c r="A828" t="n">
        <v>2016</v>
      </c>
      <c r="B828" t="inlineStr">
        <is>
          <t>BS32530</t>
        </is>
      </c>
      <c r="C828" t="inlineStr">
        <is>
          <t>Pesticide, fertilizer and other agricultural chemical manufacturing</t>
        </is>
      </c>
      <c r="D828" t="n">
        <v>6651</v>
      </c>
      <c r="E828">
        <f>IFERROR(VLOOKUP(B828,Crosswalk!$A$2:$C$125,3,FALSE),"Unmapped")</f>
        <v/>
      </c>
    </row>
    <row r="829">
      <c r="A829" t="n">
        <v>2016</v>
      </c>
      <c r="B829" t="inlineStr">
        <is>
          <t>BS32540</t>
        </is>
      </c>
      <c r="C829" t="inlineStr">
        <is>
          <t>Pharmaceutical and medicine manufacturing</t>
        </is>
      </c>
      <c r="D829" t="n">
        <v>426</v>
      </c>
      <c r="E829">
        <f>IFERROR(VLOOKUP(B829,Crosswalk!$A$2:$C$125,3,FALSE),"Unmapped")</f>
        <v/>
      </c>
    </row>
    <row r="830">
      <c r="A830" t="n">
        <v>2016</v>
      </c>
      <c r="B830" t="inlineStr">
        <is>
          <t>BS325C0</t>
        </is>
      </c>
      <c r="C830" t="inlineStr">
        <is>
          <t>Miscellaneous chemical product manufacturing</t>
        </is>
      </c>
      <c r="D830" t="n">
        <v>2801</v>
      </c>
      <c r="E830">
        <f>IFERROR(VLOOKUP(B830,Crosswalk!$A$2:$C$125,3,FALSE),"Unmapped")</f>
        <v/>
      </c>
    </row>
    <row r="831">
      <c r="A831" t="n">
        <v>2016</v>
      </c>
      <c r="B831" t="inlineStr">
        <is>
          <t>BS32610</t>
        </is>
      </c>
      <c r="C831" t="inlineStr">
        <is>
          <t>Plastic product manufacturing</t>
        </is>
      </c>
      <c r="D831" t="n">
        <v>804</v>
      </c>
      <c r="E831">
        <f>IFERROR(VLOOKUP(B831,Crosswalk!$A$2:$C$125,3,FALSE),"Unmapped")</f>
        <v/>
      </c>
    </row>
    <row r="832">
      <c r="A832" t="n">
        <v>2016</v>
      </c>
      <c r="B832" t="inlineStr">
        <is>
          <t>BS32620</t>
        </is>
      </c>
      <c r="C832" t="inlineStr">
        <is>
          <t>Rubber product manufacturing</t>
        </is>
      </c>
      <c r="D832" t="n">
        <v>236</v>
      </c>
      <c r="E832">
        <f>IFERROR(VLOOKUP(B832,Crosswalk!$A$2:$C$125,3,FALSE),"Unmapped")</f>
        <v/>
      </c>
    </row>
    <row r="833">
      <c r="A833" t="n">
        <v>2016</v>
      </c>
      <c r="B833" t="inlineStr">
        <is>
          <t>BS32730</t>
        </is>
      </c>
      <c r="C833" t="inlineStr">
        <is>
          <t>Cement and concrete product manufacturing</t>
        </is>
      </c>
      <c r="D833" t="n">
        <v>10466</v>
      </c>
      <c r="E833">
        <f>IFERROR(VLOOKUP(B833,Crosswalk!$A$2:$C$125,3,FALSE),"Unmapped")</f>
        <v/>
      </c>
    </row>
    <row r="834">
      <c r="A834" t="n">
        <v>2016</v>
      </c>
      <c r="B834" t="inlineStr">
        <is>
          <t>BS327A0</t>
        </is>
      </c>
      <c r="C834" t="inlineStr">
        <is>
          <t>Non-metallic mineral product manufacturing (except cement and concrete products)</t>
        </is>
      </c>
      <c r="D834" t="n">
        <v>2770</v>
      </c>
      <c r="E834">
        <f>IFERROR(VLOOKUP(B834,Crosswalk!$A$2:$C$125,3,FALSE),"Unmapped")</f>
        <v/>
      </c>
    </row>
    <row r="835">
      <c r="A835" t="n">
        <v>2016</v>
      </c>
      <c r="B835" t="inlineStr">
        <is>
          <t>BS33100</t>
        </is>
      </c>
      <c r="C835" t="inlineStr">
        <is>
          <t>Primary metal manufacturing</t>
        </is>
      </c>
      <c r="D835" t="n">
        <v>25613</v>
      </c>
      <c r="E835">
        <f>IFERROR(VLOOKUP(B835,Crosswalk!$A$2:$C$125,3,FALSE),"Unmapped")</f>
        <v/>
      </c>
    </row>
    <row r="836">
      <c r="A836" t="n">
        <v>2016</v>
      </c>
      <c r="B836" t="inlineStr">
        <is>
          <t>BS33200</t>
        </is>
      </c>
      <c r="C836" t="inlineStr">
        <is>
          <t>Fabricated metal product manufacturing</t>
        </is>
      </c>
      <c r="D836" t="n">
        <v>1711</v>
      </c>
      <c r="E836">
        <f>IFERROR(VLOOKUP(B836,Crosswalk!$A$2:$C$125,3,FALSE),"Unmapped")</f>
        <v/>
      </c>
    </row>
    <row r="837">
      <c r="A837" t="n">
        <v>2016</v>
      </c>
      <c r="B837" t="inlineStr">
        <is>
          <t>BS33300</t>
        </is>
      </c>
      <c r="C837" t="inlineStr">
        <is>
          <t>Machinery manufacturing</t>
        </is>
      </c>
      <c r="D837" t="n">
        <v>777</v>
      </c>
      <c r="E837">
        <f>IFERROR(VLOOKUP(B837,Crosswalk!$A$2:$C$125,3,FALSE),"Unmapped")</f>
        <v/>
      </c>
    </row>
    <row r="838">
      <c r="A838" t="n">
        <v>2016</v>
      </c>
      <c r="B838" t="inlineStr">
        <is>
          <t>BS33410</t>
        </is>
      </c>
      <c r="C838" t="inlineStr">
        <is>
          <t>Computer and peripheral equipment manufacturing</t>
        </is>
      </c>
      <c r="D838" t="n">
        <v>10</v>
      </c>
      <c r="E838">
        <f>IFERROR(VLOOKUP(B838,Crosswalk!$A$2:$C$125,3,FALSE),"Unmapped")</f>
        <v/>
      </c>
    </row>
    <row r="839">
      <c r="A839" t="n">
        <v>2016</v>
      </c>
      <c r="B839" t="inlineStr">
        <is>
          <t>BS334B0</t>
        </is>
      </c>
      <c r="C839" t="inlineStr">
        <is>
          <t>Electronic product manufacturing</t>
        </is>
      </c>
      <c r="D839" t="n">
        <v>160</v>
      </c>
      <c r="E839">
        <f>IFERROR(VLOOKUP(B839,Crosswalk!$A$2:$C$125,3,FALSE),"Unmapped")</f>
        <v/>
      </c>
    </row>
    <row r="840">
      <c r="A840" t="n">
        <v>2016</v>
      </c>
      <c r="B840" t="inlineStr">
        <is>
          <t>BS33520</t>
        </is>
      </c>
      <c r="C840" t="inlineStr">
        <is>
          <t>Household appliance manufacturing</t>
        </is>
      </c>
      <c r="D840" t="n">
        <v>14</v>
      </c>
      <c r="E840">
        <f>IFERROR(VLOOKUP(B840,Crosswalk!$A$2:$C$125,3,FALSE),"Unmapped")</f>
        <v/>
      </c>
    </row>
    <row r="841">
      <c r="A841" t="n">
        <v>2016</v>
      </c>
      <c r="B841" t="inlineStr">
        <is>
          <t>BS335A0</t>
        </is>
      </c>
      <c r="C841" t="inlineStr">
        <is>
          <t>Electrical equipment and component manufacturing</t>
        </is>
      </c>
      <c r="D841" t="n">
        <v>151</v>
      </c>
      <c r="E841">
        <f>IFERROR(VLOOKUP(B841,Crosswalk!$A$2:$C$125,3,FALSE),"Unmapped")</f>
        <v/>
      </c>
    </row>
    <row r="842">
      <c r="A842" t="n">
        <v>2016</v>
      </c>
      <c r="B842" t="inlineStr">
        <is>
          <t>BS33610</t>
        </is>
      </c>
      <c r="C842" t="inlineStr">
        <is>
          <t>Motor vehicle manufacturing</t>
        </is>
      </c>
      <c r="D842" t="n">
        <v>616</v>
      </c>
      <c r="E842">
        <f>IFERROR(VLOOKUP(B842,Crosswalk!$A$2:$C$125,3,FALSE),"Unmapped")</f>
        <v/>
      </c>
    </row>
    <row r="843">
      <c r="A843" t="n">
        <v>2016</v>
      </c>
      <c r="B843" t="inlineStr">
        <is>
          <t>BS33620</t>
        </is>
      </c>
      <c r="C843" t="inlineStr">
        <is>
          <t>Motor vehicle body and trailer manufacturing</t>
        </is>
      </c>
      <c r="D843" t="n">
        <v>88</v>
      </c>
      <c r="E843">
        <f>IFERROR(VLOOKUP(B843,Crosswalk!$A$2:$C$125,3,FALSE),"Unmapped")</f>
        <v/>
      </c>
    </row>
    <row r="844">
      <c r="A844" t="n">
        <v>2016</v>
      </c>
      <c r="B844" t="inlineStr">
        <is>
          <t>BS33630</t>
        </is>
      </c>
      <c r="C844" t="inlineStr">
        <is>
          <t>Motor vehicle parts manufacturing</t>
        </is>
      </c>
      <c r="D844" t="n">
        <v>415</v>
      </c>
      <c r="E844">
        <f>IFERROR(VLOOKUP(B844,Crosswalk!$A$2:$C$125,3,FALSE),"Unmapped")</f>
        <v/>
      </c>
    </row>
    <row r="845">
      <c r="A845" t="n">
        <v>2016</v>
      </c>
      <c r="B845" t="inlineStr">
        <is>
          <t>BS33640</t>
        </is>
      </c>
      <c r="C845" t="inlineStr">
        <is>
          <t>Aerospace product and parts manufacturing</t>
        </is>
      </c>
      <c r="D845" t="n">
        <v>364</v>
      </c>
      <c r="E845">
        <f>IFERROR(VLOOKUP(B845,Crosswalk!$A$2:$C$125,3,FALSE),"Unmapped")</f>
        <v/>
      </c>
    </row>
    <row r="846">
      <c r="A846" t="n">
        <v>2016</v>
      </c>
      <c r="B846" t="inlineStr">
        <is>
          <t>BS33650</t>
        </is>
      </c>
      <c r="C846" t="inlineStr">
        <is>
          <t>Railroad rolling stock manufacturing</t>
        </is>
      </c>
      <c r="D846" t="n">
        <v>24</v>
      </c>
      <c r="E846">
        <f>IFERROR(VLOOKUP(B846,Crosswalk!$A$2:$C$125,3,FALSE),"Unmapped")</f>
        <v/>
      </c>
    </row>
    <row r="847">
      <c r="A847" t="n">
        <v>2016</v>
      </c>
      <c r="B847" t="inlineStr">
        <is>
          <t>BS33660</t>
        </is>
      </c>
      <c r="C847" t="inlineStr">
        <is>
          <t>Ship and boat building</t>
        </is>
      </c>
      <c r="D847" t="n">
        <v>29</v>
      </c>
      <c r="E847">
        <f>IFERROR(VLOOKUP(B847,Crosswalk!$A$2:$C$125,3,FALSE),"Unmapped")</f>
        <v/>
      </c>
    </row>
    <row r="848">
      <c r="A848" t="n">
        <v>2016</v>
      </c>
      <c r="B848" t="inlineStr">
        <is>
          <t>BS33690</t>
        </is>
      </c>
      <c r="C848" t="inlineStr">
        <is>
          <t>Other transportation equipment manufacturing</t>
        </is>
      </c>
      <c r="D848" t="n">
        <v>44</v>
      </c>
      <c r="E848">
        <f>IFERROR(VLOOKUP(B848,Crosswalk!$A$2:$C$125,3,FALSE),"Unmapped")</f>
        <v/>
      </c>
    </row>
    <row r="849">
      <c r="A849" t="n">
        <v>2016</v>
      </c>
      <c r="B849" t="inlineStr">
        <is>
          <t>BS33700</t>
        </is>
      </c>
      <c r="C849" t="inlineStr">
        <is>
          <t>Furniture and related product manufacturing</t>
        </is>
      </c>
      <c r="D849" t="n">
        <v>475</v>
      </c>
      <c r="E849">
        <f>IFERROR(VLOOKUP(B849,Crosswalk!$A$2:$C$125,3,FALSE),"Unmapped")</f>
        <v/>
      </c>
    </row>
    <row r="850">
      <c r="A850" t="n">
        <v>2016</v>
      </c>
      <c r="B850" t="inlineStr">
        <is>
          <t>BS33900</t>
        </is>
      </c>
      <c r="C850" t="inlineStr">
        <is>
          <t>Miscellaneous manufacturing</t>
        </is>
      </c>
      <c r="D850" t="n">
        <v>324</v>
      </c>
      <c r="E850">
        <f>IFERROR(VLOOKUP(B850,Crosswalk!$A$2:$C$125,3,FALSE),"Unmapped")</f>
        <v/>
      </c>
    </row>
    <row r="851">
      <c r="A851" t="n">
        <v>2016</v>
      </c>
      <c r="B851" t="inlineStr">
        <is>
          <t>BS41000</t>
        </is>
      </c>
      <c r="C851" t="inlineStr">
        <is>
          <t>Wholesale trade</t>
        </is>
      </c>
      <c r="D851" t="n">
        <v>9187</v>
      </c>
      <c r="E851">
        <f>IFERROR(VLOOKUP(B851,Crosswalk!$A$2:$C$125,3,FALSE),"Unmapped")</f>
        <v/>
      </c>
    </row>
    <row r="852">
      <c r="A852" t="n">
        <v>2016</v>
      </c>
      <c r="B852" t="inlineStr">
        <is>
          <t>BS453BL</t>
        </is>
      </c>
      <c r="C852" t="inlineStr">
        <is>
          <t>Cannabis stores (licensed)</t>
        </is>
      </c>
      <c r="D852" t="n">
        <v>0</v>
      </c>
      <c r="E852">
        <f>IFERROR(VLOOKUP(B852,Crosswalk!$A$2:$C$125,3,FALSE),"Unmapped")</f>
        <v/>
      </c>
    </row>
    <row r="853">
      <c r="A853" t="n">
        <v>2016</v>
      </c>
      <c r="B853" t="inlineStr">
        <is>
          <t>BS453BU</t>
        </is>
      </c>
      <c r="C853" t="inlineStr">
        <is>
          <t>Cannabis stores (unlicensed)</t>
        </is>
      </c>
      <c r="D853" t="n">
        <v>41</v>
      </c>
      <c r="E853">
        <f>IFERROR(VLOOKUP(B853,Crosswalk!$A$2:$C$125,3,FALSE),"Unmapped")</f>
        <v/>
      </c>
    </row>
    <row r="854">
      <c r="A854" t="n">
        <v>2016</v>
      </c>
      <c r="B854" t="inlineStr">
        <is>
          <t>BS48100</t>
        </is>
      </c>
      <c r="C854" t="inlineStr">
        <is>
          <t>Air transportation</t>
        </is>
      </c>
      <c r="D854" t="n">
        <v>19311</v>
      </c>
      <c r="E854">
        <f>IFERROR(VLOOKUP(B854,Crosswalk!$A$2:$C$125,3,FALSE),"Unmapped")</f>
        <v/>
      </c>
    </row>
    <row r="855">
      <c r="A855" t="n">
        <v>2016</v>
      </c>
      <c r="B855" t="inlineStr">
        <is>
          <t>BS48200</t>
        </is>
      </c>
      <c r="C855" t="inlineStr">
        <is>
          <t>Rail transportation</t>
        </is>
      </c>
      <c r="D855" t="n">
        <v>5169</v>
      </c>
      <c r="E855">
        <f>IFERROR(VLOOKUP(B855,Crosswalk!$A$2:$C$125,3,FALSE),"Unmapped")</f>
        <v/>
      </c>
    </row>
    <row r="856">
      <c r="A856" t="n">
        <v>2016</v>
      </c>
      <c r="B856" t="inlineStr">
        <is>
          <t>BS48300</t>
        </is>
      </c>
      <c r="C856" t="inlineStr">
        <is>
          <t>Water transportation</t>
        </is>
      </c>
      <c r="D856" t="n">
        <v>2787</v>
      </c>
      <c r="E856">
        <f>IFERROR(VLOOKUP(B856,Crosswalk!$A$2:$C$125,3,FALSE),"Unmapped")</f>
        <v/>
      </c>
    </row>
    <row r="857">
      <c r="A857" t="n">
        <v>2016</v>
      </c>
      <c r="B857" t="inlineStr">
        <is>
          <t>BS48400</t>
        </is>
      </c>
      <c r="C857" t="inlineStr">
        <is>
          <t>Truck transportation</t>
        </is>
      </c>
      <c r="D857" t="n">
        <v>18778</v>
      </c>
      <c r="E857">
        <f>IFERROR(VLOOKUP(B857,Crosswalk!$A$2:$C$125,3,FALSE),"Unmapped")</f>
        <v/>
      </c>
    </row>
    <row r="858">
      <c r="A858" t="n">
        <v>2016</v>
      </c>
      <c r="B858" t="inlineStr">
        <is>
          <t>BS48600</t>
        </is>
      </c>
      <c r="C858" t="inlineStr">
        <is>
          <t>Pipeline transportation</t>
        </is>
      </c>
      <c r="D858" t="n">
        <v>8370</v>
      </c>
      <c r="E858">
        <f>IFERROR(VLOOKUP(B858,Crosswalk!$A$2:$C$125,3,FALSE),"Unmapped")</f>
        <v/>
      </c>
    </row>
    <row r="859">
      <c r="A859" t="n">
        <v>2016</v>
      </c>
      <c r="B859" t="inlineStr">
        <is>
          <t>BS48B00</t>
        </is>
      </c>
      <c r="C859" t="inlineStr">
        <is>
          <t>Transit, ground passenger and scenic and sightseeing transportation, taxi and limousine service and support activities for transportation</t>
        </is>
      </c>
      <c r="D859" t="n">
        <v>4567</v>
      </c>
      <c r="E859">
        <f>IFERROR(VLOOKUP(B859,Crosswalk!$A$2:$C$125,3,FALSE),"Unmapped")</f>
        <v/>
      </c>
    </row>
    <row r="860">
      <c r="A860" t="n">
        <v>2016</v>
      </c>
      <c r="B860" t="inlineStr">
        <is>
          <t>BS49300</t>
        </is>
      </c>
      <c r="C860" t="inlineStr">
        <is>
          <t>Warehousing and storage</t>
        </is>
      </c>
      <c r="D860" t="n">
        <v>236</v>
      </c>
      <c r="E860">
        <f>IFERROR(VLOOKUP(B860,Crosswalk!$A$2:$C$125,3,FALSE),"Unmapped")</f>
        <v/>
      </c>
    </row>
    <row r="861">
      <c r="A861" t="n">
        <v>2016</v>
      </c>
      <c r="B861" t="inlineStr">
        <is>
          <t>BS49A00</t>
        </is>
      </c>
      <c r="C861" t="inlineStr">
        <is>
          <t>Postal service and couriers and messengers</t>
        </is>
      </c>
      <c r="D861" t="n">
        <v>2252</v>
      </c>
      <c r="E861">
        <f>IFERROR(VLOOKUP(B861,Crosswalk!$A$2:$C$125,3,FALSE),"Unmapped")</f>
        <v/>
      </c>
    </row>
    <row r="862">
      <c r="A862" t="n">
        <v>2016</v>
      </c>
      <c r="B862" t="inlineStr">
        <is>
          <t>BS4AA00</t>
        </is>
      </c>
      <c r="C862" t="inlineStr">
        <is>
          <t>Retail trade (except cannabis)</t>
        </is>
      </c>
      <c r="D862" t="n">
        <v>7248</v>
      </c>
      <c r="E862">
        <f>IFERROR(VLOOKUP(B862,Crosswalk!$A$2:$C$125,3,FALSE),"Unmapped")</f>
        <v/>
      </c>
    </row>
    <row r="863">
      <c r="A863" t="n">
        <v>2016</v>
      </c>
      <c r="B863" t="inlineStr">
        <is>
          <t>BS51200</t>
        </is>
      </c>
      <c r="C863" t="inlineStr">
        <is>
          <t>Motion picture and sound recording industries</t>
        </is>
      </c>
      <c r="D863" t="n">
        <v>490</v>
      </c>
      <c r="E863">
        <f>IFERROR(VLOOKUP(B863,Crosswalk!$A$2:$C$125,3,FALSE),"Unmapped")</f>
        <v/>
      </c>
    </row>
    <row r="864">
      <c r="A864" t="n">
        <v>2016</v>
      </c>
      <c r="B864" t="inlineStr">
        <is>
          <t>BS51510</t>
        </is>
      </c>
      <c r="C864" t="inlineStr">
        <is>
          <t>Radio and television broadcasting</t>
        </is>
      </c>
      <c r="D864" t="n">
        <v>53</v>
      </c>
      <c r="E864">
        <f>IFERROR(VLOOKUP(B864,Crosswalk!$A$2:$C$125,3,FALSE),"Unmapped")</f>
        <v/>
      </c>
    </row>
    <row r="865">
      <c r="A865" t="n">
        <v>2016</v>
      </c>
      <c r="B865" t="inlineStr">
        <is>
          <t>BS51B00</t>
        </is>
      </c>
      <c r="C865" t="inlineStr">
        <is>
          <t>Publishing, pay/specialty services, telecommunications and other information services</t>
        </is>
      </c>
      <c r="D865" t="n">
        <v>1498</v>
      </c>
      <c r="E865">
        <f>IFERROR(VLOOKUP(B865,Crosswalk!$A$2:$C$125,3,FALSE),"Unmapped")</f>
        <v/>
      </c>
    </row>
    <row r="866">
      <c r="A866" t="n">
        <v>2016</v>
      </c>
      <c r="B866" t="inlineStr">
        <is>
          <t>BS52410</t>
        </is>
      </c>
      <c r="C866" t="inlineStr">
        <is>
          <t>Insurance carriers</t>
        </is>
      </c>
      <c r="D866" t="n">
        <v>173</v>
      </c>
      <c r="E866">
        <f>IFERROR(VLOOKUP(B866,Crosswalk!$A$2:$C$125,3,FALSE),"Unmapped")</f>
        <v/>
      </c>
    </row>
    <row r="867">
      <c r="A867" t="n">
        <v>2016</v>
      </c>
      <c r="B867" t="inlineStr">
        <is>
          <t>BS52B00</t>
        </is>
      </c>
      <c r="C867" t="inlineStr">
        <is>
          <t>Depository credit intermediation and monetary authorities</t>
        </is>
      </c>
      <c r="D867" t="n">
        <v>1117</v>
      </c>
      <c r="E867">
        <f>IFERROR(VLOOKUP(B867,Crosswalk!$A$2:$C$125,3,FALSE),"Unmapped")</f>
        <v/>
      </c>
    </row>
    <row r="868">
      <c r="A868" t="n">
        <v>2016</v>
      </c>
      <c r="B868" t="inlineStr">
        <is>
          <t>BS53110</t>
        </is>
      </c>
      <c r="C868" t="inlineStr">
        <is>
          <t>Lessors of real estate</t>
        </is>
      </c>
      <c r="D868" t="n">
        <v>6546</v>
      </c>
      <c r="E868">
        <f>IFERROR(VLOOKUP(B868,Crosswalk!$A$2:$C$125,3,FALSE),"Unmapped")</f>
        <v/>
      </c>
    </row>
    <row r="869">
      <c r="A869" t="n">
        <v>2016</v>
      </c>
      <c r="B869" t="inlineStr">
        <is>
          <t>BS5311A</t>
        </is>
      </c>
      <c r="C869" t="inlineStr">
        <is>
          <t>Owner-occupied dwellings</t>
        </is>
      </c>
      <c r="D869" t="n">
        <v>0</v>
      </c>
      <c r="E869">
        <f>IFERROR(VLOOKUP(B869,Crosswalk!$A$2:$C$125,3,FALSE),"Unmapped")</f>
        <v/>
      </c>
    </row>
    <row r="870">
      <c r="A870" t="n">
        <v>2016</v>
      </c>
      <c r="B870" t="inlineStr">
        <is>
          <t>BS53B00</t>
        </is>
      </c>
      <c r="C870" t="inlineStr">
        <is>
          <t>Rental and leasing services and lessors of non-financial intangible assets (except copyrighted works)</t>
        </is>
      </c>
      <c r="D870" t="n">
        <v>2417</v>
      </c>
      <c r="E870">
        <f>IFERROR(VLOOKUP(B870,Crosswalk!$A$2:$C$125,3,FALSE),"Unmapped")</f>
        <v/>
      </c>
    </row>
    <row r="871">
      <c r="A871" t="n">
        <v>2016</v>
      </c>
      <c r="B871" t="inlineStr">
        <is>
          <t>BS54180</t>
        </is>
      </c>
      <c r="C871" t="inlineStr">
        <is>
          <t>Advertising, public relations and related services</t>
        </is>
      </c>
      <c r="D871" t="n">
        <v>186</v>
      </c>
      <c r="E871">
        <f>IFERROR(VLOOKUP(B871,Crosswalk!$A$2:$C$125,3,FALSE),"Unmapped")</f>
        <v/>
      </c>
    </row>
    <row r="872">
      <c r="A872" t="n">
        <v>2016</v>
      </c>
      <c r="B872" t="inlineStr">
        <is>
          <t>BS541C0</t>
        </is>
      </c>
      <c r="C872" t="inlineStr">
        <is>
          <t>Legal, accounting and architectural, engineering and related services</t>
        </is>
      </c>
      <c r="D872" t="n">
        <v>1024</v>
      </c>
      <c r="E872">
        <f>IFERROR(VLOOKUP(B872,Crosswalk!$A$2:$C$125,3,FALSE),"Unmapped")</f>
        <v/>
      </c>
    </row>
    <row r="873">
      <c r="A873" t="n">
        <v>2016</v>
      </c>
      <c r="B873" t="inlineStr">
        <is>
          <t>BS541D0</t>
        </is>
      </c>
      <c r="C873" t="inlineStr">
        <is>
          <t>Computer systems design and other professional, scientific and technical services</t>
        </is>
      </c>
      <c r="D873" t="n">
        <v>909</v>
      </c>
      <c r="E873">
        <f>IFERROR(VLOOKUP(B873,Crosswalk!$A$2:$C$125,3,FALSE),"Unmapped")</f>
        <v/>
      </c>
    </row>
    <row r="874">
      <c r="A874" t="n">
        <v>2016</v>
      </c>
      <c r="B874" t="inlineStr">
        <is>
          <t>BS56100</t>
        </is>
      </c>
      <c r="C874" t="inlineStr">
        <is>
          <t>Administrative and support services</t>
        </is>
      </c>
      <c r="D874" t="n">
        <v>2579</v>
      </c>
      <c r="E874">
        <f>IFERROR(VLOOKUP(B874,Crosswalk!$A$2:$C$125,3,FALSE),"Unmapped")</f>
        <v/>
      </c>
    </row>
    <row r="875">
      <c r="A875" t="n">
        <v>2016</v>
      </c>
      <c r="B875" t="inlineStr">
        <is>
          <t>BS56200</t>
        </is>
      </c>
      <c r="C875" t="inlineStr">
        <is>
          <t>Waste management and remediation services</t>
        </is>
      </c>
      <c r="D875" t="n">
        <v>1277</v>
      </c>
      <c r="E875">
        <f>IFERROR(VLOOKUP(B875,Crosswalk!$A$2:$C$125,3,FALSE),"Unmapped")</f>
        <v/>
      </c>
    </row>
    <row r="876">
      <c r="A876" t="n">
        <v>2016</v>
      </c>
      <c r="B876" t="inlineStr">
        <is>
          <t>BS5A000</t>
        </is>
      </c>
      <c r="C876" t="inlineStr">
        <is>
          <t>Other finance, insurance and real estate services and management of companies and enterprises</t>
        </is>
      </c>
      <c r="D876" t="n">
        <v>3786</v>
      </c>
      <c r="E876">
        <f>IFERROR(VLOOKUP(B876,Crosswalk!$A$2:$C$125,3,FALSE),"Unmapped")</f>
        <v/>
      </c>
    </row>
    <row r="877">
      <c r="A877" t="n">
        <v>2016</v>
      </c>
      <c r="B877" t="inlineStr">
        <is>
          <t>BS61000</t>
        </is>
      </c>
      <c r="C877" t="inlineStr">
        <is>
          <t>Educational services</t>
        </is>
      </c>
      <c r="D877" t="n">
        <v>234</v>
      </c>
      <c r="E877">
        <f>IFERROR(VLOOKUP(B877,Crosswalk!$A$2:$C$125,3,FALSE),"Unmapped")</f>
        <v/>
      </c>
    </row>
    <row r="878">
      <c r="A878" t="n">
        <v>2016</v>
      </c>
      <c r="B878" t="inlineStr">
        <is>
          <t>BS62000</t>
        </is>
      </c>
      <c r="C878" t="inlineStr">
        <is>
          <t>Health care and social assistance</t>
        </is>
      </c>
      <c r="D878" t="n">
        <v>2156</v>
      </c>
      <c r="E878">
        <f>IFERROR(VLOOKUP(B878,Crosswalk!$A$2:$C$125,3,FALSE),"Unmapped")</f>
        <v/>
      </c>
    </row>
    <row r="879">
      <c r="A879" t="n">
        <v>2016</v>
      </c>
      <c r="B879" t="inlineStr">
        <is>
          <t>BS71000</t>
        </is>
      </c>
      <c r="C879" t="inlineStr">
        <is>
          <t>Arts, entertainment and recreation</t>
        </is>
      </c>
      <c r="D879" t="n">
        <v>245</v>
      </c>
      <c r="E879">
        <f>IFERROR(VLOOKUP(B879,Crosswalk!$A$2:$C$125,3,FALSE),"Unmapped")</f>
        <v/>
      </c>
    </row>
    <row r="880">
      <c r="A880" t="n">
        <v>2016</v>
      </c>
      <c r="B880" t="inlineStr">
        <is>
          <t>BS72000</t>
        </is>
      </c>
      <c r="C880" t="inlineStr">
        <is>
          <t>Accommodation and food services</t>
        </is>
      </c>
      <c r="D880" t="n">
        <v>1714</v>
      </c>
      <c r="E880">
        <f>IFERROR(VLOOKUP(B880,Crosswalk!$A$2:$C$125,3,FALSE),"Unmapped")</f>
        <v/>
      </c>
    </row>
    <row r="881">
      <c r="A881" t="n">
        <v>2016</v>
      </c>
      <c r="B881" t="inlineStr">
        <is>
          <t>BS81100</t>
        </is>
      </c>
      <c r="C881" t="inlineStr">
        <is>
          <t>Repair and maintenance</t>
        </is>
      </c>
      <c r="D881" t="n">
        <v>2251</v>
      </c>
      <c r="E881">
        <f>IFERROR(VLOOKUP(B881,Crosswalk!$A$2:$C$125,3,FALSE),"Unmapped")</f>
        <v/>
      </c>
    </row>
    <row r="882">
      <c r="A882" t="n">
        <v>2016</v>
      </c>
      <c r="B882" t="inlineStr">
        <is>
          <t>BS81300</t>
        </is>
      </c>
      <c r="C882" t="inlineStr">
        <is>
          <t>Professional and similar organisations</t>
        </is>
      </c>
      <c r="D882" t="n">
        <v>17</v>
      </c>
      <c r="E882">
        <f>IFERROR(VLOOKUP(B882,Crosswalk!$A$2:$C$125,3,FALSE),"Unmapped")</f>
        <v/>
      </c>
    </row>
    <row r="883">
      <c r="A883" t="n">
        <v>2016</v>
      </c>
      <c r="B883" t="inlineStr">
        <is>
          <t>BS81A00</t>
        </is>
      </c>
      <c r="C883" t="inlineStr">
        <is>
          <t>Personal services and private households</t>
        </is>
      </c>
      <c r="D883" t="n">
        <v>588</v>
      </c>
      <c r="E883">
        <f>IFERROR(VLOOKUP(B883,Crosswalk!$A$2:$C$125,3,FALSE),"Unmapped")</f>
        <v/>
      </c>
    </row>
    <row r="884">
      <c r="A884" t="n">
        <v>2016</v>
      </c>
      <c r="B884" t="inlineStr">
        <is>
          <t>FC11000</t>
        </is>
      </c>
      <c r="C884" t="inlineStr">
        <is>
          <t>Repair and maintenance</t>
        </is>
      </c>
      <c r="D884" t="n">
        <v>0</v>
      </c>
      <c r="E884">
        <f>IFERROR(VLOOKUP(B884,Crosswalk!$A$2:$C$125,3,FALSE),"Unmapped")</f>
        <v/>
      </c>
    </row>
    <row r="885">
      <c r="A885" t="n">
        <v>2016</v>
      </c>
      <c r="B885" t="inlineStr">
        <is>
          <t>FC12000</t>
        </is>
      </c>
      <c r="C885" t="inlineStr">
        <is>
          <t>Operating supplies</t>
        </is>
      </c>
      <c r="D885" t="n">
        <v>0</v>
      </c>
      <c r="E885">
        <f>IFERROR(VLOOKUP(B885,Crosswalk!$A$2:$C$125,3,FALSE),"Unmapped")</f>
        <v/>
      </c>
    </row>
    <row r="886">
      <c r="A886" t="n">
        <v>2016</v>
      </c>
      <c r="B886" t="inlineStr">
        <is>
          <t>FC13000</t>
        </is>
      </c>
      <c r="C886" t="inlineStr">
        <is>
          <t>Office supplies</t>
        </is>
      </c>
      <c r="D886" t="n">
        <v>0</v>
      </c>
      <c r="E886">
        <f>IFERROR(VLOOKUP(B886,Crosswalk!$A$2:$C$125,3,FALSE),"Unmapped")</f>
        <v/>
      </c>
    </row>
    <row r="887">
      <c r="A887" t="n">
        <v>2016</v>
      </c>
      <c r="B887" t="inlineStr">
        <is>
          <t>FC20000</t>
        </is>
      </c>
      <c r="C887" t="inlineStr">
        <is>
          <t>Advertising, promotion, meals, entertainment, and travel</t>
        </is>
      </c>
      <c r="D887" t="n">
        <v>0</v>
      </c>
      <c r="E887">
        <f>IFERROR(VLOOKUP(B887,Crosswalk!$A$2:$C$125,3,FALSE),"Unmapped")</f>
        <v/>
      </c>
    </row>
    <row r="888">
      <c r="A888" t="n">
        <v>2016</v>
      </c>
      <c r="B888" t="inlineStr">
        <is>
          <t>FC30000</t>
        </is>
      </c>
      <c r="C888" t="inlineStr">
        <is>
          <t>Transportation margins</t>
        </is>
      </c>
      <c r="D888" t="n">
        <v>0</v>
      </c>
      <c r="E888">
        <f>IFERROR(VLOOKUP(B888,Crosswalk!$A$2:$C$125,3,FALSE),"Unmapped")</f>
        <v/>
      </c>
    </row>
    <row r="889">
      <c r="A889" t="n">
        <v>2016</v>
      </c>
      <c r="B889" t="inlineStr">
        <is>
          <t>GS61130</t>
        </is>
      </c>
      <c r="C889" t="inlineStr">
        <is>
          <t>Universities</t>
        </is>
      </c>
      <c r="D889" t="n">
        <v>2425</v>
      </c>
      <c r="E889">
        <f>IFERROR(VLOOKUP(B889,Crosswalk!$A$2:$C$125,3,FALSE),"Unmapped")</f>
        <v/>
      </c>
    </row>
    <row r="890">
      <c r="A890" t="n">
        <v>2016</v>
      </c>
      <c r="B890" t="inlineStr">
        <is>
          <t>GS611B0</t>
        </is>
      </c>
      <c r="C890" t="inlineStr">
        <is>
          <t>Educational services (except universities)</t>
        </is>
      </c>
      <c r="D890" t="n">
        <v>2461</v>
      </c>
      <c r="E890">
        <f>IFERROR(VLOOKUP(B890,Crosswalk!$A$2:$C$125,3,FALSE),"Unmapped")</f>
        <v/>
      </c>
    </row>
    <row r="891">
      <c r="A891" t="n">
        <v>2016</v>
      </c>
      <c r="B891" t="inlineStr">
        <is>
          <t>GS62200</t>
        </is>
      </c>
      <c r="C891" t="inlineStr">
        <is>
          <t>Hospitals</t>
        </is>
      </c>
      <c r="D891" t="n">
        <v>1418</v>
      </c>
      <c r="E891">
        <f>IFERROR(VLOOKUP(B891,Crosswalk!$A$2:$C$125,3,FALSE),"Unmapped")</f>
        <v/>
      </c>
    </row>
    <row r="892">
      <c r="A892" t="n">
        <v>2016</v>
      </c>
      <c r="B892" t="inlineStr">
        <is>
          <t>GS62300</t>
        </is>
      </c>
      <c r="C892" t="inlineStr">
        <is>
          <t>Nursing and residential care facilities</t>
        </is>
      </c>
      <c r="D892" t="n">
        <v>127</v>
      </c>
      <c r="E892">
        <f>IFERROR(VLOOKUP(B892,Crosswalk!$A$2:$C$125,3,FALSE),"Unmapped")</f>
        <v/>
      </c>
    </row>
    <row r="893">
      <c r="A893" t="n">
        <v>2016</v>
      </c>
      <c r="B893" t="inlineStr">
        <is>
          <t>GS91100</t>
        </is>
      </c>
      <c r="C893" t="inlineStr">
        <is>
          <t>Other federal government services</t>
        </is>
      </c>
      <c r="D893" t="n">
        <v>1923</v>
      </c>
      <c r="E893">
        <f>IFERROR(VLOOKUP(B893,Crosswalk!$A$2:$C$125,3,FALSE),"Unmapped")</f>
        <v/>
      </c>
    </row>
    <row r="894">
      <c r="A894" t="n">
        <v>2016</v>
      </c>
      <c r="B894" t="inlineStr">
        <is>
          <t>GS91200</t>
        </is>
      </c>
      <c r="C894" t="inlineStr">
        <is>
          <t>Other provincial and territorial government services</t>
        </is>
      </c>
      <c r="D894" t="n">
        <v>1292</v>
      </c>
      <c r="E894">
        <f>IFERROR(VLOOKUP(B894,Crosswalk!$A$2:$C$125,3,FALSE),"Unmapped")</f>
        <v/>
      </c>
    </row>
    <row r="895">
      <c r="A895" t="n">
        <v>2016</v>
      </c>
      <c r="B895" t="inlineStr">
        <is>
          <t>GS91300</t>
        </is>
      </c>
      <c r="C895" t="inlineStr">
        <is>
          <t>Other municipal government services</t>
        </is>
      </c>
      <c r="D895" t="n">
        <v>6431</v>
      </c>
      <c r="E895">
        <f>IFERROR(VLOOKUP(B895,Crosswalk!$A$2:$C$125,3,FALSE),"Unmapped")</f>
        <v/>
      </c>
    </row>
    <row r="896">
      <c r="A896" t="n">
        <v>2016</v>
      </c>
      <c r="B896" t="inlineStr">
        <is>
          <t>GS91400</t>
        </is>
      </c>
      <c r="C896" t="inlineStr">
        <is>
          <t>Other Indigenous government services</t>
        </is>
      </c>
      <c r="D896" t="n">
        <v>199</v>
      </c>
      <c r="E896">
        <f>IFERROR(VLOOKUP(B896,Crosswalk!$A$2:$C$125,3,FALSE),"Unmapped")</f>
        <v/>
      </c>
    </row>
    <row r="897">
      <c r="A897" t="n">
        <v>2016</v>
      </c>
      <c r="B897" t="inlineStr">
        <is>
          <t>NP61000</t>
        </is>
      </c>
      <c r="C897" t="inlineStr">
        <is>
          <t>Non-profit education services</t>
        </is>
      </c>
      <c r="D897" t="n">
        <v>669</v>
      </c>
      <c r="E897">
        <f>IFERROR(VLOOKUP(B897,Crosswalk!$A$2:$C$125,3,FALSE),"Unmapped")</f>
        <v/>
      </c>
    </row>
    <row r="898">
      <c r="A898" t="n">
        <v>2016</v>
      </c>
      <c r="B898" t="inlineStr">
        <is>
          <t>NP62400</t>
        </is>
      </c>
      <c r="C898" t="inlineStr">
        <is>
          <t>Non-profit social assistance</t>
        </is>
      </c>
      <c r="D898" t="n">
        <v>274</v>
      </c>
      <c r="E898">
        <f>IFERROR(VLOOKUP(B898,Crosswalk!$A$2:$C$125,3,FALSE),"Unmapped")</f>
        <v/>
      </c>
    </row>
    <row r="899">
      <c r="A899" t="n">
        <v>2016</v>
      </c>
      <c r="B899" t="inlineStr">
        <is>
          <t>NP71000</t>
        </is>
      </c>
      <c r="C899" t="inlineStr">
        <is>
          <t>Non-profit arts, entertainment and recreation</t>
        </is>
      </c>
      <c r="D899" t="n">
        <v>194</v>
      </c>
      <c r="E899">
        <f>IFERROR(VLOOKUP(B899,Crosswalk!$A$2:$C$125,3,FALSE),"Unmapped")</f>
        <v/>
      </c>
    </row>
    <row r="900">
      <c r="A900" t="n">
        <v>2016</v>
      </c>
      <c r="B900" t="inlineStr">
        <is>
          <t>NP81310</t>
        </is>
      </c>
      <c r="C900" t="inlineStr">
        <is>
          <t>Religious organizations</t>
        </is>
      </c>
      <c r="D900" t="n">
        <v>839</v>
      </c>
      <c r="E900">
        <f>IFERROR(VLOOKUP(B900,Crosswalk!$A$2:$C$125,3,FALSE),"Unmapped")</f>
        <v/>
      </c>
    </row>
    <row r="901">
      <c r="A901" t="n">
        <v>2016</v>
      </c>
      <c r="B901" t="inlineStr">
        <is>
          <t>NPA0000</t>
        </is>
      </c>
      <c r="C901" t="inlineStr">
        <is>
          <t>Miscellaneous non-profit institutions serving households</t>
        </is>
      </c>
      <c r="D901" t="n">
        <v>1310</v>
      </c>
      <c r="E901">
        <f>IFERROR(VLOOKUP(B901,Crosswalk!$A$2:$C$125,3,FALSE),"Unmapped")</f>
        <v/>
      </c>
    </row>
    <row r="902">
      <c r="A902" t="n">
        <v>2017</v>
      </c>
      <c r="B902" t="inlineStr">
        <is>
          <t>BS111CL</t>
        </is>
      </c>
      <c r="C902" t="inlineStr">
        <is>
          <t>Cannabis production (licensed)</t>
        </is>
      </c>
      <c r="D902" t="n">
        <v>12</v>
      </c>
      <c r="E902">
        <f>IFERROR(VLOOKUP(B902,Crosswalk!$A$2:$C$125,3,FALSE),"Unmapped")</f>
        <v/>
      </c>
    </row>
    <row r="903">
      <c r="A903" t="n">
        <v>2017</v>
      </c>
      <c r="B903" t="inlineStr">
        <is>
          <t>BS111CU</t>
        </is>
      </c>
      <c r="C903" t="inlineStr">
        <is>
          <t>Cannabis production (unlicensed)</t>
        </is>
      </c>
      <c r="D903" t="n">
        <v>166</v>
      </c>
      <c r="E903">
        <f>IFERROR(VLOOKUP(B903,Crosswalk!$A$2:$C$125,3,FALSE),"Unmapped")</f>
        <v/>
      </c>
    </row>
    <row r="904">
      <c r="A904" t="n">
        <v>2017</v>
      </c>
      <c r="B904" t="inlineStr">
        <is>
          <t>BS11300</t>
        </is>
      </c>
      <c r="C904" t="inlineStr">
        <is>
          <t>Forestry and logging</t>
        </is>
      </c>
      <c r="D904" t="n">
        <v>8314</v>
      </c>
      <c r="E904">
        <f>IFERROR(VLOOKUP(B904,Crosswalk!$A$2:$C$125,3,FALSE),"Unmapped")</f>
        <v/>
      </c>
    </row>
    <row r="905">
      <c r="A905" t="n">
        <v>2017</v>
      </c>
      <c r="B905" t="inlineStr">
        <is>
          <t>BS11400</t>
        </is>
      </c>
      <c r="C905" t="inlineStr">
        <is>
          <t>Fishing, hunting and trapping</t>
        </is>
      </c>
      <c r="D905" t="n">
        <v>954</v>
      </c>
      <c r="E905">
        <f>IFERROR(VLOOKUP(B905,Crosswalk!$A$2:$C$125,3,FALSE),"Unmapped")</f>
        <v/>
      </c>
    </row>
    <row r="906">
      <c r="A906" t="n">
        <v>2017</v>
      </c>
      <c r="B906" t="inlineStr">
        <is>
          <t>BS11500</t>
        </is>
      </c>
      <c r="C906" t="inlineStr">
        <is>
          <t>Support activities for agriculture and forestry</t>
        </is>
      </c>
      <c r="D906" t="n">
        <v>906</v>
      </c>
      <c r="E906">
        <f>IFERROR(VLOOKUP(B906,Crosswalk!$A$2:$C$125,3,FALSE),"Unmapped")</f>
        <v/>
      </c>
    </row>
    <row r="907">
      <c r="A907" t="n">
        <v>2017</v>
      </c>
      <c r="B907" t="inlineStr">
        <is>
          <t>BS11B00</t>
        </is>
      </c>
      <c r="C907" t="inlineStr">
        <is>
          <t>Crop and animal production (except cannabis)</t>
        </is>
      </c>
      <c r="D907" t="n">
        <v>70869</v>
      </c>
      <c r="E907">
        <f>IFERROR(VLOOKUP(B907,Crosswalk!$A$2:$C$125,3,FALSE),"Unmapped")</f>
        <v/>
      </c>
    </row>
    <row r="908">
      <c r="A908" t="n">
        <v>2017</v>
      </c>
      <c r="B908" t="inlineStr">
        <is>
          <t>BS21100</t>
        </is>
      </c>
      <c r="C908" t="inlineStr">
        <is>
          <t>Oil and gas extraction</t>
        </is>
      </c>
      <c r="D908" t="n">
        <v>192392</v>
      </c>
      <c r="E908">
        <f>IFERROR(VLOOKUP(B908,Crosswalk!$A$2:$C$125,3,FALSE),"Unmapped")</f>
        <v/>
      </c>
    </row>
    <row r="909">
      <c r="A909" t="n">
        <v>2017</v>
      </c>
      <c r="B909" t="inlineStr">
        <is>
          <t>BS21210</t>
        </is>
      </c>
      <c r="C909" t="inlineStr">
        <is>
          <t>Coal mining</t>
        </is>
      </c>
      <c r="D909" t="n">
        <v>3425</v>
      </c>
      <c r="E909">
        <f>IFERROR(VLOOKUP(B909,Crosswalk!$A$2:$C$125,3,FALSE),"Unmapped")</f>
        <v/>
      </c>
    </row>
    <row r="910">
      <c r="A910" t="n">
        <v>2017</v>
      </c>
      <c r="B910" t="inlineStr">
        <is>
          <t>BS21220</t>
        </is>
      </c>
      <c r="C910" t="inlineStr">
        <is>
          <t>Metal ore mining</t>
        </is>
      </c>
      <c r="D910" t="n">
        <v>4611</v>
      </c>
      <c r="E910">
        <f>IFERROR(VLOOKUP(B910,Crosswalk!$A$2:$C$125,3,FALSE),"Unmapped")</f>
        <v/>
      </c>
    </row>
    <row r="911">
      <c r="A911" t="n">
        <v>2017</v>
      </c>
      <c r="B911" t="inlineStr">
        <is>
          <t>BS21230</t>
        </is>
      </c>
      <c r="C911" t="inlineStr">
        <is>
          <t>Non-metallic mineral mining and quarrying</t>
        </is>
      </c>
      <c r="D911" t="n">
        <v>2974</v>
      </c>
      <c r="E911">
        <f>IFERROR(VLOOKUP(B911,Crosswalk!$A$2:$C$125,3,FALSE),"Unmapped")</f>
        <v/>
      </c>
    </row>
    <row r="912">
      <c r="A912" t="n">
        <v>2017</v>
      </c>
      <c r="B912" t="inlineStr">
        <is>
          <t>BS21300</t>
        </is>
      </c>
      <c r="C912" t="inlineStr">
        <is>
          <t>Support activities for mining and oil and gas extraction</t>
        </is>
      </c>
      <c r="D912" t="n">
        <v>6787</v>
      </c>
      <c r="E912">
        <f>IFERROR(VLOOKUP(B912,Crosswalk!$A$2:$C$125,3,FALSE),"Unmapped")</f>
        <v/>
      </c>
    </row>
    <row r="913">
      <c r="A913" t="n">
        <v>2017</v>
      </c>
      <c r="B913" t="inlineStr">
        <is>
          <t>BS22110</t>
        </is>
      </c>
      <c r="C913" t="inlineStr">
        <is>
          <t>Electric power generation, transmission and distribution</t>
        </is>
      </c>
      <c r="D913" t="n">
        <v>79902</v>
      </c>
      <c r="E913">
        <f>IFERROR(VLOOKUP(B913,Crosswalk!$A$2:$C$125,3,FALSE),"Unmapped")</f>
        <v/>
      </c>
    </row>
    <row r="914">
      <c r="A914" t="n">
        <v>2017</v>
      </c>
      <c r="B914" t="inlineStr">
        <is>
          <t>BS221A0</t>
        </is>
      </c>
      <c r="C914" t="inlineStr">
        <is>
          <t>Natural gas distribution, water, sewage and other systems</t>
        </is>
      </c>
      <c r="D914" t="n">
        <v>2245</v>
      </c>
      <c r="E914">
        <f>IFERROR(VLOOKUP(B914,Crosswalk!$A$2:$C$125,3,FALSE),"Unmapped")</f>
        <v/>
      </c>
    </row>
    <row r="915">
      <c r="A915" t="n">
        <v>2017</v>
      </c>
      <c r="B915" t="inlineStr">
        <is>
          <t>BS23A00</t>
        </is>
      </c>
      <c r="C915" t="inlineStr">
        <is>
          <t>Residential building construction</t>
        </is>
      </c>
      <c r="D915" t="n">
        <v>2083</v>
      </c>
      <c r="E915">
        <f>IFERROR(VLOOKUP(B915,Crosswalk!$A$2:$C$125,3,FALSE),"Unmapped")</f>
        <v/>
      </c>
    </row>
    <row r="916">
      <c r="A916" t="n">
        <v>2017</v>
      </c>
      <c r="B916" t="inlineStr">
        <is>
          <t>BS23B00</t>
        </is>
      </c>
      <c r="C916" t="inlineStr">
        <is>
          <t>Non-residential building construction</t>
        </is>
      </c>
      <c r="D916" t="n">
        <v>615</v>
      </c>
      <c r="E916">
        <f>IFERROR(VLOOKUP(B916,Crosswalk!$A$2:$C$125,3,FALSE),"Unmapped")</f>
        <v/>
      </c>
    </row>
    <row r="917">
      <c r="A917" t="n">
        <v>2017</v>
      </c>
      <c r="B917" t="inlineStr">
        <is>
          <t>BS23C10</t>
        </is>
      </c>
      <c r="C917" t="inlineStr">
        <is>
          <t>Transportation engineering construction</t>
        </is>
      </c>
      <c r="D917" t="n">
        <v>1634</v>
      </c>
      <c r="E917">
        <f>IFERROR(VLOOKUP(B917,Crosswalk!$A$2:$C$125,3,FALSE),"Unmapped")</f>
        <v/>
      </c>
    </row>
    <row r="918">
      <c r="A918" t="n">
        <v>2017</v>
      </c>
      <c r="B918" t="inlineStr">
        <is>
          <t>BS23C20</t>
        </is>
      </c>
      <c r="C918" t="inlineStr">
        <is>
          <t>Oil and gas engineering construction</t>
        </is>
      </c>
      <c r="D918" t="n">
        <v>1436</v>
      </c>
      <c r="E918">
        <f>IFERROR(VLOOKUP(B918,Crosswalk!$A$2:$C$125,3,FALSE),"Unmapped")</f>
        <v/>
      </c>
    </row>
    <row r="919">
      <c r="A919" t="n">
        <v>2017</v>
      </c>
      <c r="B919" t="inlineStr">
        <is>
          <t>BS23C30</t>
        </is>
      </c>
      <c r="C919" t="inlineStr">
        <is>
          <t>Electric power engineering construction</t>
        </is>
      </c>
      <c r="D919" t="n">
        <v>1019</v>
      </c>
      <c r="E919">
        <f>IFERROR(VLOOKUP(B919,Crosswalk!$A$2:$C$125,3,FALSE),"Unmapped")</f>
        <v/>
      </c>
    </row>
    <row r="920">
      <c r="A920" t="n">
        <v>2017</v>
      </c>
      <c r="B920" t="inlineStr">
        <is>
          <t>BS23C40</t>
        </is>
      </c>
      <c r="C920" t="inlineStr">
        <is>
          <t>Communication engineering construction</t>
        </is>
      </c>
      <c r="D920" t="n">
        <v>480</v>
      </c>
      <c r="E920">
        <f>IFERROR(VLOOKUP(B920,Crosswalk!$A$2:$C$125,3,FALSE),"Unmapped")</f>
        <v/>
      </c>
    </row>
    <row r="921">
      <c r="A921" t="n">
        <v>2017</v>
      </c>
      <c r="B921" t="inlineStr">
        <is>
          <t>BS23C50</t>
        </is>
      </c>
      <c r="C921" t="inlineStr">
        <is>
          <t>Other engineering construction</t>
        </is>
      </c>
      <c r="D921" t="n">
        <v>1092</v>
      </c>
      <c r="E921">
        <f>IFERROR(VLOOKUP(B921,Crosswalk!$A$2:$C$125,3,FALSE),"Unmapped")</f>
        <v/>
      </c>
    </row>
    <row r="922">
      <c r="A922" t="n">
        <v>2017</v>
      </c>
      <c r="B922" t="inlineStr">
        <is>
          <t>BS23D00</t>
        </is>
      </c>
      <c r="C922" t="inlineStr">
        <is>
          <t>Repair construction</t>
        </is>
      </c>
      <c r="D922" t="n">
        <v>795</v>
      </c>
      <c r="E922">
        <f>IFERROR(VLOOKUP(B922,Crosswalk!$A$2:$C$125,3,FALSE),"Unmapped")</f>
        <v/>
      </c>
    </row>
    <row r="923">
      <c r="A923" t="n">
        <v>2017</v>
      </c>
      <c r="B923" t="inlineStr">
        <is>
          <t>BS23E00</t>
        </is>
      </c>
      <c r="C923" t="inlineStr">
        <is>
          <t>Other activities of the construction industry</t>
        </is>
      </c>
      <c r="D923" t="n">
        <v>741</v>
      </c>
      <c r="E923">
        <f>IFERROR(VLOOKUP(B923,Crosswalk!$A$2:$C$125,3,FALSE),"Unmapped")</f>
        <v/>
      </c>
    </row>
    <row r="924">
      <c r="A924" t="n">
        <v>2017</v>
      </c>
      <c r="B924" t="inlineStr">
        <is>
          <t>BS31110</t>
        </is>
      </c>
      <c r="C924" t="inlineStr">
        <is>
          <t>Animal food manufacturing</t>
        </is>
      </c>
      <c r="D924" t="n">
        <v>286</v>
      </c>
      <c r="E924">
        <f>IFERROR(VLOOKUP(B924,Crosswalk!$A$2:$C$125,3,FALSE),"Unmapped")</f>
        <v/>
      </c>
    </row>
    <row r="925">
      <c r="A925" t="n">
        <v>2017</v>
      </c>
      <c r="B925" t="inlineStr">
        <is>
          <t>BS31130</t>
        </is>
      </c>
      <c r="C925" t="inlineStr">
        <is>
          <t>Sugar and confectionery product manufacturing</t>
        </is>
      </c>
      <c r="D925" t="n">
        <v>607</v>
      </c>
      <c r="E925">
        <f>IFERROR(VLOOKUP(B925,Crosswalk!$A$2:$C$125,3,FALSE),"Unmapped")</f>
        <v/>
      </c>
    </row>
    <row r="926">
      <c r="A926" t="n">
        <v>2017</v>
      </c>
      <c r="B926" t="inlineStr">
        <is>
          <t>BS31140</t>
        </is>
      </c>
      <c r="C926" t="inlineStr">
        <is>
          <t>Fruit and vegetable preserving and specialty food manufacturing</t>
        </is>
      </c>
      <c r="D926" t="n">
        <v>595</v>
      </c>
      <c r="E926">
        <f>IFERROR(VLOOKUP(B926,Crosswalk!$A$2:$C$125,3,FALSE),"Unmapped")</f>
        <v/>
      </c>
    </row>
    <row r="927">
      <c r="A927" t="n">
        <v>2017</v>
      </c>
      <c r="B927" t="inlineStr">
        <is>
          <t>BS31150</t>
        </is>
      </c>
      <c r="C927" t="inlineStr">
        <is>
          <t>Dairy product manufacturing</t>
        </is>
      </c>
      <c r="D927" t="n">
        <v>392</v>
      </c>
      <c r="E927">
        <f>IFERROR(VLOOKUP(B927,Crosswalk!$A$2:$C$125,3,FALSE),"Unmapped")</f>
        <v/>
      </c>
    </row>
    <row r="928">
      <c r="A928" t="n">
        <v>2017</v>
      </c>
      <c r="B928" t="inlineStr">
        <is>
          <t>BS31160</t>
        </is>
      </c>
      <c r="C928" t="inlineStr">
        <is>
          <t>Meat product manufacturing</t>
        </is>
      </c>
      <c r="D928" t="n">
        <v>1200</v>
      </c>
      <c r="E928">
        <f>IFERROR(VLOOKUP(B928,Crosswalk!$A$2:$C$125,3,FALSE),"Unmapped")</f>
        <v/>
      </c>
    </row>
    <row r="929">
      <c r="A929" t="n">
        <v>2017</v>
      </c>
      <c r="B929" t="inlineStr">
        <is>
          <t>BS31170</t>
        </is>
      </c>
      <c r="C929" t="inlineStr">
        <is>
          <t>Seafood product preparation and packaging</t>
        </is>
      </c>
      <c r="D929" t="n">
        <v>142</v>
      </c>
      <c r="E929">
        <f>IFERROR(VLOOKUP(B929,Crosswalk!$A$2:$C$125,3,FALSE),"Unmapped")</f>
        <v/>
      </c>
    </row>
    <row r="930">
      <c r="A930" t="n">
        <v>2017</v>
      </c>
      <c r="B930" t="inlineStr">
        <is>
          <t>BS311A0</t>
        </is>
      </c>
      <c r="C930" t="inlineStr">
        <is>
          <t>Miscellaneous food manufacturing</t>
        </is>
      </c>
      <c r="D930" t="n">
        <v>2084</v>
      </c>
      <c r="E930">
        <f>IFERROR(VLOOKUP(B930,Crosswalk!$A$2:$C$125,3,FALSE),"Unmapped")</f>
        <v/>
      </c>
    </row>
    <row r="931">
      <c r="A931" t="n">
        <v>2017</v>
      </c>
      <c r="B931" t="inlineStr">
        <is>
          <t>BS31211</t>
        </is>
      </c>
      <c r="C931" t="inlineStr">
        <is>
          <t>Soft drink and ice manufacturing</t>
        </is>
      </c>
      <c r="D931" t="n">
        <v>222</v>
      </c>
      <c r="E931">
        <f>IFERROR(VLOOKUP(B931,Crosswalk!$A$2:$C$125,3,FALSE),"Unmapped")</f>
        <v/>
      </c>
    </row>
    <row r="932">
      <c r="A932" t="n">
        <v>2017</v>
      </c>
      <c r="B932" t="inlineStr">
        <is>
          <t>BS31212</t>
        </is>
      </c>
      <c r="C932" t="inlineStr">
        <is>
          <t>Breweries</t>
        </is>
      </c>
      <c r="D932" t="n">
        <v>514</v>
      </c>
      <c r="E932">
        <f>IFERROR(VLOOKUP(B932,Crosswalk!$A$2:$C$125,3,FALSE),"Unmapped")</f>
        <v/>
      </c>
    </row>
    <row r="933">
      <c r="A933" t="n">
        <v>2017</v>
      </c>
      <c r="B933" t="inlineStr">
        <is>
          <t>BS3121A</t>
        </is>
      </c>
      <c r="C933" t="inlineStr">
        <is>
          <t>Wineries and distilleries</t>
        </is>
      </c>
      <c r="D933" t="n">
        <v>247</v>
      </c>
      <c r="E933">
        <f>IFERROR(VLOOKUP(B933,Crosswalk!$A$2:$C$125,3,FALSE),"Unmapped")</f>
        <v/>
      </c>
    </row>
    <row r="934">
      <c r="A934" t="n">
        <v>2017</v>
      </c>
      <c r="B934" t="inlineStr">
        <is>
          <t>BS31220</t>
        </is>
      </c>
      <c r="C934" t="inlineStr">
        <is>
          <t>Tobacco manufacturing</t>
        </is>
      </c>
      <c r="D934" t="n">
        <v>36</v>
      </c>
      <c r="E934">
        <f>IFERROR(VLOOKUP(B934,Crosswalk!$A$2:$C$125,3,FALSE),"Unmapped")</f>
        <v/>
      </c>
    </row>
    <row r="935">
      <c r="A935" t="n">
        <v>2017</v>
      </c>
      <c r="B935" t="inlineStr">
        <is>
          <t>BS31A00</t>
        </is>
      </c>
      <c r="C935" t="inlineStr">
        <is>
          <t>Textile and textile product mills</t>
        </is>
      </c>
      <c r="D935" t="n">
        <v>154</v>
      </c>
      <c r="E935">
        <f>IFERROR(VLOOKUP(B935,Crosswalk!$A$2:$C$125,3,FALSE),"Unmapped")</f>
        <v/>
      </c>
    </row>
    <row r="936">
      <c r="A936" t="n">
        <v>2017</v>
      </c>
      <c r="B936" t="inlineStr">
        <is>
          <t>BS31B00</t>
        </is>
      </c>
      <c r="C936" t="inlineStr">
        <is>
          <t>Clothing and leather and allied product manufacturing</t>
        </is>
      </c>
      <c r="D936" t="n">
        <v>57</v>
      </c>
      <c r="E936">
        <f>IFERROR(VLOOKUP(B936,Crosswalk!$A$2:$C$125,3,FALSE),"Unmapped")</f>
        <v/>
      </c>
    </row>
    <row r="937">
      <c r="A937" t="n">
        <v>2017</v>
      </c>
      <c r="B937" t="inlineStr">
        <is>
          <t>BS32100</t>
        </is>
      </c>
      <c r="C937" t="inlineStr">
        <is>
          <t>Wood product manufacturing</t>
        </is>
      </c>
      <c r="D937" t="n">
        <v>11216</v>
      </c>
      <c r="E937">
        <f>IFERROR(VLOOKUP(B937,Crosswalk!$A$2:$C$125,3,FALSE),"Unmapped")</f>
        <v/>
      </c>
    </row>
    <row r="938">
      <c r="A938" t="n">
        <v>2017</v>
      </c>
      <c r="B938" t="inlineStr">
        <is>
          <t>BS32210</t>
        </is>
      </c>
      <c r="C938" t="inlineStr">
        <is>
          <t>Pulp, paper and paperboard mills</t>
        </is>
      </c>
      <c r="D938" t="n">
        <v>38394</v>
      </c>
      <c r="E938">
        <f>IFERROR(VLOOKUP(B938,Crosswalk!$A$2:$C$125,3,FALSE),"Unmapped")</f>
        <v/>
      </c>
    </row>
    <row r="939">
      <c r="A939" t="n">
        <v>2017</v>
      </c>
      <c r="B939" t="inlineStr">
        <is>
          <t>BS32220</t>
        </is>
      </c>
      <c r="C939" t="inlineStr">
        <is>
          <t>Converted paper product manufacturing</t>
        </is>
      </c>
      <c r="D939" t="n">
        <v>544</v>
      </c>
      <c r="E939">
        <f>IFERROR(VLOOKUP(B939,Crosswalk!$A$2:$C$125,3,FALSE),"Unmapped")</f>
        <v/>
      </c>
    </row>
    <row r="940">
      <c r="A940" t="n">
        <v>2017</v>
      </c>
      <c r="B940" t="inlineStr">
        <is>
          <t>BS32300</t>
        </is>
      </c>
      <c r="C940" t="inlineStr">
        <is>
          <t>Printing and related support activities</t>
        </is>
      </c>
      <c r="D940" t="n">
        <v>330</v>
      </c>
      <c r="E940">
        <f>IFERROR(VLOOKUP(B940,Crosswalk!$A$2:$C$125,3,FALSE),"Unmapped")</f>
        <v/>
      </c>
    </row>
    <row r="941">
      <c r="A941" t="n">
        <v>2017</v>
      </c>
      <c r="B941" t="inlineStr">
        <is>
          <t>BS32400</t>
        </is>
      </c>
      <c r="C941" t="inlineStr">
        <is>
          <t>Petroleum and coal product manufacturing</t>
        </is>
      </c>
      <c r="D941" t="n">
        <v>19638</v>
      </c>
      <c r="E941">
        <f>IFERROR(VLOOKUP(B941,Crosswalk!$A$2:$C$125,3,FALSE),"Unmapped")</f>
        <v/>
      </c>
    </row>
    <row r="942">
      <c r="A942" t="n">
        <v>2017</v>
      </c>
      <c r="B942" t="inlineStr">
        <is>
          <t>BS32510</t>
        </is>
      </c>
      <c r="C942" t="inlineStr">
        <is>
          <t>Basic chemical manufacturing</t>
        </is>
      </c>
      <c r="D942" t="n">
        <v>10693</v>
      </c>
      <c r="E942">
        <f>IFERROR(VLOOKUP(B942,Crosswalk!$A$2:$C$125,3,FALSE),"Unmapped")</f>
        <v/>
      </c>
    </row>
    <row r="943">
      <c r="A943" t="n">
        <v>2017</v>
      </c>
      <c r="B943" t="inlineStr">
        <is>
          <t>BS32530</t>
        </is>
      </c>
      <c r="C943" t="inlineStr">
        <is>
          <t>Pesticide, fertilizer and other agricultural chemical manufacturing</t>
        </is>
      </c>
      <c r="D943" t="n">
        <v>6232</v>
      </c>
      <c r="E943">
        <f>IFERROR(VLOOKUP(B943,Crosswalk!$A$2:$C$125,3,FALSE),"Unmapped")</f>
        <v/>
      </c>
    </row>
    <row r="944">
      <c r="A944" t="n">
        <v>2017</v>
      </c>
      <c r="B944" t="inlineStr">
        <is>
          <t>BS32540</t>
        </is>
      </c>
      <c r="C944" t="inlineStr">
        <is>
          <t>Pharmaceutical and medicine manufacturing</t>
        </is>
      </c>
      <c r="D944" t="n">
        <v>297</v>
      </c>
      <c r="E944">
        <f>IFERROR(VLOOKUP(B944,Crosswalk!$A$2:$C$125,3,FALSE),"Unmapped")</f>
        <v/>
      </c>
    </row>
    <row r="945">
      <c r="A945" t="n">
        <v>2017</v>
      </c>
      <c r="B945" t="inlineStr">
        <is>
          <t>BS325C0</t>
        </is>
      </c>
      <c r="C945" t="inlineStr">
        <is>
          <t>Miscellaneous chemical product manufacturing</t>
        </is>
      </c>
      <c r="D945" t="n">
        <v>2176</v>
      </c>
      <c r="E945">
        <f>IFERROR(VLOOKUP(B945,Crosswalk!$A$2:$C$125,3,FALSE),"Unmapped")</f>
        <v/>
      </c>
    </row>
    <row r="946">
      <c r="A946" t="n">
        <v>2017</v>
      </c>
      <c r="B946" t="inlineStr">
        <is>
          <t>BS32610</t>
        </is>
      </c>
      <c r="C946" t="inlineStr">
        <is>
          <t>Plastic product manufacturing</t>
        </is>
      </c>
      <c r="D946" t="n">
        <v>823</v>
      </c>
      <c r="E946">
        <f>IFERROR(VLOOKUP(B946,Crosswalk!$A$2:$C$125,3,FALSE),"Unmapped")</f>
        <v/>
      </c>
    </row>
    <row r="947">
      <c r="A947" t="n">
        <v>2017</v>
      </c>
      <c r="B947" t="inlineStr">
        <is>
          <t>BS32620</t>
        </is>
      </c>
      <c r="C947" t="inlineStr">
        <is>
          <t>Rubber product manufacturing</t>
        </is>
      </c>
      <c r="D947" t="n">
        <v>270</v>
      </c>
      <c r="E947">
        <f>IFERROR(VLOOKUP(B947,Crosswalk!$A$2:$C$125,3,FALSE),"Unmapped")</f>
        <v/>
      </c>
    </row>
    <row r="948">
      <c r="A948" t="n">
        <v>2017</v>
      </c>
      <c r="B948" t="inlineStr">
        <is>
          <t>BS32730</t>
        </is>
      </c>
      <c r="C948" t="inlineStr">
        <is>
          <t>Cement and concrete product manufacturing</t>
        </is>
      </c>
      <c r="D948" t="n">
        <v>11666</v>
      </c>
      <c r="E948">
        <f>IFERROR(VLOOKUP(B948,Crosswalk!$A$2:$C$125,3,FALSE),"Unmapped")</f>
        <v/>
      </c>
    </row>
    <row r="949">
      <c r="A949" t="n">
        <v>2017</v>
      </c>
      <c r="B949" t="inlineStr">
        <is>
          <t>BS327A0</t>
        </is>
      </c>
      <c r="C949" t="inlineStr">
        <is>
          <t>Non-metallic mineral product manufacturing (except cement and concrete products)</t>
        </is>
      </c>
      <c r="D949" t="n">
        <v>2778</v>
      </c>
      <c r="E949">
        <f>IFERROR(VLOOKUP(B949,Crosswalk!$A$2:$C$125,3,FALSE),"Unmapped")</f>
        <v/>
      </c>
    </row>
    <row r="950">
      <c r="A950" t="n">
        <v>2017</v>
      </c>
      <c r="B950" t="inlineStr">
        <is>
          <t>BS33100</t>
        </is>
      </c>
      <c r="C950" t="inlineStr">
        <is>
          <t>Primary metal manufacturing</t>
        </is>
      </c>
      <c r="D950" t="n">
        <v>25664</v>
      </c>
      <c r="E950">
        <f>IFERROR(VLOOKUP(B950,Crosswalk!$A$2:$C$125,3,FALSE),"Unmapped")</f>
        <v/>
      </c>
    </row>
    <row r="951">
      <c r="A951" t="n">
        <v>2017</v>
      </c>
      <c r="B951" t="inlineStr">
        <is>
          <t>BS33200</t>
        </is>
      </c>
      <c r="C951" t="inlineStr">
        <is>
          <t>Fabricated metal product manufacturing</t>
        </is>
      </c>
      <c r="D951" t="n">
        <v>1609</v>
      </c>
      <c r="E951">
        <f>IFERROR(VLOOKUP(B951,Crosswalk!$A$2:$C$125,3,FALSE),"Unmapped")</f>
        <v/>
      </c>
    </row>
    <row r="952">
      <c r="A952" t="n">
        <v>2017</v>
      </c>
      <c r="B952" t="inlineStr">
        <is>
          <t>BS33300</t>
        </is>
      </c>
      <c r="C952" t="inlineStr">
        <is>
          <t>Machinery manufacturing</t>
        </is>
      </c>
      <c r="D952" t="n">
        <v>882</v>
      </c>
      <c r="E952">
        <f>IFERROR(VLOOKUP(B952,Crosswalk!$A$2:$C$125,3,FALSE),"Unmapped")</f>
        <v/>
      </c>
    </row>
    <row r="953">
      <c r="A953" t="n">
        <v>2017</v>
      </c>
      <c r="B953" t="inlineStr">
        <is>
          <t>BS33410</t>
        </is>
      </c>
      <c r="C953" t="inlineStr">
        <is>
          <t>Computer and peripheral equipment manufacturing</t>
        </is>
      </c>
      <c r="D953" t="n">
        <v>7</v>
      </c>
      <c r="E953">
        <f>IFERROR(VLOOKUP(B953,Crosswalk!$A$2:$C$125,3,FALSE),"Unmapped")</f>
        <v/>
      </c>
    </row>
    <row r="954">
      <c r="A954" t="n">
        <v>2017</v>
      </c>
      <c r="B954" t="inlineStr">
        <is>
          <t>BS334B0</t>
        </is>
      </c>
      <c r="C954" t="inlineStr">
        <is>
          <t>Electronic product manufacturing</t>
        </is>
      </c>
      <c r="D954" t="n">
        <v>111</v>
      </c>
      <c r="E954">
        <f>IFERROR(VLOOKUP(B954,Crosswalk!$A$2:$C$125,3,FALSE),"Unmapped")</f>
        <v/>
      </c>
    </row>
    <row r="955">
      <c r="A955" t="n">
        <v>2017</v>
      </c>
      <c r="B955" t="inlineStr">
        <is>
          <t>BS33520</t>
        </is>
      </c>
      <c r="C955" t="inlineStr">
        <is>
          <t>Household appliance manufacturing</t>
        </is>
      </c>
      <c r="D955" t="n">
        <v>15</v>
      </c>
      <c r="E955">
        <f>IFERROR(VLOOKUP(B955,Crosswalk!$A$2:$C$125,3,FALSE),"Unmapped")</f>
        <v/>
      </c>
    </row>
    <row r="956">
      <c r="A956" t="n">
        <v>2017</v>
      </c>
      <c r="B956" t="inlineStr">
        <is>
          <t>BS335A0</t>
        </is>
      </c>
      <c r="C956" t="inlineStr">
        <is>
          <t>Electrical equipment and component manufacturing</t>
        </is>
      </c>
      <c r="D956" t="n">
        <v>142</v>
      </c>
      <c r="E956">
        <f>IFERROR(VLOOKUP(B956,Crosswalk!$A$2:$C$125,3,FALSE),"Unmapped")</f>
        <v/>
      </c>
    </row>
    <row r="957">
      <c r="A957" t="n">
        <v>2017</v>
      </c>
      <c r="B957" t="inlineStr">
        <is>
          <t>BS33610</t>
        </is>
      </c>
      <c r="C957" t="inlineStr">
        <is>
          <t>Motor vehicle manufacturing</t>
        </is>
      </c>
      <c r="D957" t="n">
        <v>664</v>
      </c>
      <c r="E957">
        <f>IFERROR(VLOOKUP(B957,Crosswalk!$A$2:$C$125,3,FALSE),"Unmapped")</f>
        <v/>
      </c>
    </row>
    <row r="958">
      <c r="A958" t="n">
        <v>2017</v>
      </c>
      <c r="B958" t="inlineStr">
        <is>
          <t>BS33620</t>
        </is>
      </c>
      <c r="C958" t="inlineStr">
        <is>
          <t>Motor vehicle body and trailer manufacturing</t>
        </is>
      </c>
      <c r="D958" t="n">
        <v>84</v>
      </c>
      <c r="E958">
        <f>IFERROR(VLOOKUP(B958,Crosswalk!$A$2:$C$125,3,FALSE),"Unmapped")</f>
        <v/>
      </c>
    </row>
    <row r="959">
      <c r="A959" t="n">
        <v>2017</v>
      </c>
      <c r="B959" t="inlineStr">
        <is>
          <t>BS33630</t>
        </is>
      </c>
      <c r="C959" t="inlineStr">
        <is>
          <t>Motor vehicle parts manufacturing</t>
        </is>
      </c>
      <c r="D959" t="n">
        <v>419</v>
      </c>
      <c r="E959">
        <f>IFERROR(VLOOKUP(B959,Crosswalk!$A$2:$C$125,3,FALSE),"Unmapped")</f>
        <v/>
      </c>
    </row>
    <row r="960">
      <c r="A960" t="n">
        <v>2017</v>
      </c>
      <c r="B960" t="inlineStr">
        <is>
          <t>BS33640</t>
        </is>
      </c>
      <c r="C960" t="inlineStr">
        <is>
          <t>Aerospace product and parts manufacturing</t>
        </is>
      </c>
      <c r="D960" t="n">
        <v>384</v>
      </c>
      <c r="E960">
        <f>IFERROR(VLOOKUP(B960,Crosswalk!$A$2:$C$125,3,FALSE),"Unmapped")</f>
        <v/>
      </c>
    </row>
    <row r="961">
      <c r="A961" t="n">
        <v>2017</v>
      </c>
      <c r="B961" t="inlineStr">
        <is>
          <t>BS33650</t>
        </is>
      </c>
      <c r="C961" t="inlineStr">
        <is>
          <t>Railroad rolling stock manufacturing</t>
        </is>
      </c>
      <c r="D961" t="n">
        <v>16</v>
      </c>
      <c r="E961">
        <f>IFERROR(VLOOKUP(B961,Crosswalk!$A$2:$C$125,3,FALSE),"Unmapped")</f>
        <v/>
      </c>
    </row>
    <row r="962">
      <c r="A962" t="n">
        <v>2017</v>
      </c>
      <c r="B962" t="inlineStr">
        <is>
          <t>BS33660</t>
        </is>
      </c>
      <c r="C962" t="inlineStr">
        <is>
          <t>Ship and boat building</t>
        </is>
      </c>
      <c r="D962" t="n">
        <v>36</v>
      </c>
      <c r="E962">
        <f>IFERROR(VLOOKUP(B962,Crosswalk!$A$2:$C$125,3,FALSE),"Unmapped")</f>
        <v/>
      </c>
    </row>
    <row r="963">
      <c r="A963" t="n">
        <v>2017</v>
      </c>
      <c r="B963" t="inlineStr">
        <is>
          <t>BS33690</t>
        </is>
      </c>
      <c r="C963" t="inlineStr">
        <is>
          <t>Other transportation equipment manufacturing</t>
        </is>
      </c>
      <c r="D963" t="n">
        <v>55</v>
      </c>
      <c r="E963">
        <f>IFERROR(VLOOKUP(B963,Crosswalk!$A$2:$C$125,3,FALSE),"Unmapped")</f>
        <v/>
      </c>
    </row>
    <row r="964">
      <c r="A964" t="n">
        <v>2017</v>
      </c>
      <c r="B964" t="inlineStr">
        <is>
          <t>BS33700</t>
        </is>
      </c>
      <c r="C964" t="inlineStr">
        <is>
          <t>Furniture and related product manufacturing</t>
        </is>
      </c>
      <c r="D964" t="n">
        <v>416</v>
      </c>
      <c r="E964">
        <f>IFERROR(VLOOKUP(B964,Crosswalk!$A$2:$C$125,3,FALSE),"Unmapped")</f>
        <v/>
      </c>
    </row>
    <row r="965">
      <c r="A965" t="n">
        <v>2017</v>
      </c>
      <c r="B965" t="inlineStr">
        <is>
          <t>BS33900</t>
        </is>
      </c>
      <c r="C965" t="inlineStr">
        <is>
          <t>Miscellaneous manufacturing</t>
        </is>
      </c>
      <c r="D965" t="n">
        <v>294</v>
      </c>
      <c r="E965">
        <f>IFERROR(VLOOKUP(B965,Crosswalk!$A$2:$C$125,3,FALSE),"Unmapped")</f>
        <v/>
      </c>
    </row>
    <row r="966">
      <c r="A966" t="n">
        <v>2017</v>
      </c>
      <c r="B966" t="inlineStr">
        <is>
          <t>BS41000</t>
        </is>
      </c>
      <c r="C966" t="inlineStr">
        <is>
          <t>Wholesale trade</t>
        </is>
      </c>
      <c r="D966" t="n">
        <v>10036</v>
      </c>
      <c r="E966">
        <f>IFERROR(VLOOKUP(B966,Crosswalk!$A$2:$C$125,3,FALSE),"Unmapped")</f>
        <v/>
      </c>
    </row>
    <row r="967">
      <c r="A967" t="n">
        <v>2017</v>
      </c>
      <c r="B967" t="inlineStr">
        <is>
          <t>BS453BL</t>
        </is>
      </c>
      <c r="C967" t="inlineStr">
        <is>
          <t>Cannabis stores (licensed)</t>
        </is>
      </c>
      <c r="D967" t="n">
        <v>0</v>
      </c>
      <c r="E967">
        <f>IFERROR(VLOOKUP(B967,Crosswalk!$A$2:$C$125,3,FALSE),"Unmapped")</f>
        <v/>
      </c>
    </row>
    <row r="968">
      <c r="A968" t="n">
        <v>2017</v>
      </c>
      <c r="B968" t="inlineStr">
        <is>
          <t>BS453BU</t>
        </is>
      </c>
      <c r="C968" t="inlineStr">
        <is>
          <t>Cannabis stores (unlicensed)</t>
        </is>
      </c>
      <c r="D968" t="n">
        <v>38</v>
      </c>
      <c r="E968">
        <f>IFERROR(VLOOKUP(B968,Crosswalk!$A$2:$C$125,3,FALSE),"Unmapped")</f>
        <v/>
      </c>
    </row>
    <row r="969">
      <c r="A969" t="n">
        <v>2017</v>
      </c>
      <c r="B969" t="inlineStr">
        <is>
          <t>BS48100</t>
        </is>
      </c>
      <c r="C969" t="inlineStr">
        <is>
          <t>Air transportation</t>
        </is>
      </c>
      <c r="D969" t="n">
        <v>21682</v>
      </c>
      <c r="E969">
        <f>IFERROR(VLOOKUP(B969,Crosswalk!$A$2:$C$125,3,FALSE),"Unmapped")</f>
        <v/>
      </c>
    </row>
    <row r="970">
      <c r="A970" t="n">
        <v>2017</v>
      </c>
      <c r="B970" t="inlineStr">
        <is>
          <t>BS48200</t>
        </is>
      </c>
      <c r="C970" t="inlineStr">
        <is>
          <t>Rail transportation</t>
        </is>
      </c>
      <c r="D970" t="n">
        <v>5556</v>
      </c>
      <c r="E970">
        <f>IFERROR(VLOOKUP(B970,Crosswalk!$A$2:$C$125,3,FALSE),"Unmapped")</f>
        <v/>
      </c>
    </row>
    <row r="971">
      <c r="A971" t="n">
        <v>2017</v>
      </c>
      <c r="B971" t="inlineStr">
        <is>
          <t>BS48300</t>
        </is>
      </c>
      <c r="C971" t="inlineStr">
        <is>
          <t>Water transportation</t>
        </is>
      </c>
      <c r="D971" t="n">
        <v>2587</v>
      </c>
      <c r="E971">
        <f>IFERROR(VLOOKUP(B971,Crosswalk!$A$2:$C$125,3,FALSE),"Unmapped")</f>
        <v/>
      </c>
    </row>
    <row r="972">
      <c r="A972" t="n">
        <v>2017</v>
      </c>
      <c r="B972" t="inlineStr">
        <is>
          <t>BS48400</t>
        </is>
      </c>
      <c r="C972" t="inlineStr">
        <is>
          <t>Truck transportation</t>
        </is>
      </c>
      <c r="D972" t="n">
        <v>19194</v>
      </c>
      <c r="E972">
        <f>IFERROR(VLOOKUP(B972,Crosswalk!$A$2:$C$125,3,FALSE),"Unmapped")</f>
        <v/>
      </c>
    </row>
    <row r="973">
      <c r="A973" t="n">
        <v>2017</v>
      </c>
      <c r="B973" t="inlineStr">
        <is>
          <t>BS48600</t>
        </is>
      </c>
      <c r="C973" t="inlineStr">
        <is>
          <t>Pipeline transportation</t>
        </is>
      </c>
      <c r="D973" t="n">
        <v>8327</v>
      </c>
      <c r="E973">
        <f>IFERROR(VLOOKUP(B973,Crosswalk!$A$2:$C$125,3,FALSE),"Unmapped")</f>
        <v/>
      </c>
    </row>
    <row r="974">
      <c r="A974" t="n">
        <v>2017</v>
      </c>
      <c r="B974" t="inlineStr">
        <is>
          <t>BS48B00</t>
        </is>
      </c>
      <c r="C974" t="inlineStr">
        <is>
          <t>Transit, ground passenger and scenic and sightseeing transportation, taxi and limousine service and support activities for transportation</t>
        </is>
      </c>
      <c r="D974" t="n">
        <v>4187</v>
      </c>
      <c r="E974">
        <f>IFERROR(VLOOKUP(B974,Crosswalk!$A$2:$C$125,3,FALSE),"Unmapped")</f>
        <v/>
      </c>
    </row>
    <row r="975">
      <c r="A975" t="n">
        <v>2017</v>
      </c>
      <c r="B975" t="inlineStr">
        <is>
          <t>BS49300</t>
        </is>
      </c>
      <c r="C975" t="inlineStr">
        <is>
          <t>Warehousing and storage</t>
        </is>
      </c>
      <c r="D975" t="n">
        <v>236</v>
      </c>
      <c r="E975">
        <f>IFERROR(VLOOKUP(B975,Crosswalk!$A$2:$C$125,3,FALSE),"Unmapped")</f>
        <v/>
      </c>
    </row>
    <row r="976">
      <c r="A976" t="n">
        <v>2017</v>
      </c>
      <c r="B976" t="inlineStr">
        <is>
          <t>BS49A00</t>
        </is>
      </c>
      <c r="C976" t="inlineStr">
        <is>
          <t>Postal service and couriers and messengers</t>
        </is>
      </c>
      <c r="D976" t="n">
        <v>2103</v>
      </c>
      <c r="E976">
        <f>IFERROR(VLOOKUP(B976,Crosswalk!$A$2:$C$125,3,FALSE),"Unmapped")</f>
        <v/>
      </c>
    </row>
    <row r="977">
      <c r="A977" t="n">
        <v>2017</v>
      </c>
      <c r="B977" t="inlineStr">
        <is>
          <t>BS4AA00</t>
        </is>
      </c>
      <c r="C977" t="inlineStr">
        <is>
          <t>Retail trade (except cannabis)</t>
        </is>
      </c>
      <c r="D977" t="n">
        <v>7943</v>
      </c>
      <c r="E977">
        <f>IFERROR(VLOOKUP(B977,Crosswalk!$A$2:$C$125,3,FALSE),"Unmapped")</f>
        <v/>
      </c>
    </row>
    <row r="978">
      <c r="A978" t="n">
        <v>2017</v>
      </c>
      <c r="B978" t="inlineStr">
        <is>
          <t>BS51200</t>
        </is>
      </c>
      <c r="C978" t="inlineStr">
        <is>
          <t>Motion picture and sound recording industries</t>
        </is>
      </c>
      <c r="D978" t="n">
        <v>559</v>
      </c>
      <c r="E978">
        <f>IFERROR(VLOOKUP(B978,Crosswalk!$A$2:$C$125,3,FALSE),"Unmapped")</f>
        <v/>
      </c>
    </row>
    <row r="979">
      <c r="A979" t="n">
        <v>2017</v>
      </c>
      <c r="B979" t="inlineStr">
        <is>
          <t>BS51510</t>
        </is>
      </c>
      <c r="C979" t="inlineStr">
        <is>
          <t>Radio and television broadcasting</t>
        </is>
      </c>
      <c r="D979" t="n">
        <v>47</v>
      </c>
      <c r="E979">
        <f>IFERROR(VLOOKUP(B979,Crosswalk!$A$2:$C$125,3,FALSE),"Unmapped")</f>
        <v/>
      </c>
    </row>
    <row r="980">
      <c r="A980" t="n">
        <v>2017</v>
      </c>
      <c r="B980" t="inlineStr">
        <is>
          <t>BS51B00</t>
        </is>
      </c>
      <c r="C980" t="inlineStr">
        <is>
          <t>Publishing, pay/specialty services, telecommunications and other information services</t>
        </is>
      </c>
      <c r="D980" t="n">
        <v>1679</v>
      </c>
      <c r="E980">
        <f>IFERROR(VLOOKUP(B980,Crosswalk!$A$2:$C$125,3,FALSE),"Unmapped")</f>
        <v/>
      </c>
    </row>
    <row r="981">
      <c r="A981" t="n">
        <v>2017</v>
      </c>
      <c r="B981" t="inlineStr">
        <is>
          <t>BS52410</t>
        </is>
      </c>
      <c r="C981" t="inlineStr">
        <is>
          <t>Insurance carriers</t>
        </is>
      </c>
      <c r="D981" t="n">
        <v>159</v>
      </c>
      <c r="E981">
        <f>IFERROR(VLOOKUP(B981,Crosswalk!$A$2:$C$125,3,FALSE),"Unmapped")</f>
        <v/>
      </c>
    </row>
    <row r="982">
      <c r="A982" t="n">
        <v>2017</v>
      </c>
      <c r="B982" t="inlineStr">
        <is>
          <t>BS52B00</t>
        </is>
      </c>
      <c r="C982" t="inlineStr">
        <is>
          <t>Depository credit intermediation and monetary authorities</t>
        </is>
      </c>
      <c r="D982" t="n">
        <v>1036</v>
      </c>
      <c r="E982">
        <f>IFERROR(VLOOKUP(B982,Crosswalk!$A$2:$C$125,3,FALSE),"Unmapped")</f>
        <v/>
      </c>
    </row>
    <row r="983">
      <c r="A983" t="n">
        <v>2017</v>
      </c>
      <c r="B983" t="inlineStr">
        <is>
          <t>BS53110</t>
        </is>
      </c>
      <c r="C983" t="inlineStr">
        <is>
          <t>Lessors of real estate</t>
        </is>
      </c>
      <c r="D983" t="n">
        <v>6700</v>
      </c>
      <c r="E983">
        <f>IFERROR(VLOOKUP(B983,Crosswalk!$A$2:$C$125,3,FALSE),"Unmapped")</f>
        <v/>
      </c>
    </row>
    <row r="984">
      <c r="A984" t="n">
        <v>2017</v>
      </c>
      <c r="B984" t="inlineStr">
        <is>
          <t>BS5311A</t>
        </is>
      </c>
      <c r="C984" t="inlineStr">
        <is>
          <t>Owner-occupied dwellings</t>
        </is>
      </c>
      <c r="D984" t="n">
        <v>0</v>
      </c>
      <c r="E984">
        <f>IFERROR(VLOOKUP(B984,Crosswalk!$A$2:$C$125,3,FALSE),"Unmapped")</f>
        <v/>
      </c>
    </row>
    <row r="985">
      <c r="A985" t="n">
        <v>2017</v>
      </c>
      <c r="B985" t="inlineStr">
        <is>
          <t>BS53B00</t>
        </is>
      </c>
      <c r="C985" t="inlineStr">
        <is>
          <t>Rental and leasing services and lessors of non-financial intangible assets (except copyrighted works)</t>
        </is>
      </c>
      <c r="D985" t="n">
        <v>2566</v>
      </c>
      <c r="E985">
        <f>IFERROR(VLOOKUP(B985,Crosswalk!$A$2:$C$125,3,FALSE),"Unmapped")</f>
        <v/>
      </c>
    </row>
    <row r="986">
      <c r="A986" t="n">
        <v>2017</v>
      </c>
      <c r="B986" t="inlineStr">
        <is>
          <t>BS54180</t>
        </is>
      </c>
      <c r="C986" t="inlineStr">
        <is>
          <t>Advertising, public relations and related services</t>
        </is>
      </c>
      <c r="D986" t="n">
        <v>185</v>
      </c>
      <c r="E986">
        <f>IFERROR(VLOOKUP(B986,Crosswalk!$A$2:$C$125,3,FALSE),"Unmapped")</f>
        <v/>
      </c>
    </row>
    <row r="987">
      <c r="A987" t="n">
        <v>2017</v>
      </c>
      <c r="B987" t="inlineStr">
        <is>
          <t>BS541C0</t>
        </is>
      </c>
      <c r="C987" t="inlineStr">
        <is>
          <t>Legal, accounting and architectural, engineering and related services</t>
        </is>
      </c>
      <c r="D987" t="n">
        <v>1027</v>
      </c>
      <c r="E987">
        <f>IFERROR(VLOOKUP(B987,Crosswalk!$A$2:$C$125,3,FALSE),"Unmapped")</f>
        <v/>
      </c>
    </row>
    <row r="988">
      <c r="A988" t="n">
        <v>2017</v>
      </c>
      <c r="B988" t="inlineStr">
        <is>
          <t>BS541D0</t>
        </is>
      </c>
      <c r="C988" t="inlineStr">
        <is>
          <t>Computer systems design and other professional, scientific and technical services</t>
        </is>
      </c>
      <c r="D988" t="n">
        <v>886</v>
      </c>
      <c r="E988">
        <f>IFERROR(VLOOKUP(B988,Crosswalk!$A$2:$C$125,3,FALSE),"Unmapped")</f>
        <v/>
      </c>
    </row>
    <row r="989">
      <c r="A989" t="n">
        <v>2017</v>
      </c>
      <c r="B989" t="inlineStr">
        <is>
          <t>BS56100</t>
        </is>
      </c>
      <c r="C989" t="inlineStr">
        <is>
          <t>Administrative and support services</t>
        </is>
      </c>
      <c r="D989" t="n">
        <v>2625</v>
      </c>
      <c r="E989">
        <f>IFERROR(VLOOKUP(B989,Crosswalk!$A$2:$C$125,3,FALSE),"Unmapped")</f>
        <v/>
      </c>
    </row>
    <row r="990">
      <c r="A990" t="n">
        <v>2017</v>
      </c>
      <c r="B990" t="inlineStr">
        <is>
          <t>BS56200</t>
        </is>
      </c>
      <c r="C990" t="inlineStr">
        <is>
          <t>Waste management and remediation services</t>
        </is>
      </c>
      <c r="D990" t="n">
        <v>1471</v>
      </c>
      <c r="E990">
        <f>IFERROR(VLOOKUP(B990,Crosswalk!$A$2:$C$125,3,FALSE),"Unmapped")</f>
        <v/>
      </c>
    </row>
    <row r="991">
      <c r="A991" t="n">
        <v>2017</v>
      </c>
      <c r="B991" t="inlineStr">
        <is>
          <t>BS5A000</t>
        </is>
      </c>
      <c r="C991" t="inlineStr">
        <is>
          <t>Other finance, insurance and real estate services and management of companies and enterprises</t>
        </is>
      </c>
      <c r="D991" t="n">
        <v>3725</v>
      </c>
      <c r="E991">
        <f>IFERROR(VLOOKUP(B991,Crosswalk!$A$2:$C$125,3,FALSE),"Unmapped")</f>
        <v/>
      </c>
    </row>
    <row r="992">
      <c r="A992" t="n">
        <v>2017</v>
      </c>
      <c r="B992" t="inlineStr">
        <is>
          <t>BS61000</t>
        </is>
      </c>
      <c r="C992" t="inlineStr">
        <is>
          <t>Educational services</t>
        </is>
      </c>
      <c r="D992" t="n">
        <v>268</v>
      </c>
      <c r="E992">
        <f>IFERROR(VLOOKUP(B992,Crosswalk!$A$2:$C$125,3,FALSE),"Unmapped")</f>
        <v/>
      </c>
    </row>
    <row r="993">
      <c r="A993" t="n">
        <v>2017</v>
      </c>
      <c r="B993" t="inlineStr">
        <is>
          <t>BS62000</t>
        </is>
      </c>
      <c r="C993" t="inlineStr">
        <is>
          <t>Health care and social assistance</t>
        </is>
      </c>
      <c r="D993" t="n">
        <v>2152</v>
      </c>
      <c r="E993">
        <f>IFERROR(VLOOKUP(B993,Crosswalk!$A$2:$C$125,3,FALSE),"Unmapped")</f>
        <v/>
      </c>
    </row>
    <row r="994">
      <c r="A994" t="n">
        <v>2017</v>
      </c>
      <c r="B994" t="inlineStr">
        <is>
          <t>BS71000</t>
        </is>
      </c>
      <c r="C994" t="inlineStr">
        <is>
          <t>Arts, entertainment and recreation</t>
        </is>
      </c>
      <c r="D994" t="n">
        <v>265</v>
      </c>
      <c r="E994">
        <f>IFERROR(VLOOKUP(B994,Crosswalk!$A$2:$C$125,3,FALSE),"Unmapped")</f>
        <v/>
      </c>
    </row>
    <row r="995">
      <c r="A995" t="n">
        <v>2017</v>
      </c>
      <c r="B995" t="inlineStr">
        <is>
          <t>BS72000</t>
        </is>
      </c>
      <c r="C995" t="inlineStr">
        <is>
          <t>Accommodation and food services</t>
        </is>
      </c>
      <c r="D995" t="n">
        <v>1915</v>
      </c>
      <c r="E995">
        <f>IFERROR(VLOOKUP(B995,Crosswalk!$A$2:$C$125,3,FALSE),"Unmapped")</f>
        <v/>
      </c>
    </row>
    <row r="996">
      <c r="A996" t="n">
        <v>2017</v>
      </c>
      <c r="B996" t="inlineStr">
        <is>
          <t>BS81100</t>
        </is>
      </c>
      <c r="C996" t="inlineStr">
        <is>
          <t>Repair and maintenance</t>
        </is>
      </c>
      <c r="D996" t="n">
        <v>2375</v>
      </c>
      <c r="E996">
        <f>IFERROR(VLOOKUP(B996,Crosswalk!$A$2:$C$125,3,FALSE),"Unmapped")</f>
        <v/>
      </c>
    </row>
    <row r="997">
      <c r="A997" t="n">
        <v>2017</v>
      </c>
      <c r="B997" t="inlineStr">
        <is>
          <t>BS81300</t>
        </is>
      </c>
      <c r="C997" t="inlineStr">
        <is>
          <t>Professional and similar organisations</t>
        </is>
      </c>
      <c r="D997" t="n">
        <v>15</v>
      </c>
      <c r="E997">
        <f>IFERROR(VLOOKUP(B997,Crosswalk!$A$2:$C$125,3,FALSE),"Unmapped")</f>
        <v/>
      </c>
    </row>
    <row r="998">
      <c r="A998" t="n">
        <v>2017</v>
      </c>
      <c r="B998" t="inlineStr">
        <is>
          <t>BS81A00</t>
        </is>
      </c>
      <c r="C998" t="inlineStr">
        <is>
          <t>Personal services and private households</t>
        </is>
      </c>
      <c r="D998" t="n">
        <v>618</v>
      </c>
      <c r="E998">
        <f>IFERROR(VLOOKUP(B998,Crosswalk!$A$2:$C$125,3,FALSE),"Unmapped")</f>
        <v/>
      </c>
    </row>
    <row r="999">
      <c r="A999" t="n">
        <v>2017</v>
      </c>
      <c r="B999" t="inlineStr">
        <is>
          <t>FC11000</t>
        </is>
      </c>
      <c r="C999" t="inlineStr">
        <is>
          <t>Repair and maintenance</t>
        </is>
      </c>
      <c r="D999" t="n">
        <v>0</v>
      </c>
      <c r="E999">
        <f>IFERROR(VLOOKUP(B999,Crosswalk!$A$2:$C$125,3,FALSE),"Unmapped")</f>
        <v/>
      </c>
    </row>
    <row r="1000">
      <c r="A1000" t="n">
        <v>2017</v>
      </c>
      <c r="B1000" t="inlineStr">
        <is>
          <t>FC12000</t>
        </is>
      </c>
      <c r="C1000" t="inlineStr">
        <is>
          <t>Operating supplies</t>
        </is>
      </c>
      <c r="D1000" t="n">
        <v>0</v>
      </c>
      <c r="E1000">
        <f>IFERROR(VLOOKUP(B1000,Crosswalk!$A$2:$C$125,3,FALSE),"Unmapped")</f>
        <v/>
      </c>
    </row>
    <row r="1001">
      <c r="A1001" t="n">
        <v>2017</v>
      </c>
      <c r="B1001" t="inlineStr">
        <is>
          <t>FC13000</t>
        </is>
      </c>
      <c r="C1001" t="inlineStr">
        <is>
          <t>Office supplies</t>
        </is>
      </c>
      <c r="D1001" t="n">
        <v>0</v>
      </c>
      <c r="E1001">
        <f>IFERROR(VLOOKUP(B1001,Crosswalk!$A$2:$C$125,3,FALSE),"Unmapped")</f>
        <v/>
      </c>
    </row>
    <row r="1002">
      <c r="A1002" t="n">
        <v>2017</v>
      </c>
      <c r="B1002" t="inlineStr">
        <is>
          <t>FC20000</t>
        </is>
      </c>
      <c r="C1002" t="inlineStr">
        <is>
          <t>Advertising, promotion, meals, entertainment, and travel</t>
        </is>
      </c>
      <c r="D1002" t="n">
        <v>0</v>
      </c>
      <c r="E1002">
        <f>IFERROR(VLOOKUP(B1002,Crosswalk!$A$2:$C$125,3,FALSE),"Unmapped")</f>
        <v/>
      </c>
    </row>
    <row r="1003">
      <c r="A1003" t="n">
        <v>2017</v>
      </c>
      <c r="B1003" t="inlineStr">
        <is>
          <t>FC30000</t>
        </is>
      </c>
      <c r="C1003" t="inlineStr">
        <is>
          <t>Transportation margins</t>
        </is>
      </c>
      <c r="D1003" t="n">
        <v>0</v>
      </c>
      <c r="E1003">
        <f>IFERROR(VLOOKUP(B1003,Crosswalk!$A$2:$C$125,3,FALSE),"Unmapped")</f>
        <v/>
      </c>
    </row>
    <row r="1004">
      <c r="A1004" t="n">
        <v>2017</v>
      </c>
      <c r="B1004" t="inlineStr">
        <is>
          <t>GS61130</t>
        </is>
      </c>
      <c r="C1004" t="inlineStr">
        <is>
          <t>Universities</t>
        </is>
      </c>
      <c r="D1004" t="n">
        <v>2674</v>
      </c>
      <c r="E1004">
        <f>IFERROR(VLOOKUP(B1004,Crosswalk!$A$2:$C$125,3,FALSE),"Unmapped")</f>
        <v/>
      </c>
    </row>
    <row r="1005">
      <c r="A1005" t="n">
        <v>2017</v>
      </c>
      <c r="B1005" t="inlineStr">
        <is>
          <t>GS611B0</t>
        </is>
      </c>
      <c r="C1005" t="inlineStr">
        <is>
          <t>Educational services (except universities)</t>
        </is>
      </c>
      <c r="D1005" t="n">
        <v>2610</v>
      </c>
      <c r="E1005">
        <f>IFERROR(VLOOKUP(B1005,Crosswalk!$A$2:$C$125,3,FALSE),"Unmapped")</f>
        <v/>
      </c>
    </row>
    <row r="1006">
      <c r="A1006" t="n">
        <v>2017</v>
      </c>
      <c r="B1006" t="inlineStr">
        <is>
          <t>GS62200</t>
        </is>
      </c>
      <c r="C1006" t="inlineStr">
        <is>
          <t>Hospitals</t>
        </is>
      </c>
      <c r="D1006" t="n">
        <v>1516</v>
      </c>
      <c r="E1006">
        <f>IFERROR(VLOOKUP(B1006,Crosswalk!$A$2:$C$125,3,FALSE),"Unmapped")</f>
        <v/>
      </c>
    </row>
    <row r="1007">
      <c r="A1007" t="n">
        <v>2017</v>
      </c>
      <c r="B1007" t="inlineStr">
        <is>
          <t>GS62300</t>
        </is>
      </c>
      <c r="C1007" t="inlineStr">
        <is>
          <t>Nursing and residential care facilities</t>
        </is>
      </c>
      <c r="D1007" t="n">
        <v>134</v>
      </c>
      <c r="E1007">
        <f>IFERROR(VLOOKUP(B1007,Crosswalk!$A$2:$C$125,3,FALSE),"Unmapped")</f>
        <v/>
      </c>
    </row>
    <row r="1008">
      <c r="A1008" t="n">
        <v>2017</v>
      </c>
      <c r="B1008" t="inlineStr">
        <is>
          <t>GS91100</t>
        </is>
      </c>
      <c r="C1008" t="inlineStr">
        <is>
          <t>Other federal government services</t>
        </is>
      </c>
      <c r="D1008" t="n">
        <v>2131</v>
      </c>
      <c r="E1008">
        <f>IFERROR(VLOOKUP(B1008,Crosswalk!$A$2:$C$125,3,FALSE),"Unmapped")</f>
        <v/>
      </c>
    </row>
    <row r="1009">
      <c r="A1009" t="n">
        <v>2017</v>
      </c>
      <c r="B1009" t="inlineStr">
        <is>
          <t>GS91200</t>
        </is>
      </c>
      <c r="C1009" t="inlineStr">
        <is>
          <t>Other provincial and territorial government services</t>
        </is>
      </c>
      <c r="D1009" t="n">
        <v>1380</v>
      </c>
      <c r="E1009">
        <f>IFERROR(VLOOKUP(B1009,Crosswalk!$A$2:$C$125,3,FALSE),"Unmapped")</f>
        <v/>
      </c>
    </row>
    <row r="1010">
      <c r="A1010" t="n">
        <v>2017</v>
      </c>
      <c r="B1010" t="inlineStr">
        <is>
          <t>GS91300</t>
        </is>
      </c>
      <c r="C1010" t="inlineStr">
        <is>
          <t>Other municipal government services</t>
        </is>
      </c>
      <c r="D1010" t="n">
        <v>6625</v>
      </c>
      <c r="E1010">
        <f>IFERROR(VLOOKUP(B1010,Crosswalk!$A$2:$C$125,3,FALSE),"Unmapped")</f>
        <v/>
      </c>
    </row>
    <row r="1011">
      <c r="A1011" t="n">
        <v>2017</v>
      </c>
      <c r="B1011" t="inlineStr">
        <is>
          <t>GS91400</t>
        </is>
      </c>
      <c r="C1011" t="inlineStr">
        <is>
          <t>Other Indigenous government services</t>
        </is>
      </c>
      <c r="D1011" t="n">
        <v>636</v>
      </c>
      <c r="E1011">
        <f>IFERROR(VLOOKUP(B1011,Crosswalk!$A$2:$C$125,3,FALSE),"Unmapped")</f>
        <v/>
      </c>
    </row>
    <row r="1012">
      <c r="A1012" t="n">
        <v>2017</v>
      </c>
      <c r="B1012" t="inlineStr">
        <is>
          <t>NP61000</t>
        </is>
      </c>
      <c r="C1012" t="inlineStr">
        <is>
          <t>Non-profit education services</t>
        </is>
      </c>
      <c r="D1012" t="n">
        <v>770</v>
      </c>
      <c r="E1012">
        <f>IFERROR(VLOOKUP(B1012,Crosswalk!$A$2:$C$125,3,FALSE),"Unmapped")</f>
        <v/>
      </c>
    </row>
    <row r="1013">
      <c r="A1013" t="n">
        <v>2017</v>
      </c>
      <c r="B1013" t="inlineStr">
        <is>
          <t>NP62400</t>
        </is>
      </c>
      <c r="C1013" t="inlineStr">
        <is>
          <t>Non-profit social assistance</t>
        </is>
      </c>
      <c r="D1013" t="n">
        <v>300</v>
      </c>
      <c r="E1013">
        <f>IFERROR(VLOOKUP(B1013,Crosswalk!$A$2:$C$125,3,FALSE),"Unmapped")</f>
        <v/>
      </c>
    </row>
    <row r="1014">
      <c r="A1014" t="n">
        <v>2017</v>
      </c>
      <c r="B1014" t="inlineStr">
        <is>
          <t>NP71000</t>
        </is>
      </c>
      <c r="C1014" t="inlineStr">
        <is>
          <t>Non-profit arts, entertainment and recreation</t>
        </is>
      </c>
      <c r="D1014" t="n">
        <v>263</v>
      </c>
      <c r="E1014">
        <f>IFERROR(VLOOKUP(B1014,Crosswalk!$A$2:$C$125,3,FALSE),"Unmapped")</f>
        <v/>
      </c>
    </row>
    <row r="1015">
      <c r="A1015" t="n">
        <v>2017</v>
      </c>
      <c r="B1015" t="inlineStr">
        <is>
          <t>NP81310</t>
        </is>
      </c>
      <c r="C1015" t="inlineStr">
        <is>
          <t>Religious organizations</t>
        </is>
      </c>
      <c r="D1015" t="n">
        <v>401</v>
      </c>
      <c r="E1015">
        <f>IFERROR(VLOOKUP(B1015,Crosswalk!$A$2:$C$125,3,FALSE),"Unmapped")</f>
        <v/>
      </c>
    </row>
    <row r="1016">
      <c r="A1016" t="n">
        <v>2017</v>
      </c>
      <c r="B1016" t="inlineStr">
        <is>
          <t>NPA0000</t>
        </is>
      </c>
      <c r="C1016" t="inlineStr">
        <is>
          <t>Miscellaneous non-profit institutions serving households</t>
        </is>
      </c>
      <c r="D1016" t="n">
        <v>1503</v>
      </c>
      <c r="E1016">
        <f>IFERROR(VLOOKUP(B1016,Crosswalk!$A$2:$C$125,3,FALSE),"Unmapped")</f>
        <v/>
      </c>
    </row>
    <row r="1017">
      <c r="A1017" t="n">
        <v>2018</v>
      </c>
      <c r="B1017" t="inlineStr">
        <is>
          <t>BS111CL</t>
        </is>
      </c>
      <c r="C1017" t="inlineStr">
        <is>
          <t>Cannabis production (licensed)</t>
        </is>
      </c>
      <c r="D1017" t="n">
        <v>40</v>
      </c>
      <c r="E1017">
        <f>IFERROR(VLOOKUP(B1017,Crosswalk!$A$2:$C$125,3,FALSE),"Unmapped")</f>
        <v/>
      </c>
    </row>
    <row r="1018">
      <c r="A1018" t="n">
        <v>2018</v>
      </c>
      <c r="B1018" t="inlineStr">
        <is>
          <t>BS111CU</t>
        </is>
      </c>
      <c r="C1018" t="inlineStr">
        <is>
          <t>Cannabis production (unlicensed)</t>
        </is>
      </c>
      <c r="D1018" t="n">
        <v>152</v>
      </c>
      <c r="E1018">
        <f>IFERROR(VLOOKUP(B1018,Crosswalk!$A$2:$C$125,3,FALSE),"Unmapped")</f>
        <v/>
      </c>
    </row>
    <row r="1019">
      <c r="A1019" t="n">
        <v>2018</v>
      </c>
      <c r="B1019" t="inlineStr">
        <is>
          <t>BS11300</t>
        </is>
      </c>
      <c r="C1019" t="inlineStr">
        <is>
          <t>Forestry and logging</t>
        </is>
      </c>
      <c r="D1019" t="n">
        <v>8203</v>
      </c>
      <c r="E1019">
        <f>IFERROR(VLOOKUP(B1019,Crosswalk!$A$2:$C$125,3,FALSE),"Unmapped")</f>
        <v/>
      </c>
    </row>
    <row r="1020">
      <c r="A1020" t="n">
        <v>2018</v>
      </c>
      <c r="B1020" t="inlineStr">
        <is>
          <t>BS11400</t>
        </is>
      </c>
      <c r="C1020" t="inlineStr">
        <is>
          <t>Fishing, hunting and trapping</t>
        </is>
      </c>
      <c r="D1020" t="n">
        <v>1008</v>
      </c>
      <c r="E1020">
        <f>IFERROR(VLOOKUP(B1020,Crosswalk!$A$2:$C$125,3,FALSE),"Unmapped")</f>
        <v/>
      </c>
    </row>
    <row r="1021">
      <c r="A1021" t="n">
        <v>2018</v>
      </c>
      <c r="B1021" t="inlineStr">
        <is>
          <t>BS11500</t>
        </is>
      </c>
      <c r="C1021" t="inlineStr">
        <is>
          <t>Support activities for agriculture and forestry</t>
        </is>
      </c>
      <c r="D1021" t="n">
        <v>967</v>
      </c>
      <c r="E1021">
        <f>IFERROR(VLOOKUP(B1021,Crosswalk!$A$2:$C$125,3,FALSE),"Unmapped")</f>
        <v/>
      </c>
    </row>
    <row r="1022">
      <c r="A1022" t="n">
        <v>2018</v>
      </c>
      <c r="B1022" t="inlineStr">
        <is>
          <t>BS11B00</t>
        </is>
      </c>
      <c r="C1022" t="inlineStr">
        <is>
          <t>Crop and animal production (except cannabis)</t>
        </is>
      </c>
      <c r="D1022" t="n">
        <v>72663</v>
      </c>
      <c r="E1022">
        <f>IFERROR(VLOOKUP(B1022,Crosswalk!$A$2:$C$125,3,FALSE),"Unmapped")</f>
        <v/>
      </c>
    </row>
    <row r="1023">
      <c r="A1023" t="n">
        <v>2018</v>
      </c>
      <c r="B1023" t="inlineStr">
        <is>
          <t>BS21100</t>
        </is>
      </c>
      <c r="C1023" t="inlineStr">
        <is>
          <t>Oil and gas extraction</t>
        </is>
      </c>
      <c r="D1023" t="n">
        <v>198306</v>
      </c>
      <c r="E1023">
        <f>IFERROR(VLOOKUP(B1023,Crosswalk!$A$2:$C$125,3,FALSE),"Unmapped")</f>
        <v/>
      </c>
    </row>
    <row r="1024">
      <c r="A1024" t="n">
        <v>2018</v>
      </c>
      <c r="B1024" t="inlineStr">
        <is>
          <t>BS21210</t>
        </is>
      </c>
      <c r="C1024" t="inlineStr">
        <is>
          <t>Coal mining</t>
        </is>
      </c>
      <c r="D1024" t="n">
        <v>3935</v>
      </c>
      <c r="E1024">
        <f>IFERROR(VLOOKUP(B1024,Crosswalk!$A$2:$C$125,3,FALSE),"Unmapped")</f>
        <v/>
      </c>
    </row>
    <row r="1025">
      <c r="A1025" t="n">
        <v>2018</v>
      </c>
      <c r="B1025" t="inlineStr">
        <is>
          <t>BS21220</t>
        </is>
      </c>
      <c r="C1025" t="inlineStr">
        <is>
          <t>Metal ore mining</t>
        </is>
      </c>
      <c r="D1025" t="n">
        <v>4831</v>
      </c>
      <c r="E1025">
        <f>IFERROR(VLOOKUP(B1025,Crosswalk!$A$2:$C$125,3,FALSE),"Unmapped")</f>
        <v/>
      </c>
    </row>
    <row r="1026">
      <c r="A1026" t="n">
        <v>2018</v>
      </c>
      <c r="B1026" t="inlineStr">
        <is>
          <t>BS21230</t>
        </is>
      </c>
      <c r="C1026" t="inlineStr">
        <is>
          <t>Non-metallic mineral mining and quarrying</t>
        </is>
      </c>
      <c r="D1026" t="n">
        <v>3797</v>
      </c>
      <c r="E1026">
        <f>IFERROR(VLOOKUP(B1026,Crosswalk!$A$2:$C$125,3,FALSE),"Unmapped")</f>
        <v/>
      </c>
    </row>
    <row r="1027">
      <c r="A1027" t="n">
        <v>2018</v>
      </c>
      <c r="B1027" t="inlineStr">
        <is>
          <t>BS21300</t>
        </is>
      </c>
      <c r="C1027" t="inlineStr">
        <is>
          <t>Support activities for mining and oil and gas extraction</t>
        </is>
      </c>
      <c r="D1027" t="n">
        <v>7546</v>
      </c>
      <c r="E1027">
        <f>IFERROR(VLOOKUP(B1027,Crosswalk!$A$2:$C$125,3,FALSE),"Unmapped")</f>
        <v/>
      </c>
    </row>
    <row r="1028">
      <c r="A1028" t="n">
        <v>2018</v>
      </c>
      <c r="B1028" t="inlineStr">
        <is>
          <t>BS22110</t>
        </is>
      </c>
      <c r="C1028" t="inlineStr">
        <is>
          <t>Electric power generation, transmission and distribution</t>
        </is>
      </c>
      <c r="D1028" t="n">
        <v>70898</v>
      </c>
      <c r="E1028">
        <f>IFERROR(VLOOKUP(B1028,Crosswalk!$A$2:$C$125,3,FALSE),"Unmapped")</f>
        <v/>
      </c>
    </row>
    <row r="1029">
      <c r="A1029" t="n">
        <v>2018</v>
      </c>
      <c r="B1029" t="inlineStr">
        <is>
          <t>BS221A0</t>
        </is>
      </c>
      <c r="C1029" t="inlineStr">
        <is>
          <t>Natural gas distribution, water, sewage and other systems</t>
        </is>
      </c>
      <c r="D1029" t="n">
        <v>2466</v>
      </c>
      <c r="E1029">
        <f>IFERROR(VLOOKUP(B1029,Crosswalk!$A$2:$C$125,3,FALSE),"Unmapped")</f>
        <v/>
      </c>
    </row>
    <row r="1030">
      <c r="A1030" t="n">
        <v>2018</v>
      </c>
      <c r="B1030" t="inlineStr">
        <is>
          <t>BS23A00</t>
        </is>
      </c>
      <c r="C1030" t="inlineStr">
        <is>
          <t>Residential building construction</t>
        </is>
      </c>
      <c r="D1030" t="n">
        <v>2113</v>
      </c>
      <c r="E1030">
        <f>IFERROR(VLOOKUP(B1030,Crosswalk!$A$2:$C$125,3,FALSE),"Unmapped")</f>
        <v/>
      </c>
    </row>
    <row r="1031">
      <c r="A1031" t="n">
        <v>2018</v>
      </c>
      <c r="B1031" t="inlineStr">
        <is>
          <t>BS23B00</t>
        </is>
      </c>
      <c r="C1031" t="inlineStr">
        <is>
          <t>Non-residential building construction</t>
        </is>
      </c>
      <c r="D1031" t="n">
        <v>634</v>
      </c>
      <c r="E1031">
        <f>IFERROR(VLOOKUP(B1031,Crosswalk!$A$2:$C$125,3,FALSE),"Unmapped")</f>
        <v/>
      </c>
    </row>
    <row r="1032">
      <c r="A1032" t="n">
        <v>2018</v>
      </c>
      <c r="B1032" t="inlineStr">
        <is>
          <t>BS23C10</t>
        </is>
      </c>
      <c r="C1032" t="inlineStr">
        <is>
          <t>Transportation engineering construction</t>
        </is>
      </c>
      <c r="D1032" t="n">
        <v>1617</v>
      </c>
      <c r="E1032">
        <f>IFERROR(VLOOKUP(B1032,Crosswalk!$A$2:$C$125,3,FALSE),"Unmapped")</f>
        <v/>
      </c>
    </row>
    <row r="1033">
      <c r="A1033" t="n">
        <v>2018</v>
      </c>
      <c r="B1033" t="inlineStr">
        <is>
          <t>BS23C20</t>
        </is>
      </c>
      <c r="C1033" t="inlineStr">
        <is>
          <t>Oil and gas engineering construction</t>
        </is>
      </c>
      <c r="D1033" t="n">
        <v>1233</v>
      </c>
      <c r="E1033">
        <f>IFERROR(VLOOKUP(B1033,Crosswalk!$A$2:$C$125,3,FALSE),"Unmapped")</f>
        <v/>
      </c>
    </row>
    <row r="1034">
      <c r="A1034" t="n">
        <v>2018</v>
      </c>
      <c r="B1034" t="inlineStr">
        <is>
          <t>BS23C30</t>
        </is>
      </c>
      <c r="C1034" t="inlineStr">
        <is>
          <t>Electric power engineering construction</t>
        </is>
      </c>
      <c r="D1034" t="n">
        <v>1018</v>
      </c>
      <c r="E1034">
        <f>IFERROR(VLOOKUP(B1034,Crosswalk!$A$2:$C$125,3,FALSE),"Unmapped")</f>
        <v/>
      </c>
    </row>
    <row r="1035">
      <c r="A1035" t="n">
        <v>2018</v>
      </c>
      <c r="B1035" t="inlineStr">
        <is>
          <t>BS23C40</t>
        </is>
      </c>
      <c r="C1035" t="inlineStr">
        <is>
          <t>Communication engineering construction</t>
        </is>
      </c>
      <c r="D1035" t="n">
        <v>464</v>
      </c>
      <c r="E1035">
        <f>IFERROR(VLOOKUP(B1035,Crosswalk!$A$2:$C$125,3,FALSE),"Unmapped")</f>
        <v/>
      </c>
    </row>
    <row r="1036">
      <c r="A1036" t="n">
        <v>2018</v>
      </c>
      <c r="B1036" t="inlineStr">
        <is>
          <t>BS23C50</t>
        </is>
      </c>
      <c r="C1036" t="inlineStr">
        <is>
          <t>Other engineering construction</t>
        </is>
      </c>
      <c r="D1036" t="n">
        <v>1136</v>
      </c>
      <c r="E1036">
        <f>IFERROR(VLOOKUP(B1036,Crosswalk!$A$2:$C$125,3,FALSE),"Unmapped")</f>
        <v/>
      </c>
    </row>
    <row r="1037">
      <c r="A1037" t="n">
        <v>2018</v>
      </c>
      <c r="B1037" t="inlineStr">
        <is>
          <t>BS23D00</t>
        </is>
      </c>
      <c r="C1037" t="inlineStr">
        <is>
          <t>Repair construction</t>
        </is>
      </c>
      <c r="D1037" t="n">
        <v>826</v>
      </c>
      <c r="E1037">
        <f>IFERROR(VLOOKUP(B1037,Crosswalk!$A$2:$C$125,3,FALSE),"Unmapped")</f>
        <v/>
      </c>
    </row>
    <row r="1038">
      <c r="A1038" t="n">
        <v>2018</v>
      </c>
      <c r="B1038" t="inlineStr">
        <is>
          <t>BS23E00</t>
        </is>
      </c>
      <c r="C1038" t="inlineStr">
        <is>
          <t>Other activities of the construction industry</t>
        </is>
      </c>
      <c r="D1038" t="n">
        <v>768</v>
      </c>
      <c r="E1038">
        <f>IFERROR(VLOOKUP(B1038,Crosswalk!$A$2:$C$125,3,FALSE),"Unmapped")</f>
        <v/>
      </c>
    </row>
    <row r="1039">
      <c r="A1039" t="n">
        <v>2018</v>
      </c>
      <c r="B1039" t="inlineStr">
        <is>
          <t>BS31110</t>
        </is>
      </c>
      <c r="C1039" t="inlineStr">
        <is>
          <t>Animal food manufacturing</t>
        </is>
      </c>
      <c r="D1039" t="n">
        <v>382</v>
      </c>
      <c r="E1039">
        <f>IFERROR(VLOOKUP(B1039,Crosswalk!$A$2:$C$125,3,FALSE),"Unmapped")</f>
        <v/>
      </c>
    </row>
    <row r="1040">
      <c r="A1040" t="n">
        <v>2018</v>
      </c>
      <c r="B1040" t="inlineStr">
        <is>
          <t>BS31130</t>
        </is>
      </c>
      <c r="C1040" t="inlineStr">
        <is>
          <t>Sugar and confectionery product manufacturing</t>
        </is>
      </c>
      <c r="D1040" t="n">
        <v>367</v>
      </c>
      <c r="E1040">
        <f>IFERROR(VLOOKUP(B1040,Crosswalk!$A$2:$C$125,3,FALSE),"Unmapped")</f>
        <v/>
      </c>
    </row>
    <row r="1041">
      <c r="A1041" t="n">
        <v>2018</v>
      </c>
      <c r="B1041" t="inlineStr">
        <is>
          <t>BS31140</t>
        </is>
      </c>
      <c r="C1041" t="inlineStr">
        <is>
          <t>Fruit and vegetable preserving and specialty food manufacturing</t>
        </is>
      </c>
      <c r="D1041" t="n">
        <v>481</v>
      </c>
      <c r="E1041">
        <f>IFERROR(VLOOKUP(B1041,Crosswalk!$A$2:$C$125,3,FALSE),"Unmapped")</f>
        <v/>
      </c>
    </row>
    <row r="1042">
      <c r="A1042" t="n">
        <v>2018</v>
      </c>
      <c r="B1042" t="inlineStr">
        <is>
          <t>BS31150</t>
        </is>
      </c>
      <c r="C1042" t="inlineStr">
        <is>
          <t>Dairy product manufacturing</t>
        </is>
      </c>
      <c r="D1042" t="n">
        <v>432</v>
      </c>
      <c r="E1042">
        <f>IFERROR(VLOOKUP(B1042,Crosswalk!$A$2:$C$125,3,FALSE),"Unmapped")</f>
        <v/>
      </c>
    </row>
    <row r="1043">
      <c r="A1043" t="n">
        <v>2018</v>
      </c>
      <c r="B1043" t="inlineStr">
        <is>
          <t>BS31160</t>
        </is>
      </c>
      <c r="C1043" t="inlineStr">
        <is>
          <t>Meat product manufacturing</t>
        </is>
      </c>
      <c r="D1043" t="n">
        <v>1077</v>
      </c>
      <c r="E1043">
        <f>IFERROR(VLOOKUP(B1043,Crosswalk!$A$2:$C$125,3,FALSE),"Unmapped")</f>
        <v/>
      </c>
    </row>
    <row r="1044">
      <c r="A1044" t="n">
        <v>2018</v>
      </c>
      <c r="B1044" t="inlineStr">
        <is>
          <t>BS31170</t>
        </is>
      </c>
      <c r="C1044" t="inlineStr">
        <is>
          <t>Seafood product preparation and packaging</t>
        </is>
      </c>
      <c r="D1044" t="n">
        <v>143</v>
      </c>
      <c r="E1044">
        <f>IFERROR(VLOOKUP(B1044,Crosswalk!$A$2:$C$125,3,FALSE),"Unmapped")</f>
        <v/>
      </c>
    </row>
    <row r="1045">
      <c r="A1045" t="n">
        <v>2018</v>
      </c>
      <c r="B1045" t="inlineStr">
        <is>
          <t>BS311A0</t>
        </is>
      </c>
      <c r="C1045" t="inlineStr">
        <is>
          <t>Miscellaneous food manufacturing</t>
        </is>
      </c>
      <c r="D1045" t="n">
        <v>2256</v>
      </c>
      <c r="E1045">
        <f>IFERROR(VLOOKUP(B1045,Crosswalk!$A$2:$C$125,3,FALSE),"Unmapped")</f>
        <v/>
      </c>
    </row>
    <row r="1046">
      <c r="A1046" t="n">
        <v>2018</v>
      </c>
      <c r="B1046" t="inlineStr">
        <is>
          <t>BS31211</t>
        </is>
      </c>
      <c r="C1046" t="inlineStr">
        <is>
          <t>Soft drink and ice manufacturing</t>
        </is>
      </c>
      <c r="D1046" t="n">
        <v>197</v>
      </c>
      <c r="E1046">
        <f>IFERROR(VLOOKUP(B1046,Crosswalk!$A$2:$C$125,3,FALSE),"Unmapped")</f>
        <v/>
      </c>
    </row>
    <row r="1047">
      <c r="A1047" t="n">
        <v>2018</v>
      </c>
      <c r="B1047" t="inlineStr">
        <is>
          <t>BS31212</t>
        </is>
      </c>
      <c r="C1047" t="inlineStr">
        <is>
          <t>Breweries</t>
        </is>
      </c>
      <c r="D1047" t="n">
        <v>402</v>
      </c>
      <c r="E1047">
        <f>IFERROR(VLOOKUP(B1047,Crosswalk!$A$2:$C$125,3,FALSE),"Unmapped")</f>
        <v/>
      </c>
    </row>
    <row r="1048">
      <c r="A1048" t="n">
        <v>2018</v>
      </c>
      <c r="B1048" t="inlineStr">
        <is>
          <t>BS3121A</t>
        </is>
      </c>
      <c r="C1048" t="inlineStr">
        <is>
          <t>Wineries and distilleries</t>
        </is>
      </c>
      <c r="D1048" t="n">
        <v>285</v>
      </c>
      <c r="E1048">
        <f>IFERROR(VLOOKUP(B1048,Crosswalk!$A$2:$C$125,3,FALSE),"Unmapped")</f>
        <v/>
      </c>
    </row>
    <row r="1049">
      <c r="A1049" t="n">
        <v>2018</v>
      </c>
      <c r="B1049" t="inlineStr">
        <is>
          <t>BS31220</t>
        </is>
      </c>
      <c r="C1049" t="inlineStr">
        <is>
          <t>Tobacco manufacturing</t>
        </is>
      </c>
      <c r="D1049" t="n">
        <v>20</v>
      </c>
      <c r="E1049">
        <f>IFERROR(VLOOKUP(B1049,Crosswalk!$A$2:$C$125,3,FALSE),"Unmapped")</f>
        <v/>
      </c>
    </row>
    <row r="1050">
      <c r="A1050" t="n">
        <v>2018</v>
      </c>
      <c r="B1050" t="inlineStr">
        <is>
          <t>BS31A00</t>
        </is>
      </c>
      <c r="C1050" t="inlineStr">
        <is>
          <t>Textile and textile product mills</t>
        </is>
      </c>
      <c r="D1050" t="n">
        <v>159</v>
      </c>
      <c r="E1050">
        <f>IFERROR(VLOOKUP(B1050,Crosswalk!$A$2:$C$125,3,FALSE),"Unmapped")</f>
        <v/>
      </c>
    </row>
    <row r="1051">
      <c r="A1051" t="n">
        <v>2018</v>
      </c>
      <c r="B1051" t="inlineStr">
        <is>
          <t>BS31B00</t>
        </is>
      </c>
      <c r="C1051" t="inlineStr">
        <is>
          <t>Clothing and leather and allied product manufacturing</t>
        </is>
      </c>
      <c r="D1051" t="n">
        <v>56</v>
      </c>
      <c r="E1051">
        <f>IFERROR(VLOOKUP(B1051,Crosswalk!$A$2:$C$125,3,FALSE),"Unmapped")</f>
        <v/>
      </c>
    </row>
    <row r="1052">
      <c r="A1052" t="n">
        <v>2018</v>
      </c>
      <c r="B1052" t="inlineStr">
        <is>
          <t>BS32100</t>
        </is>
      </c>
      <c r="C1052" t="inlineStr">
        <is>
          <t>Wood product manufacturing</t>
        </is>
      </c>
      <c r="D1052" t="n">
        <v>10727</v>
      </c>
      <c r="E1052">
        <f>IFERROR(VLOOKUP(B1052,Crosswalk!$A$2:$C$125,3,FALSE),"Unmapped")</f>
        <v/>
      </c>
    </row>
    <row r="1053">
      <c r="A1053" t="n">
        <v>2018</v>
      </c>
      <c r="B1053" t="inlineStr">
        <is>
          <t>BS32210</t>
        </is>
      </c>
      <c r="C1053" t="inlineStr">
        <is>
          <t>Pulp, paper and paperboard mills</t>
        </is>
      </c>
      <c r="D1053" t="n">
        <v>40842</v>
      </c>
      <c r="E1053">
        <f>IFERROR(VLOOKUP(B1053,Crosswalk!$A$2:$C$125,3,FALSE),"Unmapped")</f>
        <v/>
      </c>
    </row>
    <row r="1054">
      <c r="A1054" t="n">
        <v>2018</v>
      </c>
      <c r="B1054" t="inlineStr">
        <is>
          <t>BS32220</t>
        </is>
      </c>
      <c r="C1054" t="inlineStr">
        <is>
          <t>Converted paper product manufacturing</t>
        </is>
      </c>
      <c r="D1054" t="n">
        <v>543</v>
      </c>
      <c r="E1054">
        <f>IFERROR(VLOOKUP(B1054,Crosswalk!$A$2:$C$125,3,FALSE),"Unmapped")</f>
        <v/>
      </c>
    </row>
    <row r="1055">
      <c r="A1055" t="n">
        <v>2018</v>
      </c>
      <c r="B1055" t="inlineStr">
        <is>
          <t>BS32300</t>
        </is>
      </c>
      <c r="C1055" t="inlineStr">
        <is>
          <t>Printing and related support activities</t>
        </is>
      </c>
      <c r="D1055" t="n">
        <v>306</v>
      </c>
      <c r="E1055">
        <f>IFERROR(VLOOKUP(B1055,Crosswalk!$A$2:$C$125,3,FALSE),"Unmapped")</f>
        <v/>
      </c>
    </row>
    <row r="1056">
      <c r="A1056" t="n">
        <v>2018</v>
      </c>
      <c r="B1056" t="inlineStr">
        <is>
          <t>BS32400</t>
        </is>
      </c>
      <c r="C1056" t="inlineStr">
        <is>
          <t>Petroleum and coal product manufacturing</t>
        </is>
      </c>
      <c r="D1056" t="n">
        <v>19708</v>
      </c>
      <c r="E1056">
        <f>IFERROR(VLOOKUP(B1056,Crosswalk!$A$2:$C$125,3,FALSE),"Unmapped")</f>
        <v/>
      </c>
    </row>
    <row r="1057">
      <c r="A1057" t="n">
        <v>2018</v>
      </c>
      <c r="B1057" t="inlineStr">
        <is>
          <t>BS32510</t>
        </is>
      </c>
      <c r="C1057" t="inlineStr">
        <is>
          <t>Basic chemical manufacturing</t>
        </is>
      </c>
      <c r="D1057" t="n">
        <v>11596</v>
      </c>
      <c r="E1057">
        <f>IFERROR(VLOOKUP(B1057,Crosswalk!$A$2:$C$125,3,FALSE),"Unmapped")</f>
        <v/>
      </c>
    </row>
    <row r="1058">
      <c r="A1058" t="n">
        <v>2018</v>
      </c>
      <c r="B1058" t="inlineStr">
        <is>
          <t>BS32530</t>
        </is>
      </c>
      <c r="C1058" t="inlineStr">
        <is>
          <t>Pesticide, fertilizer and other agricultural chemical manufacturing</t>
        </is>
      </c>
      <c r="D1058" t="n">
        <v>5289</v>
      </c>
      <c r="E1058">
        <f>IFERROR(VLOOKUP(B1058,Crosswalk!$A$2:$C$125,3,FALSE),"Unmapped")</f>
        <v/>
      </c>
    </row>
    <row r="1059">
      <c r="A1059" t="n">
        <v>2018</v>
      </c>
      <c r="B1059" t="inlineStr">
        <is>
          <t>BS32540</t>
        </is>
      </c>
      <c r="C1059" t="inlineStr">
        <is>
          <t>Pharmaceutical and medicine manufacturing</t>
        </is>
      </c>
      <c r="D1059" t="n">
        <v>275</v>
      </c>
      <c r="E1059">
        <f>IFERROR(VLOOKUP(B1059,Crosswalk!$A$2:$C$125,3,FALSE),"Unmapped")</f>
        <v/>
      </c>
    </row>
    <row r="1060">
      <c r="A1060" t="n">
        <v>2018</v>
      </c>
      <c r="B1060" t="inlineStr">
        <is>
          <t>BS325C0</t>
        </is>
      </c>
      <c r="C1060" t="inlineStr">
        <is>
          <t>Miscellaneous chemical product manufacturing</t>
        </is>
      </c>
      <c r="D1060" t="n">
        <v>1709</v>
      </c>
      <c r="E1060">
        <f>IFERROR(VLOOKUP(B1060,Crosswalk!$A$2:$C$125,3,FALSE),"Unmapped")</f>
        <v/>
      </c>
    </row>
    <row r="1061">
      <c r="A1061" t="n">
        <v>2018</v>
      </c>
      <c r="B1061" t="inlineStr">
        <is>
          <t>BS32610</t>
        </is>
      </c>
      <c r="C1061" t="inlineStr">
        <is>
          <t>Plastic product manufacturing</t>
        </is>
      </c>
      <c r="D1061" t="n">
        <v>672</v>
      </c>
      <c r="E1061">
        <f>IFERROR(VLOOKUP(B1061,Crosswalk!$A$2:$C$125,3,FALSE),"Unmapped")</f>
        <v/>
      </c>
    </row>
    <row r="1062">
      <c r="A1062" t="n">
        <v>2018</v>
      </c>
      <c r="B1062" t="inlineStr">
        <is>
          <t>BS32620</t>
        </is>
      </c>
      <c r="C1062" t="inlineStr">
        <is>
          <t>Rubber product manufacturing</t>
        </is>
      </c>
      <c r="D1062" t="n">
        <v>253</v>
      </c>
      <c r="E1062">
        <f>IFERROR(VLOOKUP(B1062,Crosswalk!$A$2:$C$125,3,FALSE),"Unmapped")</f>
        <v/>
      </c>
    </row>
    <row r="1063">
      <c r="A1063" t="n">
        <v>2018</v>
      </c>
      <c r="B1063" t="inlineStr">
        <is>
          <t>BS32730</t>
        </is>
      </c>
      <c r="C1063" t="inlineStr">
        <is>
          <t>Cement and concrete product manufacturing</t>
        </is>
      </c>
      <c r="D1063" t="n">
        <v>11848</v>
      </c>
      <c r="E1063">
        <f>IFERROR(VLOOKUP(B1063,Crosswalk!$A$2:$C$125,3,FALSE),"Unmapped")</f>
        <v/>
      </c>
    </row>
    <row r="1064">
      <c r="A1064" t="n">
        <v>2018</v>
      </c>
      <c r="B1064" t="inlineStr">
        <is>
          <t>BS327A0</t>
        </is>
      </c>
      <c r="C1064" t="inlineStr">
        <is>
          <t>Non-metallic mineral product manufacturing (except cement and concrete products)</t>
        </is>
      </c>
      <c r="D1064" t="n">
        <v>2342</v>
      </c>
      <c r="E1064">
        <f>IFERROR(VLOOKUP(B1064,Crosswalk!$A$2:$C$125,3,FALSE),"Unmapped")</f>
        <v/>
      </c>
    </row>
    <row r="1065">
      <c r="A1065" t="n">
        <v>2018</v>
      </c>
      <c r="B1065" t="inlineStr">
        <is>
          <t>BS33100</t>
        </is>
      </c>
      <c r="C1065" t="inlineStr">
        <is>
          <t>Primary metal manufacturing</t>
        </is>
      </c>
      <c r="D1065" t="n">
        <v>25960</v>
      </c>
      <c r="E1065">
        <f>IFERROR(VLOOKUP(B1065,Crosswalk!$A$2:$C$125,3,FALSE),"Unmapped")</f>
        <v/>
      </c>
    </row>
    <row r="1066">
      <c r="A1066" t="n">
        <v>2018</v>
      </c>
      <c r="B1066" t="inlineStr">
        <is>
          <t>BS33200</t>
        </is>
      </c>
      <c r="C1066" t="inlineStr">
        <is>
          <t>Fabricated metal product manufacturing</t>
        </is>
      </c>
      <c r="D1066" t="n">
        <v>1687</v>
      </c>
      <c r="E1066">
        <f>IFERROR(VLOOKUP(B1066,Crosswalk!$A$2:$C$125,3,FALSE),"Unmapped")</f>
        <v/>
      </c>
    </row>
    <row r="1067">
      <c r="A1067" t="n">
        <v>2018</v>
      </c>
      <c r="B1067" t="inlineStr">
        <is>
          <t>BS33300</t>
        </is>
      </c>
      <c r="C1067" t="inlineStr">
        <is>
          <t>Machinery manufacturing</t>
        </is>
      </c>
      <c r="D1067" t="n">
        <v>867</v>
      </c>
      <c r="E1067">
        <f>IFERROR(VLOOKUP(B1067,Crosswalk!$A$2:$C$125,3,FALSE),"Unmapped")</f>
        <v/>
      </c>
    </row>
    <row r="1068">
      <c r="A1068" t="n">
        <v>2018</v>
      </c>
      <c r="B1068" t="inlineStr">
        <is>
          <t>BS33410</t>
        </is>
      </c>
      <c r="C1068" t="inlineStr">
        <is>
          <t>Computer and peripheral equipment manufacturing</t>
        </is>
      </c>
      <c r="D1068" t="n">
        <v>8</v>
      </c>
      <c r="E1068">
        <f>IFERROR(VLOOKUP(B1068,Crosswalk!$A$2:$C$125,3,FALSE),"Unmapped")</f>
        <v/>
      </c>
    </row>
    <row r="1069">
      <c r="A1069" t="n">
        <v>2018</v>
      </c>
      <c r="B1069" t="inlineStr">
        <is>
          <t>BS334B0</t>
        </is>
      </c>
      <c r="C1069" t="inlineStr">
        <is>
          <t>Electronic product manufacturing</t>
        </is>
      </c>
      <c r="D1069" t="n">
        <v>104</v>
      </c>
      <c r="E1069">
        <f>IFERROR(VLOOKUP(B1069,Crosswalk!$A$2:$C$125,3,FALSE),"Unmapped")</f>
        <v/>
      </c>
    </row>
    <row r="1070">
      <c r="A1070" t="n">
        <v>2018</v>
      </c>
      <c r="B1070" t="inlineStr">
        <is>
          <t>BS33520</t>
        </is>
      </c>
      <c r="C1070" t="inlineStr">
        <is>
          <t>Household appliance manufacturing</t>
        </is>
      </c>
      <c r="D1070" t="n">
        <v>15</v>
      </c>
      <c r="E1070">
        <f>IFERROR(VLOOKUP(B1070,Crosswalk!$A$2:$C$125,3,FALSE),"Unmapped")</f>
        <v/>
      </c>
    </row>
    <row r="1071">
      <c r="A1071" t="n">
        <v>2018</v>
      </c>
      <c r="B1071" t="inlineStr">
        <is>
          <t>BS335A0</t>
        </is>
      </c>
      <c r="C1071" t="inlineStr">
        <is>
          <t>Electrical equipment and component manufacturing</t>
        </is>
      </c>
      <c r="D1071" t="n">
        <v>140</v>
      </c>
      <c r="E1071">
        <f>IFERROR(VLOOKUP(B1071,Crosswalk!$A$2:$C$125,3,FALSE),"Unmapped")</f>
        <v/>
      </c>
    </row>
    <row r="1072">
      <c r="A1072" t="n">
        <v>2018</v>
      </c>
      <c r="B1072" t="inlineStr">
        <is>
          <t>BS33610</t>
        </is>
      </c>
      <c r="C1072" t="inlineStr">
        <is>
          <t>Motor vehicle manufacturing</t>
        </is>
      </c>
      <c r="D1072" t="n">
        <v>733</v>
      </c>
      <c r="E1072">
        <f>IFERROR(VLOOKUP(B1072,Crosswalk!$A$2:$C$125,3,FALSE),"Unmapped")</f>
        <v/>
      </c>
    </row>
    <row r="1073">
      <c r="A1073" t="n">
        <v>2018</v>
      </c>
      <c r="B1073" t="inlineStr">
        <is>
          <t>BS33620</t>
        </is>
      </c>
      <c r="C1073" t="inlineStr">
        <is>
          <t>Motor vehicle body and trailer manufacturing</t>
        </is>
      </c>
      <c r="D1073" t="n">
        <v>79</v>
      </c>
      <c r="E1073">
        <f>IFERROR(VLOOKUP(B1073,Crosswalk!$A$2:$C$125,3,FALSE),"Unmapped")</f>
        <v/>
      </c>
    </row>
    <row r="1074">
      <c r="A1074" t="n">
        <v>2018</v>
      </c>
      <c r="B1074" t="inlineStr">
        <is>
          <t>BS33630</t>
        </is>
      </c>
      <c r="C1074" t="inlineStr">
        <is>
          <t>Motor vehicle parts manufacturing</t>
        </is>
      </c>
      <c r="D1074" t="n">
        <v>416</v>
      </c>
      <c r="E1074">
        <f>IFERROR(VLOOKUP(B1074,Crosswalk!$A$2:$C$125,3,FALSE),"Unmapped")</f>
        <v/>
      </c>
    </row>
    <row r="1075">
      <c r="A1075" t="n">
        <v>2018</v>
      </c>
      <c r="B1075" t="inlineStr">
        <is>
          <t>BS33640</t>
        </is>
      </c>
      <c r="C1075" t="inlineStr">
        <is>
          <t>Aerospace product and parts manufacturing</t>
        </is>
      </c>
      <c r="D1075" t="n">
        <v>316</v>
      </c>
      <c r="E1075">
        <f>IFERROR(VLOOKUP(B1075,Crosswalk!$A$2:$C$125,3,FALSE),"Unmapped")</f>
        <v/>
      </c>
    </row>
    <row r="1076">
      <c r="A1076" t="n">
        <v>2018</v>
      </c>
      <c r="B1076" t="inlineStr">
        <is>
          <t>BS33650</t>
        </is>
      </c>
      <c r="C1076" t="inlineStr">
        <is>
          <t>Railroad rolling stock manufacturing</t>
        </is>
      </c>
      <c r="D1076" t="n">
        <v>20</v>
      </c>
      <c r="E1076">
        <f>IFERROR(VLOOKUP(B1076,Crosswalk!$A$2:$C$125,3,FALSE),"Unmapped")</f>
        <v/>
      </c>
    </row>
    <row r="1077">
      <c r="A1077" t="n">
        <v>2018</v>
      </c>
      <c r="B1077" t="inlineStr">
        <is>
          <t>BS33660</t>
        </is>
      </c>
      <c r="C1077" t="inlineStr">
        <is>
          <t>Ship and boat building</t>
        </is>
      </c>
      <c r="D1077" t="n">
        <v>34</v>
      </c>
      <c r="E1077">
        <f>IFERROR(VLOOKUP(B1077,Crosswalk!$A$2:$C$125,3,FALSE),"Unmapped")</f>
        <v/>
      </c>
    </row>
    <row r="1078">
      <c r="A1078" t="n">
        <v>2018</v>
      </c>
      <c r="B1078" t="inlineStr">
        <is>
          <t>BS33690</t>
        </is>
      </c>
      <c r="C1078" t="inlineStr">
        <is>
          <t>Other transportation equipment manufacturing</t>
        </is>
      </c>
      <c r="D1078" t="n">
        <v>40</v>
      </c>
      <c r="E1078">
        <f>IFERROR(VLOOKUP(B1078,Crosswalk!$A$2:$C$125,3,FALSE),"Unmapped")</f>
        <v/>
      </c>
    </row>
    <row r="1079">
      <c r="A1079" t="n">
        <v>2018</v>
      </c>
      <c r="B1079" t="inlineStr">
        <is>
          <t>BS33700</t>
        </is>
      </c>
      <c r="C1079" t="inlineStr">
        <is>
          <t>Furniture and related product manufacturing</t>
        </is>
      </c>
      <c r="D1079" t="n">
        <v>377</v>
      </c>
      <c r="E1079">
        <f>IFERROR(VLOOKUP(B1079,Crosswalk!$A$2:$C$125,3,FALSE),"Unmapped")</f>
        <v/>
      </c>
    </row>
    <row r="1080">
      <c r="A1080" t="n">
        <v>2018</v>
      </c>
      <c r="B1080" t="inlineStr">
        <is>
          <t>BS33900</t>
        </is>
      </c>
      <c r="C1080" t="inlineStr">
        <is>
          <t>Miscellaneous manufacturing</t>
        </is>
      </c>
      <c r="D1080" t="n">
        <v>334</v>
      </c>
      <c r="E1080">
        <f>IFERROR(VLOOKUP(B1080,Crosswalk!$A$2:$C$125,3,FALSE),"Unmapped")</f>
        <v/>
      </c>
    </row>
    <row r="1081">
      <c r="A1081" t="n">
        <v>2018</v>
      </c>
      <c r="B1081" t="inlineStr">
        <is>
          <t>BS41000</t>
        </is>
      </c>
      <c r="C1081" t="inlineStr">
        <is>
          <t>Wholesale trade</t>
        </is>
      </c>
      <c r="D1081" t="n">
        <v>10165</v>
      </c>
      <c r="E1081">
        <f>IFERROR(VLOOKUP(B1081,Crosswalk!$A$2:$C$125,3,FALSE),"Unmapped")</f>
        <v/>
      </c>
    </row>
    <row r="1082">
      <c r="A1082" t="n">
        <v>2018</v>
      </c>
      <c r="B1082" t="inlineStr">
        <is>
          <t>BS453BL</t>
        </is>
      </c>
      <c r="C1082" t="inlineStr">
        <is>
          <t>Cannabis stores (licensed)</t>
        </is>
      </c>
      <c r="D1082" t="n">
        <v>4</v>
      </c>
      <c r="E1082">
        <f>IFERROR(VLOOKUP(B1082,Crosswalk!$A$2:$C$125,3,FALSE),"Unmapped")</f>
        <v/>
      </c>
    </row>
    <row r="1083">
      <c r="A1083" t="n">
        <v>2018</v>
      </c>
      <c r="B1083" t="inlineStr">
        <is>
          <t>BS453BU</t>
        </is>
      </c>
      <c r="C1083" t="inlineStr">
        <is>
          <t>Cannabis stores (unlicensed)</t>
        </is>
      </c>
      <c r="D1083" t="n">
        <v>33</v>
      </c>
      <c r="E1083">
        <f>IFERROR(VLOOKUP(B1083,Crosswalk!$A$2:$C$125,3,FALSE),"Unmapped")</f>
        <v/>
      </c>
    </row>
    <row r="1084">
      <c r="A1084" t="n">
        <v>2018</v>
      </c>
      <c r="B1084" t="inlineStr">
        <is>
          <t>BS48100</t>
        </is>
      </c>
      <c r="C1084" t="inlineStr">
        <is>
          <t>Air transportation</t>
        </is>
      </c>
      <c r="D1084" t="n">
        <v>22612</v>
      </c>
      <c r="E1084">
        <f>IFERROR(VLOOKUP(B1084,Crosswalk!$A$2:$C$125,3,FALSE),"Unmapped")</f>
        <v/>
      </c>
    </row>
    <row r="1085">
      <c r="A1085" t="n">
        <v>2018</v>
      </c>
      <c r="B1085" t="inlineStr">
        <is>
          <t>BS48200</t>
        </is>
      </c>
      <c r="C1085" t="inlineStr">
        <is>
          <t>Rail transportation</t>
        </is>
      </c>
      <c r="D1085" t="n">
        <v>5900</v>
      </c>
      <c r="E1085">
        <f>IFERROR(VLOOKUP(B1085,Crosswalk!$A$2:$C$125,3,FALSE),"Unmapped")</f>
        <v/>
      </c>
    </row>
    <row r="1086">
      <c r="A1086" t="n">
        <v>2018</v>
      </c>
      <c r="B1086" t="inlineStr">
        <is>
          <t>BS48300</t>
        </is>
      </c>
      <c r="C1086" t="inlineStr">
        <is>
          <t>Water transportation</t>
        </is>
      </c>
      <c r="D1086" t="n">
        <v>2423</v>
      </c>
      <c r="E1086">
        <f>IFERROR(VLOOKUP(B1086,Crosswalk!$A$2:$C$125,3,FALSE),"Unmapped")</f>
        <v/>
      </c>
    </row>
    <row r="1087">
      <c r="A1087" t="n">
        <v>2018</v>
      </c>
      <c r="B1087" t="inlineStr">
        <is>
          <t>BS48400</t>
        </is>
      </c>
      <c r="C1087" t="inlineStr">
        <is>
          <t>Truck transportation</t>
        </is>
      </c>
      <c r="D1087" t="n">
        <v>20210</v>
      </c>
      <c r="E1087">
        <f>IFERROR(VLOOKUP(B1087,Crosswalk!$A$2:$C$125,3,FALSE),"Unmapped")</f>
        <v/>
      </c>
    </row>
    <row r="1088">
      <c r="A1088" t="n">
        <v>2018</v>
      </c>
      <c r="B1088" t="inlineStr">
        <is>
          <t>BS48600</t>
        </is>
      </c>
      <c r="C1088" t="inlineStr">
        <is>
          <t>Pipeline transportation</t>
        </is>
      </c>
      <c r="D1088" t="n">
        <v>9201</v>
      </c>
      <c r="E1088">
        <f>IFERROR(VLOOKUP(B1088,Crosswalk!$A$2:$C$125,3,FALSE),"Unmapped")</f>
        <v/>
      </c>
    </row>
    <row r="1089">
      <c r="A1089" t="n">
        <v>2018</v>
      </c>
      <c r="B1089" t="inlineStr">
        <is>
          <t>BS48B00</t>
        </is>
      </c>
      <c r="C1089" t="inlineStr">
        <is>
          <t>Transit, ground passenger and scenic and sightseeing transportation, taxi and limousine service and support activities for transportation</t>
        </is>
      </c>
      <c r="D1089" t="n">
        <v>4329</v>
      </c>
      <c r="E1089">
        <f>IFERROR(VLOOKUP(B1089,Crosswalk!$A$2:$C$125,3,FALSE),"Unmapped")</f>
        <v/>
      </c>
    </row>
    <row r="1090">
      <c r="A1090" t="n">
        <v>2018</v>
      </c>
      <c r="B1090" t="inlineStr">
        <is>
          <t>BS49300</t>
        </is>
      </c>
      <c r="C1090" t="inlineStr">
        <is>
          <t>Warehousing and storage</t>
        </is>
      </c>
      <c r="D1090" t="n">
        <v>218</v>
      </c>
      <c r="E1090">
        <f>IFERROR(VLOOKUP(B1090,Crosswalk!$A$2:$C$125,3,FALSE),"Unmapped")</f>
        <v/>
      </c>
    </row>
    <row r="1091">
      <c r="A1091" t="n">
        <v>2018</v>
      </c>
      <c r="B1091" t="inlineStr">
        <is>
          <t>BS49A00</t>
        </is>
      </c>
      <c r="C1091" t="inlineStr">
        <is>
          <t>Postal service and couriers and messengers</t>
        </is>
      </c>
      <c r="D1091" t="n">
        <v>1938</v>
      </c>
      <c r="E1091">
        <f>IFERROR(VLOOKUP(B1091,Crosswalk!$A$2:$C$125,3,FALSE),"Unmapped")</f>
        <v/>
      </c>
    </row>
    <row r="1092">
      <c r="A1092" t="n">
        <v>2018</v>
      </c>
      <c r="B1092" t="inlineStr">
        <is>
          <t>BS4AA00</t>
        </is>
      </c>
      <c r="C1092" t="inlineStr">
        <is>
          <t>Retail trade (except cannabis)</t>
        </is>
      </c>
      <c r="D1092" t="n">
        <v>8326</v>
      </c>
      <c r="E1092">
        <f>IFERROR(VLOOKUP(B1092,Crosswalk!$A$2:$C$125,3,FALSE),"Unmapped")</f>
        <v/>
      </c>
    </row>
    <row r="1093">
      <c r="A1093" t="n">
        <v>2018</v>
      </c>
      <c r="B1093" t="inlineStr">
        <is>
          <t>BS51200</t>
        </is>
      </c>
      <c r="C1093" t="inlineStr">
        <is>
          <t>Motion picture and sound recording industries</t>
        </is>
      </c>
      <c r="D1093" t="n">
        <v>547</v>
      </c>
      <c r="E1093">
        <f>IFERROR(VLOOKUP(B1093,Crosswalk!$A$2:$C$125,3,FALSE),"Unmapped")</f>
        <v/>
      </c>
    </row>
    <row r="1094">
      <c r="A1094" t="n">
        <v>2018</v>
      </c>
      <c r="B1094" t="inlineStr">
        <is>
          <t>BS51510</t>
        </is>
      </c>
      <c r="C1094" t="inlineStr">
        <is>
          <t>Radio and television broadcasting</t>
        </is>
      </c>
      <c r="D1094" t="n">
        <v>25</v>
      </c>
      <c r="E1094">
        <f>IFERROR(VLOOKUP(B1094,Crosswalk!$A$2:$C$125,3,FALSE),"Unmapped")</f>
        <v/>
      </c>
    </row>
    <row r="1095">
      <c r="A1095" t="n">
        <v>2018</v>
      </c>
      <c r="B1095" t="inlineStr">
        <is>
          <t>BS51B00</t>
        </is>
      </c>
      <c r="C1095" t="inlineStr">
        <is>
          <t>Publishing, pay/specialty services, telecommunications and other information services</t>
        </is>
      </c>
      <c r="D1095" t="n">
        <v>1537</v>
      </c>
      <c r="E1095">
        <f>IFERROR(VLOOKUP(B1095,Crosswalk!$A$2:$C$125,3,FALSE),"Unmapped")</f>
        <v/>
      </c>
    </row>
    <row r="1096">
      <c r="A1096" t="n">
        <v>2018</v>
      </c>
      <c r="B1096" t="inlineStr">
        <is>
          <t>BS52410</t>
        </is>
      </c>
      <c r="C1096" t="inlineStr">
        <is>
          <t>Insurance carriers</t>
        </is>
      </c>
      <c r="D1096" t="n">
        <v>149</v>
      </c>
      <c r="E1096">
        <f>IFERROR(VLOOKUP(B1096,Crosswalk!$A$2:$C$125,3,FALSE),"Unmapped")</f>
        <v/>
      </c>
    </row>
    <row r="1097">
      <c r="A1097" t="n">
        <v>2018</v>
      </c>
      <c r="B1097" t="inlineStr">
        <is>
          <t>BS52B00</t>
        </is>
      </c>
      <c r="C1097" t="inlineStr">
        <is>
          <t>Depository credit intermediation and monetary authorities</t>
        </is>
      </c>
      <c r="D1097" t="n">
        <v>1061</v>
      </c>
      <c r="E1097">
        <f>IFERROR(VLOOKUP(B1097,Crosswalk!$A$2:$C$125,3,FALSE),"Unmapped")</f>
        <v/>
      </c>
    </row>
    <row r="1098">
      <c r="A1098" t="n">
        <v>2018</v>
      </c>
      <c r="B1098" t="inlineStr">
        <is>
          <t>BS53110</t>
        </is>
      </c>
      <c r="C1098" t="inlineStr">
        <is>
          <t>Lessors of real estate</t>
        </is>
      </c>
      <c r="D1098" t="n">
        <v>7067</v>
      </c>
      <c r="E1098">
        <f>IFERROR(VLOOKUP(B1098,Crosswalk!$A$2:$C$125,3,FALSE),"Unmapped")</f>
        <v/>
      </c>
    </row>
    <row r="1099">
      <c r="A1099" t="n">
        <v>2018</v>
      </c>
      <c r="B1099" t="inlineStr">
        <is>
          <t>BS5311A</t>
        </is>
      </c>
      <c r="C1099" t="inlineStr">
        <is>
          <t>Owner-occupied dwellings</t>
        </is>
      </c>
      <c r="D1099" t="n">
        <v>0</v>
      </c>
      <c r="E1099">
        <f>IFERROR(VLOOKUP(B1099,Crosswalk!$A$2:$C$125,3,FALSE),"Unmapped")</f>
        <v/>
      </c>
    </row>
    <row r="1100">
      <c r="A1100" t="n">
        <v>2018</v>
      </c>
      <c r="B1100" t="inlineStr">
        <is>
          <t>BS53B00</t>
        </is>
      </c>
      <c r="C1100" t="inlineStr">
        <is>
          <t>Rental and leasing services and lessors of non-financial intangible assets (except copyrighted works)</t>
        </is>
      </c>
      <c r="D1100" t="n">
        <v>2624</v>
      </c>
      <c r="E1100">
        <f>IFERROR(VLOOKUP(B1100,Crosswalk!$A$2:$C$125,3,FALSE),"Unmapped")</f>
        <v/>
      </c>
    </row>
    <row r="1101">
      <c r="A1101" t="n">
        <v>2018</v>
      </c>
      <c r="B1101" t="inlineStr">
        <is>
          <t>BS54180</t>
        </is>
      </c>
      <c r="C1101" t="inlineStr">
        <is>
          <t>Advertising, public relations and related services</t>
        </is>
      </c>
      <c r="D1101" t="n">
        <v>184</v>
      </c>
      <c r="E1101">
        <f>IFERROR(VLOOKUP(B1101,Crosswalk!$A$2:$C$125,3,FALSE),"Unmapped")</f>
        <v/>
      </c>
    </row>
    <row r="1102">
      <c r="A1102" t="n">
        <v>2018</v>
      </c>
      <c r="B1102" t="inlineStr">
        <is>
          <t>BS541C0</t>
        </is>
      </c>
      <c r="C1102" t="inlineStr">
        <is>
          <t>Legal, accounting and architectural, engineering and related services</t>
        </is>
      </c>
      <c r="D1102" t="n">
        <v>979</v>
      </c>
      <c r="E1102">
        <f>IFERROR(VLOOKUP(B1102,Crosswalk!$A$2:$C$125,3,FALSE),"Unmapped")</f>
        <v/>
      </c>
    </row>
    <row r="1103">
      <c r="A1103" t="n">
        <v>2018</v>
      </c>
      <c r="B1103" t="inlineStr">
        <is>
          <t>BS541D0</t>
        </is>
      </c>
      <c r="C1103" t="inlineStr">
        <is>
          <t>Computer systems design and other professional, scientific and technical services</t>
        </is>
      </c>
      <c r="D1103" t="n">
        <v>817</v>
      </c>
      <c r="E1103">
        <f>IFERROR(VLOOKUP(B1103,Crosswalk!$A$2:$C$125,3,FALSE),"Unmapped")</f>
        <v/>
      </c>
    </row>
    <row r="1104">
      <c r="A1104" t="n">
        <v>2018</v>
      </c>
      <c r="B1104" t="inlineStr">
        <is>
          <t>BS56100</t>
        </is>
      </c>
      <c r="C1104" t="inlineStr">
        <is>
          <t>Administrative and support services</t>
        </is>
      </c>
      <c r="D1104" t="n">
        <v>2694</v>
      </c>
      <c r="E1104">
        <f>IFERROR(VLOOKUP(B1104,Crosswalk!$A$2:$C$125,3,FALSE),"Unmapped")</f>
        <v/>
      </c>
    </row>
    <row r="1105">
      <c r="A1105" t="n">
        <v>2018</v>
      </c>
      <c r="B1105" t="inlineStr">
        <is>
          <t>BS56200</t>
        </is>
      </c>
      <c r="C1105" t="inlineStr">
        <is>
          <t>Waste management and remediation services</t>
        </is>
      </c>
      <c r="D1105" t="n">
        <v>1536</v>
      </c>
      <c r="E1105">
        <f>IFERROR(VLOOKUP(B1105,Crosswalk!$A$2:$C$125,3,FALSE),"Unmapped")</f>
        <v/>
      </c>
    </row>
    <row r="1106">
      <c r="A1106" t="n">
        <v>2018</v>
      </c>
      <c r="B1106" t="inlineStr">
        <is>
          <t>BS5A000</t>
        </is>
      </c>
      <c r="C1106" t="inlineStr">
        <is>
          <t>Other finance, insurance and real estate services and management of companies and enterprises</t>
        </is>
      </c>
      <c r="D1106" t="n">
        <v>3517</v>
      </c>
      <c r="E1106">
        <f>IFERROR(VLOOKUP(B1106,Crosswalk!$A$2:$C$125,3,FALSE),"Unmapped")</f>
        <v/>
      </c>
    </row>
    <row r="1107">
      <c r="A1107" t="n">
        <v>2018</v>
      </c>
      <c r="B1107" t="inlineStr">
        <is>
          <t>BS61000</t>
        </is>
      </c>
      <c r="C1107" t="inlineStr">
        <is>
          <t>Educational services</t>
        </is>
      </c>
      <c r="D1107" t="n">
        <v>261</v>
      </c>
      <c r="E1107">
        <f>IFERROR(VLOOKUP(B1107,Crosswalk!$A$2:$C$125,3,FALSE),"Unmapped")</f>
        <v/>
      </c>
    </row>
    <row r="1108">
      <c r="A1108" t="n">
        <v>2018</v>
      </c>
      <c r="B1108" t="inlineStr">
        <is>
          <t>BS62000</t>
        </is>
      </c>
      <c r="C1108" t="inlineStr">
        <is>
          <t>Health care and social assistance</t>
        </is>
      </c>
      <c r="D1108" t="n">
        <v>2094</v>
      </c>
      <c r="E1108">
        <f>IFERROR(VLOOKUP(B1108,Crosswalk!$A$2:$C$125,3,FALSE),"Unmapped")</f>
        <v/>
      </c>
    </row>
    <row r="1109">
      <c r="A1109" t="n">
        <v>2018</v>
      </c>
      <c r="B1109" t="inlineStr">
        <is>
          <t>BS71000</t>
        </is>
      </c>
      <c r="C1109" t="inlineStr">
        <is>
          <t>Arts, entertainment and recreation</t>
        </is>
      </c>
      <c r="D1109" t="n">
        <v>250</v>
      </c>
      <c r="E1109">
        <f>IFERROR(VLOOKUP(B1109,Crosswalk!$A$2:$C$125,3,FALSE),"Unmapped")</f>
        <v/>
      </c>
    </row>
    <row r="1110">
      <c r="A1110" t="n">
        <v>2018</v>
      </c>
      <c r="B1110" t="inlineStr">
        <is>
          <t>BS72000</t>
        </is>
      </c>
      <c r="C1110" t="inlineStr">
        <is>
          <t>Accommodation and food services</t>
        </is>
      </c>
      <c r="D1110" t="n">
        <v>1937</v>
      </c>
      <c r="E1110">
        <f>IFERROR(VLOOKUP(B1110,Crosswalk!$A$2:$C$125,3,FALSE),"Unmapped")</f>
        <v/>
      </c>
    </row>
    <row r="1111">
      <c r="A1111" t="n">
        <v>2018</v>
      </c>
      <c r="B1111" t="inlineStr">
        <is>
          <t>BS81100</t>
        </is>
      </c>
      <c r="C1111" t="inlineStr">
        <is>
          <t>Repair and maintenance</t>
        </is>
      </c>
      <c r="D1111" t="n">
        <v>2503</v>
      </c>
      <c r="E1111">
        <f>IFERROR(VLOOKUP(B1111,Crosswalk!$A$2:$C$125,3,FALSE),"Unmapped")</f>
        <v/>
      </c>
    </row>
    <row r="1112">
      <c r="A1112" t="n">
        <v>2018</v>
      </c>
      <c r="B1112" t="inlineStr">
        <is>
          <t>BS81300</t>
        </is>
      </c>
      <c r="C1112" t="inlineStr">
        <is>
          <t>Professional and similar organisations</t>
        </is>
      </c>
      <c r="D1112" t="n">
        <v>15</v>
      </c>
      <c r="E1112">
        <f>IFERROR(VLOOKUP(B1112,Crosswalk!$A$2:$C$125,3,FALSE),"Unmapped")</f>
        <v/>
      </c>
    </row>
    <row r="1113">
      <c r="A1113" t="n">
        <v>2018</v>
      </c>
      <c r="B1113" t="inlineStr">
        <is>
          <t>BS81A00</t>
        </is>
      </c>
      <c r="C1113" t="inlineStr">
        <is>
          <t>Personal services and private households</t>
        </is>
      </c>
      <c r="D1113" t="n">
        <v>570</v>
      </c>
      <c r="E1113">
        <f>IFERROR(VLOOKUP(B1113,Crosswalk!$A$2:$C$125,3,FALSE),"Unmapped")</f>
        <v/>
      </c>
    </row>
    <row r="1114">
      <c r="A1114" t="n">
        <v>2018</v>
      </c>
      <c r="B1114" t="inlineStr">
        <is>
          <t>FC11000</t>
        </is>
      </c>
      <c r="C1114" t="inlineStr">
        <is>
          <t>Repair and maintenance</t>
        </is>
      </c>
      <c r="D1114" t="n">
        <v>0</v>
      </c>
      <c r="E1114">
        <f>IFERROR(VLOOKUP(B1114,Crosswalk!$A$2:$C$125,3,FALSE),"Unmapped")</f>
        <v/>
      </c>
    </row>
    <row r="1115">
      <c r="A1115" t="n">
        <v>2018</v>
      </c>
      <c r="B1115" t="inlineStr">
        <is>
          <t>FC12000</t>
        </is>
      </c>
      <c r="C1115" t="inlineStr">
        <is>
          <t>Operating supplies</t>
        </is>
      </c>
      <c r="D1115" t="n">
        <v>0</v>
      </c>
      <c r="E1115">
        <f>IFERROR(VLOOKUP(B1115,Crosswalk!$A$2:$C$125,3,FALSE),"Unmapped")</f>
        <v/>
      </c>
    </row>
    <row r="1116">
      <c r="A1116" t="n">
        <v>2018</v>
      </c>
      <c r="B1116" t="inlineStr">
        <is>
          <t>FC13000</t>
        </is>
      </c>
      <c r="C1116" t="inlineStr">
        <is>
          <t>Office supplies</t>
        </is>
      </c>
      <c r="D1116" t="n">
        <v>0</v>
      </c>
      <c r="E1116">
        <f>IFERROR(VLOOKUP(B1116,Crosswalk!$A$2:$C$125,3,FALSE),"Unmapped")</f>
        <v/>
      </c>
    </row>
    <row r="1117">
      <c r="A1117" t="n">
        <v>2018</v>
      </c>
      <c r="B1117" t="inlineStr">
        <is>
          <t>FC20000</t>
        </is>
      </c>
      <c r="C1117" t="inlineStr">
        <is>
          <t>Advertising, promotion, meals, entertainment, and travel</t>
        </is>
      </c>
      <c r="D1117" t="n">
        <v>0</v>
      </c>
      <c r="E1117">
        <f>IFERROR(VLOOKUP(B1117,Crosswalk!$A$2:$C$125,3,FALSE),"Unmapped")</f>
        <v/>
      </c>
    </row>
    <row r="1118">
      <c r="A1118" t="n">
        <v>2018</v>
      </c>
      <c r="B1118" t="inlineStr">
        <is>
          <t>FC30000</t>
        </is>
      </c>
      <c r="C1118" t="inlineStr">
        <is>
          <t>Transportation margins</t>
        </is>
      </c>
      <c r="D1118" t="n">
        <v>0</v>
      </c>
      <c r="E1118">
        <f>IFERROR(VLOOKUP(B1118,Crosswalk!$A$2:$C$125,3,FALSE),"Unmapped")</f>
        <v/>
      </c>
    </row>
    <row r="1119">
      <c r="A1119" t="n">
        <v>2018</v>
      </c>
      <c r="B1119" t="inlineStr">
        <is>
          <t>GS61130</t>
        </is>
      </c>
      <c r="C1119" t="inlineStr">
        <is>
          <t>Universities</t>
        </is>
      </c>
      <c r="D1119" t="n">
        <v>2571</v>
      </c>
      <c r="E1119">
        <f>IFERROR(VLOOKUP(B1119,Crosswalk!$A$2:$C$125,3,FALSE),"Unmapped")</f>
        <v/>
      </c>
    </row>
    <row r="1120">
      <c r="A1120" t="n">
        <v>2018</v>
      </c>
      <c r="B1120" t="inlineStr">
        <is>
          <t>GS611B0</t>
        </is>
      </c>
      <c r="C1120" t="inlineStr">
        <is>
          <t>Educational services (except universities)</t>
        </is>
      </c>
      <c r="D1120" t="n">
        <v>2612</v>
      </c>
      <c r="E1120">
        <f>IFERROR(VLOOKUP(B1120,Crosswalk!$A$2:$C$125,3,FALSE),"Unmapped")</f>
        <v/>
      </c>
    </row>
    <row r="1121">
      <c r="A1121" t="n">
        <v>2018</v>
      </c>
      <c r="B1121" t="inlineStr">
        <is>
          <t>GS62200</t>
        </is>
      </c>
      <c r="C1121" t="inlineStr">
        <is>
          <t>Hospitals</t>
        </is>
      </c>
      <c r="D1121" t="n">
        <v>1463</v>
      </c>
      <c r="E1121">
        <f>IFERROR(VLOOKUP(B1121,Crosswalk!$A$2:$C$125,3,FALSE),"Unmapped")</f>
        <v/>
      </c>
    </row>
    <row r="1122">
      <c r="A1122" t="n">
        <v>2018</v>
      </c>
      <c r="B1122" t="inlineStr">
        <is>
          <t>GS62300</t>
        </is>
      </c>
      <c r="C1122" t="inlineStr">
        <is>
          <t>Nursing and residential care facilities</t>
        </is>
      </c>
      <c r="D1122" t="n">
        <v>121</v>
      </c>
      <c r="E1122">
        <f>IFERROR(VLOOKUP(B1122,Crosswalk!$A$2:$C$125,3,FALSE),"Unmapped")</f>
        <v/>
      </c>
    </row>
    <row r="1123">
      <c r="A1123" t="n">
        <v>2018</v>
      </c>
      <c r="B1123" t="inlineStr">
        <is>
          <t>GS91100</t>
        </is>
      </c>
      <c r="C1123" t="inlineStr">
        <is>
          <t>Other federal government services</t>
        </is>
      </c>
      <c r="D1123" t="n">
        <v>2068</v>
      </c>
      <c r="E1123">
        <f>IFERROR(VLOOKUP(B1123,Crosswalk!$A$2:$C$125,3,FALSE),"Unmapped")</f>
        <v/>
      </c>
    </row>
    <row r="1124">
      <c r="A1124" t="n">
        <v>2018</v>
      </c>
      <c r="B1124" t="inlineStr">
        <is>
          <t>GS91200</t>
        </is>
      </c>
      <c r="C1124" t="inlineStr">
        <is>
          <t>Other provincial and territorial government services</t>
        </is>
      </c>
      <c r="D1124" t="n">
        <v>1446</v>
      </c>
      <c r="E1124">
        <f>IFERROR(VLOOKUP(B1124,Crosswalk!$A$2:$C$125,3,FALSE),"Unmapped")</f>
        <v/>
      </c>
    </row>
    <row r="1125">
      <c r="A1125" t="n">
        <v>2018</v>
      </c>
      <c r="B1125" t="inlineStr">
        <is>
          <t>GS91300</t>
        </is>
      </c>
      <c r="C1125" t="inlineStr">
        <is>
          <t>Other municipal government services</t>
        </is>
      </c>
      <c r="D1125" t="n">
        <v>7109</v>
      </c>
      <c r="E1125">
        <f>IFERROR(VLOOKUP(B1125,Crosswalk!$A$2:$C$125,3,FALSE),"Unmapped")</f>
        <v/>
      </c>
    </row>
    <row r="1126">
      <c r="A1126" t="n">
        <v>2018</v>
      </c>
      <c r="B1126" t="inlineStr">
        <is>
          <t>GS91400</t>
        </is>
      </c>
      <c r="C1126" t="inlineStr">
        <is>
          <t>Other Indigenous government services</t>
        </is>
      </c>
      <c r="D1126" t="n">
        <v>792</v>
      </c>
      <c r="E1126">
        <f>IFERROR(VLOOKUP(B1126,Crosswalk!$A$2:$C$125,3,FALSE),"Unmapped")</f>
        <v/>
      </c>
    </row>
    <row r="1127">
      <c r="A1127" t="n">
        <v>2018</v>
      </c>
      <c r="B1127" t="inlineStr">
        <is>
          <t>NP61000</t>
        </is>
      </c>
      <c r="C1127" t="inlineStr">
        <is>
          <t>Non-profit education services</t>
        </is>
      </c>
      <c r="D1127" t="n">
        <v>854</v>
      </c>
      <c r="E1127">
        <f>IFERROR(VLOOKUP(B1127,Crosswalk!$A$2:$C$125,3,FALSE),"Unmapped")</f>
        <v/>
      </c>
    </row>
    <row r="1128">
      <c r="A1128" t="n">
        <v>2018</v>
      </c>
      <c r="B1128" t="inlineStr">
        <is>
          <t>NP62400</t>
        </is>
      </c>
      <c r="C1128" t="inlineStr">
        <is>
          <t>Non-profit social assistance</t>
        </is>
      </c>
      <c r="D1128" t="n">
        <v>279</v>
      </c>
      <c r="E1128">
        <f>IFERROR(VLOOKUP(B1128,Crosswalk!$A$2:$C$125,3,FALSE),"Unmapped")</f>
        <v/>
      </c>
    </row>
    <row r="1129">
      <c r="A1129" t="n">
        <v>2018</v>
      </c>
      <c r="B1129" t="inlineStr">
        <is>
          <t>NP71000</t>
        </is>
      </c>
      <c r="C1129" t="inlineStr">
        <is>
          <t>Non-profit arts, entertainment and recreation</t>
        </is>
      </c>
      <c r="D1129" t="n">
        <v>245</v>
      </c>
      <c r="E1129">
        <f>IFERROR(VLOOKUP(B1129,Crosswalk!$A$2:$C$125,3,FALSE),"Unmapped")</f>
        <v/>
      </c>
    </row>
    <row r="1130">
      <c r="A1130" t="n">
        <v>2018</v>
      </c>
      <c r="B1130" t="inlineStr">
        <is>
          <t>NP81310</t>
        </is>
      </c>
      <c r="C1130" t="inlineStr">
        <is>
          <t>Religious organizations</t>
        </is>
      </c>
      <c r="D1130" t="n">
        <v>442</v>
      </c>
      <c r="E1130">
        <f>IFERROR(VLOOKUP(B1130,Crosswalk!$A$2:$C$125,3,FALSE),"Unmapped")</f>
        <v/>
      </c>
    </row>
    <row r="1131">
      <c r="A1131" t="n">
        <v>2018</v>
      </c>
      <c r="B1131" t="inlineStr">
        <is>
          <t>NPA0000</t>
        </is>
      </c>
      <c r="C1131" t="inlineStr">
        <is>
          <t>Miscellaneous non-profit institutions serving households</t>
        </is>
      </c>
      <c r="D1131" t="n">
        <v>1437</v>
      </c>
      <c r="E1131">
        <f>IFERROR(VLOOKUP(B1131,Crosswalk!$A$2:$C$125,3,FALSE),"Unmapped")</f>
        <v/>
      </c>
    </row>
    <row r="1132">
      <c r="A1132" t="n">
        <v>2019</v>
      </c>
      <c r="B1132" t="inlineStr">
        <is>
          <t>BS111CL</t>
        </is>
      </c>
      <c r="C1132" t="inlineStr">
        <is>
          <t>Cannabis production (licensed)</t>
        </is>
      </c>
      <c r="D1132" t="n">
        <v>1179</v>
      </c>
      <c r="E1132">
        <f>IFERROR(VLOOKUP(B1132,Crosswalk!$A$2:$C$125,3,FALSE),"Unmapped")</f>
        <v/>
      </c>
    </row>
    <row r="1133">
      <c r="A1133" t="n">
        <v>2019</v>
      </c>
      <c r="B1133" t="inlineStr">
        <is>
          <t>BS111CU</t>
        </is>
      </c>
      <c r="C1133" t="inlineStr">
        <is>
          <t>Cannabis production (unlicensed)</t>
        </is>
      </c>
      <c r="D1133" t="n">
        <v>112</v>
      </c>
      <c r="E1133">
        <f>IFERROR(VLOOKUP(B1133,Crosswalk!$A$2:$C$125,3,FALSE),"Unmapped")</f>
        <v/>
      </c>
    </row>
    <row r="1134">
      <c r="A1134" t="n">
        <v>2019</v>
      </c>
      <c r="B1134" t="inlineStr">
        <is>
          <t>BS11300</t>
        </is>
      </c>
      <c r="C1134" t="inlineStr">
        <is>
          <t>Forestry and logging</t>
        </is>
      </c>
      <c r="D1134" t="n">
        <v>6746</v>
      </c>
      <c r="E1134">
        <f>IFERROR(VLOOKUP(B1134,Crosswalk!$A$2:$C$125,3,FALSE),"Unmapped")</f>
        <v/>
      </c>
    </row>
    <row r="1135">
      <c r="A1135" t="n">
        <v>2019</v>
      </c>
      <c r="B1135" t="inlineStr">
        <is>
          <t>BS11400</t>
        </is>
      </c>
      <c r="C1135" t="inlineStr">
        <is>
          <t>Fishing, hunting and trapping</t>
        </is>
      </c>
      <c r="D1135" t="n">
        <v>1058</v>
      </c>
      <c r="E1135">
        <f>IFERROR(VLOOKUP(B1135,Crosswalk!$A$2:$C$125,3,FALSE),"Unmapped")</f>
        <v/>
      </c>
    </row>
    <row r="1136">
      <c r="A1136" t="n">
        <v>2019</v>
      </c>
      <c r="B1136" t="inlineStr">
        <is>
          <t>BS11500</t>
        </is>
      </c>
      <c r="C1136" t="inlineStr">
        <is>
          <t>Support activities for agriculture and forestry</t>
        </is>
      </c>
      <c r="D1136" t="n">
        <v>940</v>
      </c>
      <c r="E1136">
        <f>IFERROR(VLOOKUP(B1136,Crosswalk!$A$2:$C$125,3,FALSE),"Unmapped")</f>
        <v/>
      </c>
    </row>
    <row r="1137">
      <c r="A1137" t="n">
        <v>2019</v>
      </c>
      <c r="B1137" t="inlineStr">
        <is>
          <t>BS11B00</t>
        </is>
      </c>
      <c r="C1137" t="inlineStr">
        <is>
          <t>Crop and animal production (except cannabis)</t>
        </is>
      </c>
      <c r="D1137" t="n">
        <v>70955</v>
      </c>
      <c r="E1137">
        <f>IFERROR(VLOOKUP(B1137,Crosswalk!$A$2:$C$125,3,FALSE),"Unmapped")</f>
        <v/>
      </c>
    </row>
    <row r="1138">
      <c r="A1138" t="n">
        <v>2019</v>
      </c>
      <c r="B1138" t="inlineStr">
        <is>
          <t>BS21100</t>
        </is>
      </c>
      <c r="C1138" t="inlineStr">
        <is>
          <t>Oil and gas extraction</t>
        </is>
      </c>
      <c r="D1138" t="n">
        <v>195672</v>
      </c>
      <c r="E1138">
        <f>IFERROR(VLOOKUP(B1138,Crosswalk!$A$2:$C$125,3,FALSE),"Unmapped")</f>
        <v/>
      </c>
    </row>
    <row r="1139">
      <c r="A1139" t="n">
        <v>2019</v>
      </c>
      <c r="B1139" t="inlineStr">
        <is>
          <t>BS21210</t>
        </is>
      </c>
      <c r="C1139" t="inlineStr">
        <is>
          <t>Coal mining</t>
        </is>
      </c>
      <c r="D1139" t="n">
        <v>4477</v>
      </c>
      <c r="E1139">
        <f>IFERROR(VLOOKUP(B1139,Crosswalk!$A$2:$C$125,3,FALSE),"Unmapped")</f>
        <v/>
      </c>
    </row>
    <row r="1140">
      <c r="A1140" t="n">
        <v>2019</v>
      </c>
      <c r="B1140" t="inlineStr">
        <is>
          <t>BS21220</t>
        </is>
      </c>
      <c r="C1140" t="inlineStr">
        <is>
          <t>Metal ore mining</t>
        </is>
      </c>
      <c r="D1140" t="n">
        <v>5006</v>
      </c>
      <c r="E1140">
        <f>IFERROR(VLOOKUP(B1140,Crosswalk!$A$2:$C$125,3,FALSE),"Unmapped")</f>
        <v/>
      </c>
    </row>
    <row r="1141">
      <c r="A1141" t="n">
        <v>2019</v>
      </c>
      <c r="B1141" t="inlineStr">
        <is>
          <t>BS21230</t>
        </is>
      </c>
      <c r="C1141" t="inlineStr">
        <is>
          <t>Non-metallic mineral mining and quarrying</t>
        </is>
      </c>
      <c r="D1141" t="n">
        <v>3816</v>
      </c>
      <c r="E1141">
        <f>IFERROR(VLOOKUP(B1141,Crosswalk!$A$2:$C$125,3,FALSE),"Unmapped")</f>
        <v/>
      </c>
    </row>
    <row r="1142">
      <c r="A1142" t="n">
        <v>2019</v>
      </c>
      <c r="B1142" t="inlineStr">
        <is>
          <t>BS21300</t>
        </is>
      </c>
      <c r="C1142" t="inlineStr">
        <is>
          <t>Support activities for mining and oil and gas extraction</t>
        </is>
      </c>
      <c r="D1142" t="n">
        <v>7057</v>
      </c>
      <c r="E1142">
        <f>IFERROR(VLOOKUP(B1142,Crosswalk!$A$2:$C$125,3,FALSE),"Unmapped")</f>
        <v/>
      </c>
    </row>
    <row r="1143">
      <c r="A1143" t="n">
        <v>2019</v>
      </c>
      <c r="B1143" t="inlineStr">
        <is>
          <t>BS22110</t>
        </is>
      </c>
      <c r="C1143" t="inlineStr">
        <is>
          <t>Electric power generation, transmission and distribution</t>
        </is>
      </c>
      <c r="D1143" t="n">
        <v>69645</v>
      </c>
      <c r="E1143">
        <f>IFERROR(VLOOKUP(B1143,Crosswalk!$A$2:$C$125,3,FALSE),"Unmapped")</f>
        <v/>
      </c>
    </row>
    <row r="1144">
      <c r="A1144" t="n">
        <v>2019</v>
      </c>
      <c r="B1144" t="inlineStr">
        <is>
          <t>BS221A0</t>
        </is>
      </c>
      <c r="C1144" t="inlineStr">
        <is>
          <t>Natural gas distribution, water, sewage and other systems</t>
        </is>
      </c>
      <c r="D1144" t="n">
        <v>2750</v>
      </c>
      <c r="E1144">
        <f>IFERROR(VLOOKUP(B1144,Crosswalk!$A$2:$C$125,3,FALSE),"Unmapped")</f>
        <v/>
      </c>
    </row>
    <row r="1145">
      <c r="A1145" t="n">
        <v>2019</v>
      </c>
      <c r="B1145" t="inlineStr">
        <is>
          <t>BS23A00</t>
        </is>
      </c>
      <c r="C1145" t="inlineStr">
        <is>
          <t>Residential building construction</t>
        </is>
      </c>
      <c r="D1145" t="n">
        <v>2101</v>
      </c>
      <c r="E1145">
        <f>IFERROR(VLOOKUP(B1145,Crosswalk!$A$2:$C$125,3,FALSE),"Unmapped")</f>
        <v/>
      </c>
    </row>
    <row r="1146">
      <c r="A1146" t="n">
        <v>2019</v>
      </c>
      <c r="B1146" t="inlineStr">
        <is>
          <t>BS23B00</t>
        </is>
      </c>
      <c r="C1146" t="inlineStr">
        <is>
          <t>Non-residential building construction</t>
        </is>
      </c>
      <c r="D1146" t="n">
        <v>656</v>
      </c>
      <c r="E1146">
        <f>IFERROR(VLOOKUP(B1146,Crosswalk!$A$2:$C$125,3,FALSE),"Unmapped")</f>
        <v/>
      </c>
    </row>
    <row r="1147">
      <c r="A1147" t="n">
        <v>2019</v>
      </c>
      <c r="B1147" t="inlineStr">
        <is>
          <t>BS23C10</t>
        </is>
      </c>
      <c r="C1147" t="inlineStr">
        <is>
          <t>Transportation engineering construction</t>
        </is>
      </c>
      <c r="D1147" t="n">
        <v>1446</v>
      </c>
      <c r="E1147">
        <f>IFERROR(VLOOKUP(B1147,Crosswalk!$A$2:$C$125,3,FALSE),"Unmapped")</f>
        <v/>
      </c>
    </row>
    <row r="1148">
      <c r="A1148" t="n">
        <v>2019</v>
      </c>
      <c r="B1148" t="inlineStr">
        <is>
          <t>BS23C20</t>
        </is>
      </c>
      <c r="C1148" t="inlineStr">
        <is>
          <t>Oil and gas engineering construction</t>
        </is>
      </c>
      <c r="D1148" t="n">
        <v>1438</v>
      </c>
      <c r="E1148">
        <f>IFERROR(VLOOKUP(B1148,Crosswalk!$A$2:$C$125,3,FALSE),"Unmapped")</f>
        <v/>
      </c>
    </row>
    <row r="1149">
      <c r="A1149" t="n">
        <v>2019</v>
      </c>
      <c r="B1149" t="inlineStr">
        <is>
          <t>BS23C30</t>
        </is>
      </c>
      <c r="C1149" t="inlineStr">
        <is>
          <t>Electric power engineering construction</t>
        </is>
      </c>
      <c r="D1149" t="n">
        <v>995</v>
      </c>
      <c r="E1149">
        <f>IFERROR(VLOOKUP(B1149,Crosswalk!$A$2:$C$125,3,FALSE),"Unmapped")</f>
        <v/>
      </c>
    </row>
    <row r="1150">
      <c r="A1150" t="n">
        <v>2019</v>
      </c>
      <c r="B1150" t="inlineStr">
        <is>
          <t>BS23C40</t>
        </is>
      </c>
      <c r="C1150" t="inlineStr">
        <is>
          <t>Communication engineering construction</t>
        </is>
      </c>
      <c r="D1150" t="n">
        <v>390</v>
      </c>
      <c r="E1150">
        <f>IFERROR(VLOOKUP(B1150,Crosswalk!$A$2:$C$125,3,FALSE),"Unmapped")</f>
        <v/>
      </c>
    </row>
    <row r="1151">
      <c r="A1151" t="n">
        <v>2019</v>
      </c>
      <c r="B1151" t="inlineStr">
        <is>
          <t>BS23C50</t>
        </is>
      </c>
      <c r="C1151" t="inlineStr">
        <is>
          <t>Other engineering construction</t>
        </is>
      </c>
      <c r="D1151" t="n">
        <v>1180</v>
      </c>
      <c r="E1151">
        <f>IFERROR(VLOOKUP(B1151,Crosswalk!$A$2:$C$125,3,FALSE),"Unmapped")</f>
        <v/>
      </c>
    </row>
    <row r="1152">
      <c r="A1152" t="n">
        <v>2019</v>
      </c>
      <c r="B1152" t="inlineStr">
        <is>
          <t>BS23D00</t>
        </is>
      </c>
      <c r="C1152" t="inlineStr">
        <is>
          <t>Repair construction</t>
        </is>
      </c>
      <c r="D1152" t="n">
        <v>873</v>
      </c>
      <c r="E1152">
        <f>IFERROR(VLOOKUP(B1152,Crosswalk!$A$2:$C$125,3,FALSE),"Unmapped")</f>
        <v/>
      </c>
    </row>
    <row r="1153">
      <c r="A1153" t="n">
        <v>2019</v>
      </c>
      <c r="B1153" t="inlineStr">
        <is>
          <t>BS23E00</t>
        </is>
      </c>
      <c r="C1153" t="inlineStr">
        <is>
          <t>Other activities of the construction industry</t>
        </is>
      </c>
      <c r="D1153" t="n">
        <v>782</v>
      </c>
      <c r="E1153">
        <f>IFERROR(VLOOKUP(B1153,Crosswalk!$A$2:$C$125,3,FALSE),"Unmapped")</f>
        <v/>
      </c>
    </row>
    <row r="1154">
      <c r="A1154" t="n">
        <v>2019</v>
      </c>
      <c r="B1154" t="inlineStr">
        <is>
          <t>BS31110</t>
        </is>
      </c>
      <c r="C1154" t="inlineStr">
        <is>
          <t>Animal food manufacturing</t>
        </is>
      </c>
      <c r="D1154" t="n">
        <v>431</v>
      </c>
      <c r="E1154">
        <f>IFERROR(VLOOKUP(B1154,Crosswalk!$A$2:$C$125,3,FALSE),"Unmapped")</f>
        <v/>
      </c>
    </row>
    <row r="1155">
      <c r="A1155" t="n">
        <v>2019</v>
      </c>
      <c r="B1155" t="inlineStr">
        <is>
          <t>BS31130</t>
        </is>
      </c>
      <c r="C1155" t="inlineStr">
        <is>
          <t>Sugar and confectionery product manufacturing</t>
        </is>
      </c>
      <c r="D1155" t="n">
        <v>437</v>
      </c>
      <c r="E1155">
        <f>IFERROR(VLOOKUP(B1155,Crosswalk!$A$2:$C$125,3,FALSE),"Unmapped")</f>
        <v/>
      </c>
    </row>
    <row r="1156">
      <c r="A1156" t="n">
        <v>2019</v>
      </c>
      <c r="B1156" t="inlineStr">
        <is>
          <t>BS31140</t>
        </is>
      </c>
      <c r="C1156" t="inlineStr">
        <is>
          <t>Fruit and vegetable preserving and specialty food manufacturing</t>
        </is>
      </c>
      <c r="D1156" t="n">
        <v>471</v>
      </c>
      <c r="E1156">
        <f>IFERROR(VLOOKUP(B1156,Crosswalk!$A$2:$C$125,3,FALSE),"Unmapped")</f>
        <v/>
      </c>
    </row>
    <row r="1157">
      <c r="A1157" t="n">
        <v>2019</v>
      </c>
      <c r="B1157" t="inlineStr">
        <is>
          <t>BS31150</t>
        </is>
      </c>
      <c r="C1157" t="inlineStr">
        <is>
          <t>Dairy product manufacturing</t>
        </is>
      </c>
      <c r="D1157" t="n">
        <v>508</v>
      </c>
      <c r="E1157">
        <f>IFERROR(VLOOKUP(B1157,Crosswalk!$A$2:$C$125,3,FALSE),"Unmapped")</f>
        <v/>
      </c>
    </row>
    <row r="1158">
      <c r="A1158" t="n">
        <v>2019</v>
      </c>
      <c r="B1158" t="inlineStr">
        <is>
          <t>BS31160</t>
        </is>
      </c>
      <c r="C1158" t="inlineStr">
        <is>
          <t>Meat product manufacturing</t>
        </is>
      </c>
      <c r="D1158" t="n">
        <v>1145</v>
      </c>
      <c r="E1158">
        <f>IFERROR(VLOOKUP(B1158,Crosswalk!$A$2:$C$125,3,FALSE),"Unmapped")</f>
        <v/>
      </c>
    </row>
    <row r="1159">
      <c r="A1159" t="n">
        <v>2019</v>
      </c>
      <c r="B1159" t="inlineStr">
        <is>
          <t>BS31170</t>
        </is>
      </c>
      <c r="C1159" t="inlineStr">
        <is>
          <t>Seafood product preparation and packaging</t>
        </is>
      </c>
      <c r="D1159" t="n">
        <v>142</v>
      </c>
      <c r="E1159">
        <f>IFERROR(VLOOKUP(B1159,Crosswalk!$A$2:$C$125,3,FALSE),"Unmapped")</f>
        <v/>
      </c>
    </row>
    <row r="1160">
      <c r="A1160" t="n">
        <v>2019</v>
      </c>
      <c r="B1160" t="inlineStr">
        <is>
          <t>BS311A0</t>
        </is>
      </c>
      <c r="C1160" t="inlineStr">
        <is>
          <t>Miscellaneous food manufacturing</t>
        </is>
      </c>
      <c r="D1160" t="n">
        <v>2290</v>
      </c>
      <c r="E1160">
        <f>IFERROR(VLOOKUP(B1160,Crosswalk!$A$2:$C$125,3,FALSE),"Unmapped")</f>
        <v/>
      </c>
    </row>
    <row r="1161">
      <c r="A1161" t="n">
        <v>2019</v>
      </c>
      <c r="B1161" t="inlineStr">
        <is>
          <t>BS31211</t>
        </is>
      </c>
      <c r="C1161" t="inlineStr">
        <is>
          <t>Soft drink and ice manufacturing</t>
        </is>
      </c>
      <c r="D1161" t="n">
        <v>153</v>
      </c>
      <c r="E1161">
        <f>IFERROR(VLOOKUP(B1161,Crosswalk!$A$2:$C$125,3,FALSE),"Unmapped")</f>
        <v/>
      </c>
    </row>
    <row r="1162">
      <c r="A1162" t="n">
        <v>2019</v>
      </c>
      <c r="B1162" t="inlineStr">
        <is>
          <t>BS31212</t>
        </is>
      </c>
      <c r="C1162" t="inlineStr">
        <is>
          <t>Breweries</t>
        </is>
      </c>
      <c r="D1162" t="n">
        <v>408</v>
      </c>
      <c r="E1162">
        <f>IFERROR(VLOOKUP(B1162,Crosswalk!$A$2:$C$125,3,FALSE),"Unmapped")</f>
        <v/>
      </c>
    </row>
    <row r="1163">
      <c r="A1163" t="n">
        <v>2019</v>
      </c>
      <c r="B1163" t="inlineStr">
        <is>
          <t>BS3121A</t>
        </is>
      </c>
      <c r="C1163" t="inlineStr">
        <is>
          <t>Wineries and distilleries</t>
        </is>
      </c>
      <c r="D1163" t="n">
        <v>206</v>
      </c>
      <c r="E1163">
        <f>IFERROR(VLOOKUP(B1163,Crosswalk!$A$2:$C$125,3,FALSE),"Unmapped")</f>
        <v/>
      </c>
    </row>
    <row r="1164">
      <c r="A1164" t="n">
        <v>2019</v>
      </c>
      <c r="B1164" t="inlineStr">
        <is>
          <t>BS31220</t>
        </is>
      </c>
      <c r="C1164" t="inlineStr">
        <is>
          <t>Tobacco manufacturing</t>
        </is>
      </c>
      <c r="D1164" t="n">
        <v>25</v>
      </c>
      <c r="E1164">
        <f>IFERROR(VLOOKUP(B1164,Crosswalk!$A$2:$C$125,3,FALSE),"Unmapped")</f>
        <v/>
      </c>
    </row>
    <row r="1165">
      <c r="A1165" t="n">
        <v>2019</v>
      </c>
      <c r="B1165" t="inlineStr">
        <is>
          <t>BS31A00</t>
        </is>
      </c>
      <c r="C1165" t="inlineStr">
        <is>
          <t>Textile and textile product mills</t>
        </is>
      </c>
      <c r="D1165" t="n">
        <v>165</v>
      </c>
      <c r="E1165">
        <f>IFERROR(VLOOKUP(B1165,Crosswalk!$A$2:$C$125,3,FALSE),"Unmapped")</f>
        <v/>
      </c>
    </row>
    <row r="1166">
      <c r="A1166" t="n">
        <v>2019</v>
      </c>
      <c r="B1166" t="inlineStr">
        <is>
          <t>BS31B00</t>
        </is>
      </c>
      <c r="C1166" t="inlineStr">
        <is>
          <t>Clothing and leather and allied product manufacturing</t>
        </is>
      </c>
      <c r="D1166" t="n">
        <v>60</v>
      </c>
      <c r="E1166">
        <f>IFERROR(VLOOKUP(B1166,Crosswalk!$A$2:$C$125,3,FALSE),"Unmapped")</f>
        <v/>
      </c>
    </row>
    <row r="1167">
      <c r="A1167" t="n">
        <v>2019</v>
      </c>
      <c r="B1167" t="inlineStr">
        <is>
          <t>BS32100</t>
        </is>
      </c>
      <c r="C1167" t="inlineStr">
        <is>
          <t>Wood product manufacturing</t>
        </is>
      </c>
      <c r="D1167" t="n">
        <v>10474</v>
      </c>
      <c r="E1167">
        <f>IFERROR(VLOOKUP(B1167,Crosswalk!$A$2:$C$125,3,FALSE),"Unmapped")</f>
        <v/>
      </c>
    </row>
    <row r="1168">
      <c r="A1168" t="n">
        <v>2019</v>
      </c>
      <c r="B1168" t="inlineStr">
        <is>
          <t>BS32210</t>
        </is>
      </c>
      <c r="C1168" t="inlineStr">
        <is>
          <t>Pulp, paper and paperboard mills</t>
        </is>
      </c>
      <c r="D1168" t="n">
        <v>39984</v>
      </c>
      <c r="E1168">
        <f>IFERROR(VLOOKUP(B1168,Crosswalk!$A$2:$C$125,3,FALSE),"Unmapped")</f>
        <v/>
      </c>
    </row>
    <row r="1169">
      <c r="A1169" t="n">
        <v>2019</v>
      </c>
      <c r="B1169" t="inlineStr">
        <is>
          <t>BS32220</t>
        </is>
      </c>
      <c r="C1169" t="inlineStr">
        <is>
          <t>Converted paper product manufacturing</t>
        </is>
      </c>
      <c r="D1169" t="n">
        <v>539</v>
      </c>
      <c r="E1169">
        <f>IFERROR(VLOOKUP(B1169,Crosswalk!$A$2:$C$125,3,FALSE),"Unmapped")</f>
        <v/>
      </c>
    </row>
    <row r="1170">
      <c r="A1170" t="n">
        <v>2019</v>
      </c>
      <c r="B1170" t="inlineStr">
        <is>
          <t>BS32300</t>
        </is>
      </c>
      <c r="C1170" t="inlineStr">
        <is>
          <t>Printing and related support activities</t>
        </is>
      </c>
      <c r="D1170" t="n">
        <v>279</v>
      </c>
      <c r="E1170">
        <f>IFERROR(VLOOKUP(B1170,Crosswalk!$A$2:$C$125,3,FALSE),"Unmapped")</f>
        <v/>
      </c>
    </row>
    <row r="1171">
      <c r="A1171" t="n">
        <v>2019</v>
      </c>
      <c r="B1171" t="inlineStr">
        <is>
          <t>BS32400</t>
        </is>
      </c>
      <c r="C1171" t="inlineStr">
        <is>
          <t>Petroleum and coal product manufacturing</t>
        </is>
      </c>
      <c r="D1171" t="n">
        <v>22198</v>
      </c>
      <c r="E1171">
        <f>IFERROR(VLOOKUP(B1171,Crosswalk!$A$2:$C$125,3,FALSE),"Unmapped")</f>
        <v/>
      </c>
    </row>
    <row r="1172">
      <c r="A1172" t="n">
        <v>2019</v>
      </c>
      <c r="B1172" t="inlineStr">
        <is>
          <t>BS32510</t>
        </is>
      </c>
      <c r="C1172" t="inlineStr">
        <is>
          <t>Basic chemical manufacturing</t>
        </is>
      </c>
      <c r="D1172" t="n">
        <v>11704</v>
      </c>
      <c r="E1172">
        <f>IFERROR(VLOOKUP(B1172,Crosswalk!$A$2:$C$125,3,FALSE),"Unmapped")</f>
        <v/>
      </c>
    </row>
    <row r="1173">
      <c r="A1173" t="n">
        <v>2019</v>
      </c>
      <c r="B1173" t="inlineStr">
        <is>
          <t>BS32530</t>
        </is>
      </c>
      <c r="C1173" t="inlineStr">
        <is>
          <t>Pesticide, fertilizer and other agricultural chemical manufacturing</t>
        </is>
      </c>
      <c r="D1173" t="n">
        <v>5532</v>
      </c>
      <c r="E1173">
        <f>IFERROR(VLOOKUP(B1173,Crosswalk!$A$2:$C$125,3,FALSE),"Unmapped")</f>
        <v/>
      </c>
    </row>
    <row r="1174">
      <c r="A1174" t="n">
        <v>2019</v>
      </c>
      <c r="B1174" t="inlineStr">
        <is>
          <t>BS32540</t>
        </is>
      </c>
      <c r="C1174" t="inlineStr">
        <is>
          <t>Pharmaceutical and medicine manufacturing</t>
        </is>
      </c>
      <c r="D1174" t="n">
        <v>273</v>
      </c>
      <c r="E1174">
        <f>IFERROR(VLOOKUP(B1174,Crosswalk!$A$2:$C$125,3,FALSE),"Unmapped")</f>
        <v/>
      </c>
    </row>
    <row r="1175">
      <c r="A1175" t="n">
        <v>2019</v>
      </c>
      <c r="B1175" t="inlineStr">
        <is>
          <t>BS325C0</t>
        </is>
      </c>
      <c r="C1175" t="inlineStr">
        <is>
          <t>Miscellaneous chemical product manufacturing</t>
        </is>
      </c>
      <c r="D1175" t="n">
        <v>1118</v>
      </c>
      <c r="E1175">
        <f>IFERROR(VLOOKUP(B1175,Crosswalk!$A$2:$C$125,3,FALSE),"Unmapped")</f>
        <v/>
      </c>
    </row>
    <row r="1176">
      <c r="A1176" t="n">
        <v>2019</v>
      </c>
      <c r="B1176" t="inlineStr">
        <is>
          <t>BS32610</t>
        </is>
      </c>
      <c r="C1176" t="inlineStr">
        <is>
          <t>Plastic product manufacturing</t>
        </is>
      </c>
      <c r="D1176" t="n">
        <v>727</v>
      </c>
      <c r="E1176">
        <f>IFERROR(VLOOKUP(B1176,Crosswalk!$A$2:$C$125,3,FALSE),"Unmapped")</f>
        <v/>
      </c>
    </row>
    <row r="1177">
      <c r="A1177" t="n">
        <v>2019</v>
      </c>
      <c r="B1177" t="inlineStr">
        <is>
          <t>BS32620</t>
        </is>
      </c>
      <c r="C1177" t="inlineStr">
        <is>
          <t>Rubber product manufacturing</t>
        </is>
      </c>
      <c r="D1177" t="n">
        <v>255</v>
      </c>
      <c r="E1177">
        <f>IFERROR(VLOOKUP(B1177,Crosswalk!$A$2:$C$125,3,FALSE),"Unmapped")</f>
        <v/>
      </c>
    </row>
    <row r="1178">
      <c r="A1178" t="n">
        <v>2019</v>
      </c>
      <c r="B1178" t="inlineStr">
        <is>
          <t>BS32730</t>
        </is>
      </c>
      <c r="C1178" t="inlineStr">
        <is>
          <t>Cement and concrete product manufacturing</t>
        </is>
      </c>
      <c r="D1178" t="n">
        <v>11966</v>
      </c>
      <c r="E1178">
        <f>IFERROR(VLOOKUP(B1178,Crosswalk!$A$2:$C$125,3,FALSE),"Unmapped")</f>
        <v/>
      </c>
    </row>
    <row r="1179">
      <c r="A1179" t="n">
        <v>2019</v>
      </c>
      <c r="B1179" t="inlineStr">
        <is>
          <t>BS327A0</t>
        </is>
      </c>
      <c r="C1179" t="inlineStr">
        <is>
          <t>Non-metallic mineral product manufacturing (except cement and concrete products)</t>
        </is>
      </c>
      <c r="D1179" t="n">
        <v>2403</v>
      </c>
      <c r="E1179">
        <f>IFERROR(VLOOKUP(B1179,Crosswalk!$A$2:$C$125,3,FALSE),"Unmapped")</f>
        <v/>
      </c>
    </row>
    <row r="1180">
      <c r="A1180" t="n">
        <v>2019</v>
      </c>
      <c r="B1180" t="inlineStr">
        <is>
          <t>BS33100</t>
        </is>
      </c>
      <c r="C1180" t="inlineStr">
        <is>
          <t>Primary metal manufacturing</t>
        </is>
      </c>
      <c r="D1180" t="n">
        <v>24670</v>
      </c>
      <c r="E1180">
        <f>IFERROR(VLOOKUP(B1180,Crosswalk!$A$2:$C$125,3,FALSE),"Unmapped")</f>
        <v/>
      </c>
    </row>
    <row r="1181">
      <c r="A1181" t="n">
        <v>2019</v>
      </c>
      <c r="B1181" t="inlineStr">
        <is>
          <t>BS33200</t>
        </is>
      </c>
      <c r="C1181" t="inlineStr">
        <is>
          <t>Fabricated metal product manufacturing</t>
        </is>
      </c>
      <c r="D1181" t="n">
        <v>1697</v>
      </c>
      <c r="E1181">
        <f>IFERROR(VLOOKUP(B1181,Crosswalk!$A$2:$C$125,3,FALSE),"Unmapped")</f>
        <v/>
      </c>
    </row>
    <row r="1182">
      <c r="A1182" t="n">
        <v>2019</v>
      </c>
      <c r="B1182" t="inlineStr">
        <is>
          <t>BS33300</t>
        </is>
      </c>
      <c r="C1182" t="inlineStr">
        <is>
          <t>Machinery manufacturing</t>
        </is>
      </c>
      <c r="D1182" t="n">
        <v>911</v>
      </c>
      <c r="E1182">
        <f>IFERROR(VLOOKUP(B1182,Crosswalk!$A$2:$C$125,3,FALSE),"Unmapped")</f>
        <v/>
      </c>
    </row>
    <row r="1183">
      <c r="A1183" t="n">
        <v>2019</v>
      </c>
      <c r="B1183" t="inlineStr">
        <is>
          <t>BS33410</t>
        </is>
      </c>
      <c r="C1183" t="inlineStr">
        <is>
          <t>Computer and peripheral equipment manufacturing</t>
        </is>
      </c>
      <c r="D1183" t="n">
        <v>9</v>
      </c>
      <c r="E1183">
        <f>IFERROR(VLOOKUP(B1183,Crosswalk!$A$2:$C$125,3,FALSE),"Unmapped")</f>
        <v/>
      </c>
    </row>
    <row r="1184">
      <c r="A1184" t="n">
        <v>2019</v>
      </c>
      <c r="B1184" t="inlineStr">
        <is>
          <t>BS334B0</t>
        </is>
      </c>
      <c r="C1184" t="inlineStr">
        <is>
          <t>Electronic product manufacturing</t>
        </is>
      </c>
      <c r="D1184" t="n">
        <v>119</v>
      </c>
      <c r="E1184">
        <f>IFERROR(VLOOKUP(B1184,Crosswalk!$A$2:$C$125,3,FALSE),"Unmapped")</f>
        <v/>
      </c>
    </row>
    <row r="1185">
      <c r="A1185" t="n">
        <v>2019</v>
      </c>
      <c r="B1185" t="inlineStr">
        <is>
          <t>BS33520</t>
        </is>
      </c>
      <c r="C1185" t="inlineStr">
        <is>
          <t>Household appliance manufacturing</t>
        </is>
      </c>
      <c r="D1185" t="n">
        <v>14</v>
      </c>
      <c r="E1185">
        <f>IFERROR(VLOOKUP(B1185,Crosswalk!$A$2:$C$125,3,FALSE),"Unmapped")</f>
        <v/>
      </c>
    </row>
    <row r="1186">
      <c r="A1186" t="n">
        <v>2019</v>
      </c>
      <c r="B1186" t="inlineStr">
        <is>
          <t>BS335A0</t>
        </is>
      </c>
      <c r="C1186" t="inlineStr">
        <is>
          <t>Electrical equipment and component manufacturing</t>
        </is>
      </c>
      <c r="D1186" t="n">
        <v>147</v>
      </c>
      <c r="E1186">
        <f>IFERROR(VLOOKUP(B1186,Crosswalk!$A$2:$C$125,3,FALSE),"Unmapped")</f>
        <v/>
      </c>
    </row>
    <row r="1187">
      <c r="A1187" t="n">
        <v>2019</v>
      </c>
      <c r="B1187" t="inlineStr">
        <is>
          <t>BS33610</t>
        </is>
      </c>
      <c r="C1187" t="inlineStr">
        <is>
          <t>Motor vehicle manufacturing</t>
        </is>
      </c>
      <c r="D1187" t="n">
        <v>753</v>
      </c>
      <c r="E1187">
        <f>IFERROR(VLOOKUP(B1187,Crosswalk!$A$2:$C$125,3,FALSE),"Unmapped")</f>
        <v/>
      </c>
    </row>
    <row r="1188">
      <c r="A1188" t="n">
        <v>2019</v>
      </c>
      <c r="B1188" t="inlineStr">
        <is>
          <t>BS33620</t>
        </is>
      </c>
      <c r="C1188" t="inlineStr">
        <is>
          <t>Motor vehicle body and trailer manufacturing</t>
        </is>
      </c>
      <c r="D1188" t="n">
        <v>86</v>
      </c>
      <c r="E1188">
        <f>IFERROR(VLOOKUP(B1188,Crosswalk!$A$2:$C$125,3,FALSE),"Unmapped")</f>
        <v/>
      </c>
    </row>
    <row r="1189">
      <c r="A1189" t="n">
        <v>2019</v>
      </c>
      <c r="B1189" t="inlineStr">
        <is>
          <t>BS33630</t>
        </is>
      </c>
      <c r="C1189" t="inlineStr">
        <is>
          <t>Motor vehicle parts manufacturing</t>
        </is>
      </c>
      <c r="D1189" t="n">
        <v>387</v>
      </c>
      <c r="E1189">
        <f>IFERROR(VLOOKUP(B1189,Crosswalk!$A$2:$C$125,3,FALSE),"Unmapped")</f>
        <v/>
      </c>
    </row>
    <row r="1190">
      <c r="A1190" t="n">
        <v>2019</v>
      </c>
      <c r="B1190" t="inlineStr">
        <is>
          <t>BS33640</t>
        </is>
      </c>
      <c r="C1190" t="inlineStr">
        <is>
          <t>Aerospace product and parts manufacturing</t>
        </is>
      </c>
      <c r="D1190" t="n">
        <v>368</v>
      </c>
      <c r="E1190">
        <f>IFERROR(VLOOKUP(B1190,Crosswalk!$A$2:$C$125,3,FALSE),"Unmapped")</f>
        <v/>
      </c>
    </row>
    <row r="1191">
      <c r="A1191" t="n">
        <v>2019</v>
      </c>
      <c r="B1191" t="inlineStr">
        <is>
          <t>BS33650</t>
        </is>
      </c>
      <c r="C1191" t="inlineStr">
        <is>
          <t>Railroad rolling stock manufacturing</t>
        </is>
      </c>
      <c r="D1191" t="n">
        <v>19</v>
      </c>
      <c r="E1191">
        <f>IFERROR(VLOOKUP(B1191,Crosswalk!$A$2:$C$125,3,FALSE),"Unmapped")</f>
        <v/>
      </c>
    </row>
    <row r="1192">
      <c r="A1192" t="n">
        <v>2019</v>
      </c>
      <c r="B1192" t="inlineStr">
        <is>
          <t>BS33660</t>
        </is>
      </c>
      <c r="C1192" t="inlineStr">
        <is>
          <t>Ship and boat building</t>
        </is>
      </c>
      <c r="D1192" t="n">
        <v>36</v>
      </c>
      <c r="E1192">
        <f>IFERROR(VLOOKUP(B1192,Crosswalk!$A$2:$C$125,3,FALSE),"Unmapped")</f>
        <v/>
      </c>
    </row>
    <row r="1193">
      <c r="A1193" t="n">
        <v>2019</v>
      </c>
      <c r="B1193" t="inlineStr">
        <is>
          <t>BS33690</t>
        </is>
      </c>
      <c r="C1193" t="inlineStr">
        <is>
          <t>Other transportation equipment manufacturing</t>
        </is>
      </c>
      <c r="D1193" t="n">
        <v>48</v>
      </c>
      <c r="E1193">
        <f>IFERROR(VLOOKUP(B1193,Crosswalk!$A$2:$C$125,3,FALSE),"Unmapped")</f>
        <v/>
      </c>
    </row>
    <row r="1194">
      <c r="A1194" t="n">
        <v>2019</v>
      </c>
      <c r="B1194" t="inlineStr">
        <is>
          <t>BS33700</t>
        </is>
      </c>
      <c r="C1194" t="inlineStr">
        <is>
          <t>Furniture and related product manufacturing</t>
        </is>
      </c>
      <c r="D1194" t="n">
        <v>381</v>
      </c>
      <c r="E1194">
        <f>IFERROR(VLOOKUP(B1194,Crosswalk!$A$2:$C$125,3,FALSE),"Unmapped")</f>
        <v/>
      </c>
    </row>
    <row r="1195">
      <c r="A1195" t="n">
        <v>2019</v>
      </c>
      <c r="B1195" t="inlineStr">
        <is>
          <t>BS33900</t>
        </is>
      </c>
      <c r="C1195" t="inlineStr">
        <is>
          <t>Miscellaneous manufacturing</t>
        </is>
      </c>
      <c r="D1195" t="n">
        <v>346</v>
      </c>
      <c r="E1195">
        <f>IFERROR(VLOOKUP(B1195,Crosswalk!$A$2:$C$125,3,FALSE),"Unmapped")</f>
        <v/>
      </c>
    </row>
    <row r="1196">
      <c r="A1196" t="n">
        <v>2019</v>
      </c>
      <c r="B1196" t="inlineStr">
        <is>
          <t>BS41000</t>
        </is>
      </c>
      <c r="C1196" t="inlineStr">
        <is>
          <t>Wholesale trade</t>
        </is>
      </c>
      <c r="D1196" t="n">
        <v>10319</v>
      </c>
      <c r="E1196">
        <f>IFERROR(VLOOKUP(B1196,Crosswalk!$A$2:$C$125,3,FALSE),"Unmapped")</f>
        <v/>
      </c>
    </row>
    <row r="1197">
      <c r="A1197" t="n">
        <v>2019</v>
      </c>
      <c r="B1197" t="inlineStr">
        <is>
          <t>BS453BL</t>
        </is>
      </c>
      <c r="C1197" t="inlineStr">
        <is>
          <t>Cannabis stores (licensed)</t>
        </is>
      </c>
      <c r="D1197" t="n">
        <v>30</v>
      </c>
      <c r="E1197">
        <f>IFERROR(VLOOKUP(B1197,Crosswalk!$A$2:$C$125,3,FALSE),"Unmapped")</f>
        <v/>
      </c>
    </row>
    <row r="1198">
      <c r="A1198" t="n">
        <v>2019</v>
      </c>
      <c r="B1198" t="inlineStr">
        <is>
          <t>BS453BU</t>
        </is>
      </c>
      <c r="C1198" t="inlineStr">
        <is>
          <t>Cannabis stores (unlicensed)</t>
        </is>
      </c>
      <c r="D1198" t="n">
        <v>29</v>
      </c>
      <c r="E1198">
        <f>IFERROR(VLOOKUP(B1198,Crosswalk!$A$2:$C$125,3,FALSE),"Unmapped")</f>
        <v/>
      </c>
    </row>
    <row r="1199">
      <c r="A1199" t="n">
        <v>2019</v>
      </c>
      <c r="B1199" t="inlineStr">
        <is>
          <t>BS48100</t>
        </is>
      </c>
      <c r="C1199" t="inlineStr">
        <is>
          <t>Air transportation</t>
        </is>
      </c>
      <c r="D1199" t="n">
        <v>23177</v>
      </c>
      <c r="E1199">
        <f>IFERROR(VLOOKUP(B1199,Crosswalk!$A$2:$C$125,3,FALSE),"Unmapped")</f>
        <v/>
      </c>
    </row>
    <row r="1200">
      <c r="A1200" t="n">
        <v>2019</v>
      </c>
      <c r="B1200" t="inlineStr">
        <is>
          <t>BS48200</t>
        </is>
      </c>
      <c r="C1200" t="inlineStr">
        <is>
          <t>Rail transportation</t>
        </is>
      </c>
      <c r="D1200" t="n">
        <v>5938</v>
      </c>
      <c r="E1200">
        <f>IFERROR(VLOOKUP(B1200,Crosswalk!$A$2:$C$125,3,FALSE),"Unmapped")</f>
        <v/>
      </c>
    </row>
    <row r="1201">
      <c r="A1201" t="n">
        <v>2019</v>
      </c>
      <c r="B1201" t="inlineStr">
        <is>
          <t>BS48300</t>
        </is>
      </c>
      <c r="C1201" t="inlineStr">
        <is>
          <t>Water transportation</t>
        </is>
      </c>
      <c r="D1201" t="n">
        <v>2235</v>
      </c>
      <c r="E1201">
        <f>IFERROR(VLOOKUP(B1201,Crosswalk!$A$2:$C$125,3,FALSE),"Unmapped")</f>
        <v/>
      </c>
    </row>
    <row r="1202">
      <c r="A1202" t="n">
        <v>2019</v>
      </c>
      <c r="B1202" t="inlineStr">
        <is>
          <t>BS48400</t>
        </is>
      </c>
      <c r="C1202" t="inlineStr">
        <is>
          <t>Truck transportation</t>
        </is>
      </c>
      <c r="D1202" t="n">
        <v>19054</v>
      </c>
      <c r="E1202">
        <f>IFERROR(VLOOKUP(B1202,Crosswalk!$A$2:$C$125,3,FALSE),"Unmapped")</f>
        <v/>
      </c>
    </row>
    <row r="1203">
      <c r="A1203" t="n">
        <v>2019</v>
      </c>
      <c r="B1203" t="inlineStr">
        <is>
          <t>BS48600</t>
        </is>
      </c>
      <c r="C1203" t="inlineStr">
        <is>
          <t>Pipeline transportation</t>
        </is>
      </c>
      <c r="D1203" t="n">
        <v>9066</v>
      </c>
      <c r="E1203">
        <f>IFERROR(VLOOKUP(B1203,Crosswalk!$A$2:$C$125,3,FALSE),"Unmapped")</f>
        <v/>
      </c>
    </row>
    <row r="1204">
      <c r="A1204" t="n">
        <v>2019</v>
      </c>
      <c r="B1204" t="inlineStr">
        <is>
          <t>BS48B00</t>
        </is>
      </c>
      <c r="C1204" t="inlineStr">
        <is>
          <t>Transit, ground passenger and scenic and sightseeing transportation, taxi and limousine service and support activities for transportation</t>
        </is>
      </c>
      <c r="D1204" t="n">
        <v>4643</v>
      </c>
      <c r="E1204">
        <f>IFERROR(VLOOKUP(B1204,Crosswalk!$A$2:$C$125,3,FALSE),"Unmapped")</f>
        <v/>
      </c>
    </row>
    <row r="1205">
      <c r="A1205" t="n">
        <v>2019</v>
      </c>
      <c r="B1205" t="inlineStr">
        <is>
          <t>BS49300</t>
        </is>
      </c>
      <c r="C1205" t="inlineStr">
        <is>
          <t>Warehousing and storage</t>
        </is>
      </c>
      <c r="D1205" t="n">
        <v>244</v>
      </c>
      <c r="E1205">
        <f>IFERROR(VLOOKUP(B1205,Crosswalk!$A$2:$C$125,3,FALSE),"Unmapped")</f>
        <v/>
      </c>
    </row>
    <row r="1206">
      <c r="A1206" t="n">
        <v>2019</v>
      </c>
      <c r="B1206" t="inlineStr">
        <is>
          <t>BS49A00</t>
        </is>
      </c>
      <c r="C1206" t="inlineStr">
        <is>
          <t>Postal service and couriers and messengers</t>
        </is>
      </c>
      <c r="D1206" t="n">
        <v>2045</v>
      </c>
      <c r="E1206">
        <f>IFERROR(VLOOKUP(B1206,Crosswalk!$A$2:$C$125,3,FALSE),"Unmapped")</f>
        <v/>
      </c>
    </row>
    <row r="1207">
      <c r="A1207" t="n">
        <v>2019</v>
      </c>
      <c r="B1207" t="inlineStr">
        <is>
          <t>BS4AA00</t>
        </is>
      </c>
      <c r="C1207" t="inlineStr">
        <is>
          <t>Retail trade (except cannabis)</t>
        </is>
      </c>
      <c r="D1207" t="n">
        <v>8596</v>
      </c>
      <c r="E1207">
        <f>IFERROR(VLOOKUP(B1207,Crosswalk!$A$2:$C$125,3,FALSE),"Unmapped")</f>
        <v/>
      </c>
    </row>
    <row r="1208">
      <c r="A1208" t="n">
        <v>2019</v>
      </c>
      <c r="B1208" t="inlineStr">
        <is>
          <t>BS51200</t>
        </is>
      </c>
      <c r="C1208" t="inlineStr">
        <is>
          <t>Motion picture and sound recording industries</t>
        </is>
      </c>
      <c r="D1208" t="n">
        <v>604</v>
      </c>
      <c r="E1208">
        <f>IFERROR(VLOOKUP(B1208,Crosswalk!$A$2:$C$125,3,FALSE),"Unmapped")</f>
        <v/>
      </c>
    </row>
    <row r="1209">
      <c r="A1209" t="n">
        <v>2019</v>
      </c>
      <c r="B1209" t="inlineStr">
        <is>
          <t>BS51510</t>
        </is>
      </c>
      <c r="C1209" t="inlineStr">
        <is>
          <t>Radio and television broadcasting</t>
        </is>
      </c>
      <c r="D1209" t="n">
        <v>24</v>
      </c>
      <c r="E1209">
        <f>IFERROR(VLOOKUP(B1209,Crosswalk!$A$2:$C$125,3,FALSE),"Unmapped")</f>
        <v/>
      </c>
    </row>
    <row r="1210">
      <c r="A1210" t="n">
        <v>2019</v>
      </c>
      <c r="B1210" t="inlineStr">
        <is>
          <t>BS51B00</t>
        </is>
      </c>
      <c r="C1210" t="inlineStr">
        <is>
          <t>Publishing, pay/specialty services, telecommunications and other information services</t>
        </is>
      </c>
      <c r="D1210" t="n">
        <v>1510</v>
      </c>
      <c r="E1210">
        <f>IFERROR(VLOOKUP(B1210,Crosswalk!$A$2:$C$125,3,FALSE),"Unmapped")</f>
        <v/>
      </c>
    </row>
    <row r="1211">
      <c r="A1211" t="n">
        <v>2019</v>
      </c>
      <c r="B1211" t="inlineStr">
        <is>
          <t>BS52410</t>
        </is>
      </c>
      <c r="C1211" t="inlineStr">
        <is>
          <t>Insurance carriers</t>
        </is>
      </c>
      <c r="D1211" t="n">
        <v>152</v>
      </c>
      <c r="E1211">
        <f>IFERROR(VLOOKUP(B1211,Crosswalk!$A$2:$C$125,3,FALSE),"Unmapped")</f>
        <v/>
      </c>
    </row>
    <row r="1212">
      <c r="A1212" t="n">
        <v>2019</v>
      </c>
      <c r="B1212" t="inlineStr">
        <is>
          <t>BS52B00</t>
        </is>
      </c>
      <c r="C1212" t="inlineStr">
        <is>
          <t>Depository credit intermediation and monetary authorities</t>
        </is>
      </c>
      <c r="D1212" t="n">
        <v>1036</v>
      </c>
      <c r="E1212">
        <f>IFERROR(VLOOKUP(B1212,Crosswalk!$A$2:$C$125,3,FALSE),"Unmapped")</f>
        <v/>
      </c>
    </row>
    <row r="1213">
      <c r="A1213" t="n">
        <v>2019</v>
      </c>
      <c r="B1213" t="inlineStr">
        <is>
          <t>BS53110</t>
        </is>
      </c>
      <c r="C1213" t="inlineStr">
        <is>
          <t>Lessors of real estate</t>
        </is>
      </c>
      <c r="D1213" t="n">
        <v>6410</v>
      </c>
      <c r="E1213">
        <f>IFERROR(VLOOKUP(B1213,Crosswalk!$A$2:$C$125,3,FALSE),"Unmapped")</f>
        <v/>
      </c>
    </row>
    <row r="1214">
      <c r="A1214" t="n">
        <v>2019</v>
      </c>
      <c r="B1214" t="inlineStr">
        <is>
          <t>BS5311A</t>
        </is>
      </c>
      <c r="C1214" t="inlineStr">
        <is>
          <t>Owner-occupied dwellings</t>
        </is>
      </c>
      <c r="D1214" t="n">
        <v>0</v>
      </c>
      <c r="E1214">
        <f>IFERROR(VLOOKUP(B1214,Crosswalk!$A$2:$C$125,3,FALSE),"Unmapped")</f>
        <v/>
      </c>
    </row>
    <row r="1215">
      <c r="A1215" t="n">
        <v>2019</v>
      </c>
      <c r="B1215" t="inlineStr">
        <is>
          <t>BS53B00</t>
        </is>
      </c>
      <c r="C1215" t="inlineStr">
        <is>
          <t>Rental and leasing services and lessors of non-financial intangible assets (except copyrighted works)</t>
        </is>
      </c>
      <c r="D1215" t="n">
        <v>2735</v>
      </c>
      <c r="E1215">
        <f>IFERROR(VLOOKUP(B1215,Crosswalk!$A$2:$C$125,3,FALSE),"Unmapped")</f>
        <v/>
      </c>
    </row>
    <row r="1216">
      <c r="A1216" t="n">
        <v>2019</v>
      </c>
      <c r="B1216" t="inlineStr">
        <is>
          <t>BS54180</t>
        </is>
      </c>
      <c r="C1216" t="inlineStr">
        <is>
          <t>Advertising, public relations and related services</t>
        </is>
      </c>
      <c r="D1216" t="n">
        <v>184</v>
      </c>
      <c r="E1216">
        <f>IFERROR(VLOOKUP(B1216,Crosswalk!$A$2:$C$125,3,FALSE),"Unmapped")</f>
        <v/>
      </c>
    </row>
    <row r="1217">
      <c r="A1217" t="n">
        <v>2019</v>
      </c>
      <c r="B1217" t="inlineStr">
        <is>
          <t>BS541C0</t>
        </is>
      </c>
      <c r="C1217" t="inlineStr">
        <is>
          <t>Legal, accounting and architectural, engineering and related services</t>
        </is>
      </c>
      <c r="D1217" t="n">
        <v>1061</v>
      </c>
      <c r="E1217">
        <f>IFERROR(VLOOKUP(B1217,Crosswalk!$A$2:$C$125,3,FALSE),"Unmapped")</f>
        <v/>
      </c>
    </row>
    <row r="1218">
      <c r="A1218" t="n">
        <v>2019</v>
      </c>
      <c r="B1218" t="inlineStr">
        <is>
          <t>BS541D0</t>
        </is>
      </c>
      <c r="C1218" t="inlineStr">
        <is>
          <t>Computer systems design and other professional, scientific and technical services</t>
        </is>
      </c>
      <c r="D1218" t="n">
        <v>858</v>
      </c>
      <c r="E1218">
        <f>IFERROR(VLOOKUP(B1218,Crosswalk!$A$2:$C$125,3,FALSE),"Unmapped")</f>
        <v/>
      </c>
    </row>
    <row r="1219">
      <c r="A1219" t="n">
        <v>2019</v>
      </c>
      <c r="B1219" t="inlineStr">
        <is>
          <t>BS56100</t>
        </is>
      </c>
      <c r="C1219" t="inlineStr">
        <is>
          <t>Administrative and support services</t>
        </is>
      </c>
      <c r="D1219" t="n">
        <v>2737</v>
      </c>
      <c r="E1219">
        <f>IFERROR(VLOOKUP(B1219,Crosswalk!$A$2:$C$125,3,FALSE),"Unmapped")</f>
        <v/>
      </c>
    </row>
    <row r="1220">
      <c r="A1220" t="n">
        <v>2019</v>
      </c>
      <c r="B1220" t="inlineStr">
        <is>
          <t>BS56200</t>
        </is>
      </c>
      <c r="C1220" t="inlineStr">
        <is>
          <t>Waste management and remediation services</t>
        </is>
      </c>
      <c r="D1220" t="n">
        <v>1632</v>
      </c>
      <c r="E1220">
        <f>IFERROR(VLOOKUP(B1220,Crosswalk!$A$2:$C$125,3,FALSE),"Unmapped")</f>
        <v/>
      </c>
    </row>
    <row r="1221">
      <c r="A1221" t="n">
        <v>2019</v>
      </c>
      <c r="B1221" t="inlineStr">
        <is>
          <t>BS5A000</t>
        </is>
      </c>
      <c r="C1221" t="inlineStr">
        <is>
          <t>Other finance, insurance and real estate services and management of companies and enterprises</t>
        </is>
      </c>
      <c r="D1221" t="n">
        <v>3550</v>
      </c>
      <c r="E1221">
        <f>IFERROR(VLOOKUP(B1221,Crosswalk!$A$2:$C$125,3,FALSE),"Unmapped")</f>
        <v/>
      </c>
    </row>
    <row r="1222">
      <c r="A1222" t="n">
        <v>2019</v>
      </c>
      <c r="B1222" t="inlineStr">
        <is>
          <t>BS61000</t>
        </is>
      </c>
      <c r="C1222" t="inlineStr">
        <is>
          <t>Educational services</t>
        </is>
      </c>
      <c r="D1222" t="n">
        <v>290</v>
      </c>
      <c r="E1222">
        <f>IFERROR(VLOOKUP(B1222,Crosswalk!$A$2:$C$125,3,FALSE),"Unmapped")</f>
        <v/>
      </c>
    </row>
    <row r="1223">
      <c r="A1223" t="n">
        <v>2019</v>
      </c>
      <c r="B1223" t="inlineStr">
        <is>
          <t>BS62000</t>
        </is>
      </c>
      <c r="C1223" t="inlineStr">
        <is>
          <t>Health care and social assistance</t>
        </is>
      </c>
      <c r="D1223" t="n">
        <v>1983</v>
      </c>
      <c r="E1223">
        <f>IFERROR(VLOOKUP(B1223,Crosswalk!$A$2:$C$125,3,FALSE),"Unmapped")</f>
        <v/>
      </c>
    </row>
    <row r="1224">
      <c r="A1224" t="n">
        <v>2019</v>
      </c>
      <c r="B1224" t="inlineStr">
        <is>
          <t>BS71000</t>
        </is>
      </c>
      <c r="C1224" t="inlineStr">
        <is>
          <t>Arts, entertainment and recreation</t>
        </is>
      </c>
      <c r="D1224" t="n">
        <v>274</v>
      </c>
      <c r="E1224">
        <f>IFERROR(VLOOKUP(B1224,Crosswalk!$A$2:$C$125,3,FALSE),"Unmapped")</f>
        <v/>
      </c>
    </row>
    <row r="1225">
      <c r="A1225" t="n">
        <v>2019</v>
      </c>
      <c r="B1225" t="inlineStr">
        <is>
          <t>BS72000</t>
        </is>
      </c>
      <c r="C1225" t="inlineStr">
        <is>
          <t>Accommodation and food services</t>
        </is>
      </c>
      <c r="D1225" t="n">
        <v>2062</v>
      </c>
      <c r="E1225">
        <f>IFERROR(VLOOKUP(B1225,Crosswalk!$A$2:$C$125,3,FALSE),"Unmapped")</f>
        <v/>
      </c>
    </row>
    <row r="1226">
      <c r="A1226" t="n">
        <v>2019</v>
      </c>
      <c r="B1226" t="inlineStr">
        <is>
          <t>BS81100</t>
        </is>
      </c>
      <c r="C1226" t="inlineStr">
        <is>
          <t>Repair and maintenance</t>
        </is>
      </c>
      <c r="D1226" t="n">
        <v>2633</v>
      </c>
      <c r="E1226">
        <f>IFERROR(VLOOKUP(B1226,Crosswalk!$A$2:$C$125,3,FALSE),"Unmapped")</f>
        <v/>
      </c>
    </row>
    <row r="1227">
      <c r="A1227" t="n">
        <v>2019</v>
      </c>
      <c r="B1227" t="inlineStr">
        <is>
          <t>BS81300</t>
        </is>
      </c>
      <c r="C1227" t="inlineStr">
        <is>
          <t>Professional and similar organisations</t>
        </is>
      </c>
      <c r="D1227" t="n">
        <v>14</v>
      </c>
      <c r="E1227">
        <f>IFERROR(VLOOKUP(B1227,Crosswalk!$A$2:$C$125,3,FALSE),"Unmapped")</f>
        <v/>
      </c>
    </row>
    <row r="1228">
      <c r="A1228" t="n">
        <v>2019</v>
      </c>
      <c r="B1228" t="inlineStr">
        <is>
          <t>BS81A00</t>
        </is>
      </c>
      <c r="C1228" t="inlineStr">
        <is>
          <t>Personal services and private households</t>
        </is>
      </c>
      <c r="D1228" t="n">
        <v>611</v>
      </c>
      <c r="E1228">
        <f>IFERROR(VLOOKUP(B1228,Crosswalk!$A$2:$C$125,3,FALSE),"Unmapped")</f>
        <v/>
      </c>
    </row>
    <row r="1229">
      <c r="A1229" t="n">
        <v>2019</v>
      </c>
      <c r="B1229" t="inlineStr">
        <is>
          <t>FC11000</t>
        </is>
      </c>
      <c r="C1229" t="inlineStr">
        <is>
          <t>Repair and maintenance</t>
        </is>
      </c>
      <c r="D1229" t="n">
        <v>0</v>
      </c>
      <c r="E1229">
        <f>IFERROR(VLOOKUP(B1229,Crosswalk!$A$2:$C$125,3,FALSE),"Unmapped")</f>
        <v/>
      </c>
    </row>
    <row r="1230">
      <c r="A1230" t="n">
        <v>2019</v>
      </c>
      <c r="B1230" t="inlineStr">
        <is>
          <t>FC12000</t>
        </is>
      </c>
      <c r="C1230" t="inlineStr">
        <is>
          <t>Operating supplies</t>
        </is>
      </c>
      <c r="D1230" t="n">
        <v>0</v>
      </c>
      <c r="E1230">
        <f>IFERROR(VLOOKUP(B1230,Crosswalk!$A$2:$C$125,3,FALSE),"Unmapped")</f>
        <v/>
      </c>
    </row>
    <row r="1231">
      <c r="A1231" t="n">
        <v>2019</v>
      </c>
      <c r="B1231" t="inlineStr">
        <is>
          <t>FC13000</t>
        </is>
      </c>
      <c r="C1231" t="inlineStr">
        <is>
          <t>Office supplies</t>
        </is>
      </c>
      <c r="D1231" t="n">
        <v>0</v>
      </c>
      <c r="E1231">
        <f>IFERROR(VLOOKUP(B1231,Crosswalk!$A$2:$C$125,3,FALSE),"Unmapped")</f>
        <v/>
      </c>
    </row>
    <row r="1232">
      <c r="A1232" t="n">
        <v>2019</v>
      </c>
      <c r="B1232" t="inlineStr">
        <is>
          <t>FC20000</t>
        </is>
      </c>
      <c r="C1232" t="inlineStr">
        <is>
          <t>Advertising, promotion, meals, entertainment, and travel</t>
        </is>
      </c>
      <c r="D1232" t="n">
        <v>0</v>
      </c>
      <c r="E1232">
        <f>IFERROR(VLOOKUP(B1232,Crosswalk!$A$2:$C$125,3,FALSE),"Unmapped")</f>
        <v/>
      </c>
    </row>
    <row r="1233">
      <c r="A1233" t="n">
        <v>2019</v>
      </c>
      <c r="B1233" t="inlineStr">
        <is>
          <t>FC30000</t>
        </is>
      </c>
      <c r="C1233" t="inlineStr">
        <is>
          <t>Transportation margins</t>
        </is>
      </c>
      <c r="D1233" t="n">
        <v>0</v>
      </c>
      <c r="E1233">
        <f>IFERROR(VLOOKUP(B1233,Crosswalk!$A$2:$C$125,3,FALSE),"Unmapped")</f>
        <v/>
      </c>
    </row>
    <row r="1234">
      <c r="A1234" t="n">
        <v>2019</v>
      </c>
      <c r="B1234" t="inlineStr">
        <is>
          <t>GS61130</t>
        </is>
      </c>
      <c r="C1234" t="inlineStr">
        <is>
          <t>Universities</t>
        </is>
      </c>
      <c r="D1234" t="n">
        <v>2557</v>
      </c>
      <c r="E1234">
        <f>IFERROR(VLOOKUP(B1234,Crosswalk!$A$2:$C$125,3,FALSE),"Unmapped")</f>
        <v/>
      </c>
    </row>
    <row r="1235">
      <c r="A1235" t="n">
        <v>2019</v>
      </c>
      <c r="B1235" t="inlineStr">
        <is>
          <t>GS611B0</t>
        </is>
      </c>
      <c r="C1235" t="inlineStr">
        <is>
          <t>Educational services (except universities)</t>
        </is>
      </c>
      <c r="D1235" t="n">
        <v>2602</v>
      </c>
      <c r="E1235">
        <f>IFERROR(VLOOKUP(B1235,Crosswalk!$A$2:$C$125,3,FALSE),"Unmapped")</f>
        <v/>
      </c>
    </row>
    <row r="1236">
      <c r="A1236" t="n">
        <v>2019</v>
      </c>
      <c r="B1236" t="inlineStr">
        <is>
          <t>GS62200</t>
        </is>
      </c>
      <c r="C1236" t="inlineStr">
        <is>
          <t>Hospitals</t>
        </is>
      </c>
      <c r="D1236" t="n">
        <v>1348</v>
      </c>
      <c r="E1236">
        <f>IFERROR(VLOOKUP(B1236,Crosswalk!$A$2:$C$125,3,FALSE),"Unmapped")</f>
        <v/>
      </c>
    </row>
    <row r="1237">
      <c r="A1237" t="n">
        <v>2019</v>
      </c>
      <c r="B1237" t="inlineStr">
        <is>
          <t>GS62300</t>
        </is>
      </c>
      <c r="C1237" t="inlineStr">
        <is>
          <t>Nursing and residential care facilities</t>
        </is>
      </c>
      <c r="D1237" t="n">
        <v>126</v>
      </c>
      <c r="E1237">
        <f>IFERROR(VLOOKUP(B1237,Crosswalk!$A$2:$C$125,3,FALSE),"Unmapped")</f>
        <v/>
      </c>
    </row>
    <row r="1238">
      <c r="A1238" t="n">
        <v>2019</v>
      </c>
      <c r="B1238" t="inlineStr">
        <is>
          <t>GS91100</t>
        </is>
      </c>
      <c r="C1238" t="inlineStr">
        <is>
          <t>Other federal government services</t>
        </is>
      </c>
      <c r="D1238" t="n">
        <v>2132</v>
      </c>
      <c r="E1238">
        <f>IFERROR(VLOOKUP(B1238,Crosswalk!$A$2:$C$125,3,FALSE),"Unmapped")</f>
        <v/>
      </c>
    </row>
    <row r="1239">
      <c r="A1239" t="n">
        <v>2019</v>
      </c>
      <c r="B1239" t="inlineStr">
        <is>
          <t>GS91200</t>
        </is>
      </c>
      <c r="C1239" t="inlineStr">
        <is>
          <t>Other provincial and territorial government services</t>
        </is>
      </c>
      <c r="D1239" t="n">
        <v>1382</v>
      </c>
      <c r="E1239">
        <f>IFERROR(VLOOKUP(B1239,Crosswalk!$A$2:$C$125,3,FALSE),"Unmapped")</f>
        <v/>
      </c>
    </row>
    <row r="1240">
      <c r="A1240" t="n">
        <v>2019</v>
      </c>
      <c r="B1240" t="inlineStr">
        <is>
          <t>GS91300</t>
        </is>
      </c>
      <c r="C1240" t="inlineStr">
        <is>
          <t>Other municipal government services</t>
        </is>
      </c>
      <c r="D1240" t="n">
        <v>7089</v>
      </c>
      <c r="E1240">
        <f>IFERROR(VLOOKUP(B1240,Crosswalk!$A$2:$C$125,3,FALSE),"Unmapped")</f>
        <v/>
      </c>
    </row>
    <row r="1241">
      <c r="A1241" t="n">
        <v>2019</v>
      </c>
      <c r="B1241" t="inlineStr">
        <is>
          <t>GS91400</t>
        </is>
      </c>
      <c r="C1241" t="inlineStr">
        <is>
          <t>Other Indigenous government services</t>
        </is>
      </c>
      <c r="D1241" t="n">
        <v>949</v>
      </c>
      <c r="E1241">
        <f>IFERROR(VLOOKUP(B1241,Crosswalk!$A$2:$C$125,3,FALSE),"Unmapped")</f>
        <v/>
      </c>
    </row>
    <row r="1242">
      <c r="A1242" t="n">
        <v>2019</v>
      </c>
      <c r="B1242" t="inlineStr">
        <is>
          <t>NP61000</t>
        </is>
      </c>
      <c r="C1242" t="inlineStr">
        <is>
          <t>Non-profit education services</t>
        </is>
      </c>
      <c r="D1242" t="n">
        <v>925</v>
      </c>
      <c r="E1242">
        <f>IFERROR(VLOOKUP(B1242,Crosswalk!$A$2:$C$125,3,FALSE),"Unmapped")</f>
        <v/>
      </c>
    </row>
    <row r="1243">
      <c r="A1243" t="n">
        <v>2019</v>
      </c>
      <c r="B1243" t="inlineStr">
        <is>
          <t>NP62400</t>
        </is>
      </c>
      <c r="C1243" t="inlineStr">
        <is>
          <t>Non-profit social assistance</t>
        </is>
      </c>
      <c r="D1243" t="n">
        <v>277</v>
      </c>
      <c r="E1243">
        <f>IFERROR(VLOOKUP(B1243,Crosswalk!$A$2:$C$125,3,FALSE),"Unmapped")</f>
        <v/>
      </c>
    </row>
    <row r="1244">
      <c r="A1244" t="n">
        <v>2019</v>
      </c>
      <c r="B1244" t="inlineStr">
        <is>
          <t>NP71000</t>
        </is>
      </c>
      <c r="C1244" t="inlineStr">
        <is>
          <t>Non-profit arts, entertainment and recreation</t>
        </is>
      </c>
      <c r="D1244" t="n">
        <v>262</v>
      </c>
      <c r="E1244">
        <f>IFERROR(VLOOKUP(B1244,Crosswalk!$A$2:$C$125,3,FALSE),"Unmapped")</f>
        <v/>
      </c>
    </row>
    <row r="1245">
      <c r="A1245" t="n">
        <v>2019</v>
      </c>
      <c r="B1245" t="inlineStr">
        <is>
          <t>NP81310</t>
        </is>
      </c>
      <c r="C1245" t="inlineStr">
        <is>
          <t>Religious organizations</t>
        </is>
      </c>
      <c r="D1245" t="n">
        <v>494</v>
      </c>
      <c r="E1245">
        <f>IFERROR(VLOOKUP(B1245,Crosswalk!$A$2:$C$125,3,FALSE),"Unmapped")</f>
        <v/>
      </c>
    </row>
    <row r="1246">
      <c r="A1246" t="n">
        <v>2019</v>
      </c>
      <c r="B1246" t="inlineStr">
        <is>
          <t>NPA0000</t>
        </is>
      </c>
      <c r="C1246" t="inlineStr">
        <is>
          <t>Miscellaneous non-profit institutions serving households</t>
        </is>
      </c>
      <c r="D1246" t="n">
        <v>1483</v>
      </c>
      <c r="E1246">
        <f>IFERROR(VLOOKUP(B1246,Crosswalk!$A$2:$C$125,3,FALSE),"Unmapped")</f>
        <v/>
      </c>
    </row>
    <row r="1247">
      <c r="A1247" t="n">
        <v>2020</v>
      </c>
      <c r="B1247" t="inlineStr">
        <is>
          <t>BS111CL</t>
        </is>
      </c>
      <c r="C1247" t="inlineStr">
        <is>
          <t>Cannabis production (licensed)</t>
        </is>
      </c>
      <c r="D1247" t="n">
        <v>1076</v>
      </c>
      <c r="E1247">
        <f>IFERROR(VLOOKUP(B1247,Crosswalk!$A$2:$C$125,3,FALSE),"Unmapped")</f>
        <v/>
      </c>
    </row>
    <row r="1248">
      <c r="A1248" t="n">
        <v>2020</v>
      </c>
      <c r="B1248" t="inlineStr">
        <is>
          <t>BS111CU</t>
        </is>
      </c>
      <c r="C1248" t="inlineStr">
        <is>
          <t>Cannabis production (unlicensed)</t>
        </is>
      </c>
      <c r="D1248" t="n">
        <v>66</v>
      </c>
      <c r="E1248">
        <f>IFERROR(VLOOKUP(B1248,Crosswalk!$A$2:$C$125,3,FALSE),"Unmapped")</f>
        <v/>
      </c>
    </row>
    <row r="1249">
      <c r="A1249" t="n">
        <v>2020</v>
      </c>
      <c r="B1249" t="inlineStr">
        <is>
          <t>BS11300</t>
        </is>
      </c>
      <c r="C1249" t="inlineStr">
        <is>
          <t>Forestry and logging</t>
        </is>
      </c>
      <c r="D1249" t="n">
        <v>6131</v>
      </c>
      <c r="E1249">
        <f>IFERROR(VLOOKUP(B1249,Crosswalk!$A$2:$C$125,3,FALSE),"Unmapped")</f>
        <v/>
      </c>
    </row>
    <row r="1250">
      <c r="A1250" t="n">
        <v>2020</v>
      </c>
      <c r="B1250" t="inlineStr">
        <is>
          <t>BS11400</t>
        </is>
      </c>
      <c r="C1250" t="inlineStr">
        <is>
          <t>Fishing, hunting and trapping</t>
        </is>
      </c>
      <c r="D1250" t="n">
        <v>975</v>
      </c>
      <c r="E1250">
        <f>IFERROR(VLOOKUP(B1250,Crosswalk!$A$2:$C$125,3,FALSE),"Unmapped")</f>
        <v/>
      </c>
    </row>
    <row r="1251">
      <c r="A1251" t="n">
        <v>2020</v>
      </c>
      <c r="B1251" t="inlineStr">
        <is>
          <t>BS11500</t>
        </is>
      </c>
      <c r="C1251" t="inlineStr">
        <is>
          <t>Support activities for agriculture and forestry</t>
        </is>
      </c>
      <c r="D1251" t="n">
        <v>817</v>
      </c>
      <c r="E1251">
        <f>IFERROR(VLOOKUP(B1251,Crosswalk!$A$2:$C$125,3,FALSE),"Unmapped")</f>
        <v/>
      </c>
    </row>
    <row r="1252">
      <c r="A1252" t="n">
        <v>2020</v>
      </c>
      <c r="B1252" t="inlineStr">
        <is>
          <t>BS11B00</t>
        </is>
      </c>
      <c r="C1252" t="inlineStr">
        <is>
          <t>Crop and animal production (except cannabis)</t>
        </is>
      </c>
      <c r="D1252" t="n">
        <v>71928</v>
      </c>
      <c r="E1252">
        <f>IFERROR(VLOOKUP(B1252,Crosswalk!$A$2:$C$125,3,FALSE),"Unmapped")</f>
        <v/>
      </c>
    </row>
    <row r="1253">
      <c r="A1253" t="n">
        <v>2020</v>
      </c>
      <c r="B1253" t="inlineStr">
        <is>
          <t>BS21100</t>
        </is>
      </c>
      <c r="C1253" t="inlineStr">
        <is>
          <t>Oil and gas extraction</t>
        </is>
      </c>
      <c r="D1253" t="n">
        <v>182128</v>
      </c>
      <c r="E1253">
        <f>IFERROR(VLOOKUP(B1253,Crosswalk!$A$2:$C$125,3,FALSE),"Unmapped")</f>
        <v/>
      </c>
    </row>
    <row r="1254">
      <c r="A1254" t="n">
        <v>2020</v>
      </c>
      <c r="B1254" t="inlineStr">
        <is>
          <t>BS21210</t>
        </is>
      </c>
      <c r="C1254" t="inlineStr">
        <is>
          <t>Coal mining</t>
        </is>
      </c>
      <c r="D1254" t="n">
        <v>3935</v>
      </c>
      <c r="E1254">
        <f>IFERROR(VLOOKUP(B1254,Crosswalk!$A$2:$C$125,3,FALSE),"Unmapped")</f>
        <v/>
      </c>
    </row>
    <row r="1255">
      <c r="A1255" t="n">
        <v>2020</v>
      </c>
      <c r="B1255" t="inlineStr">
        <is>
          <t>BS21220</t>
        </is>
      </c>
      <c r="C1255" t="inlineStr">
        <is>
          <t>Metal ore mining</t>
        </is>
      </c>
      <c r="D1255" t="n">
        <v>4764</v>
      </c>
      <c r="E1255">
        <f>IFERROR(VLOOKUP(B1255,Crosswalk!$A$2:$C$125,3,FALSE),"Unmapped")</f>
        <v/>
      </c>
    </row>
    <row r="1256">
      <c r="A1256" t="n">
        <v>2020</v>
      </c>
      <c r="B1256" t="inlineStr">
        <is>
          <t>BS21230</t>
        </is>
      </c>
      <c r="C1256" t="inlineStr">
        <is>
          <t>Non-metallic mineral mining and quarrying</t>
        </is>
      </c>
      <c r="D1256" t="n">
        <v>3844</v>
      </c>
      <c r="E1256">
        <f>IFERROR(VLOOKUP(B1256,Crosswalk!$A$2:$C$125,3,FALSE),"Unmapped")</f>
        <v/>
      </c>
    </row>
    <row r="1257">
      <c r="A1257" t="n">
        <v>2020</v>
      </c>
      <c r="B1257" t="inlineStr">
        <is>
          <t>BS21300</t>
        </is>
      </c>
      <c r="C1257" t="inlineStr">
        <is>
          <t>Support activities for mining and oil and gas extraction</t>
        </is>
      </c>
      <c r="D1257" t="n">
        <v>5405</v>
      </c>
      <c r="E1257">
        <f>IFERROR(VLOOKUP(B1257,Crosswalk!$A$2:$C$125,3,FALSE),"Unmapped")</f>
        <v/>
      </c>
    </row>
    <row r="1258">
      <c r="A1258" t="n">
        <v>2020</v>
      </c>
      <c r="B1258" t="inlineStr">
        <is>
          <t>BS22110</t>
        </is>
      </c>
      <c r="C1258" t="inlineStr">
        <is>
          <t>Electric power generation, transmission and distribution</t>
        </is>
      </c>
      <c r="D1258" t="n">
        <v>63261</v>
      </c>
      <c r="E1258">
        <f>IFERROR(VLOOKUP(B1258,Crosswalk!$A$2:$C$125,3,FALSE),"Unmapped")</f>
        <v/>
      </c>
    </row>
    <row r="1259">
      <c r="A1259" t="n">
        <v>2020</v>
      </c>
      <c r="B1259" t="inlineStr">
        <is>
          <t>BS221A0</t>
        </is>
      </c>
      <c r="C1259" t="inlineStr">
        <is>
          <t>Natural gas distribution, water, sewage and other systems</t>
        </is>
      </c>
      <c r="D1259" t="n">
        <v>2629</v>
      </c>
      <c r="E1259">
        <f>IFERROR(VLOOKUP(B1259,Crosswalk!$A$2:$C$125,3,FALSE),"Unmapped")</f>
        <v/>
      </c>
    </row>
    <row r="1260">
      <c r="A1260" t="n">
        <v>2020</v>
      </c>
      <c r="B1260" t="inlineStr">
        <is>
          <t>BS23A00</t>
        </is>
      </c>
      <c r="C1260" t="inlineStr">
        <is>
          <t>Residential building construction</t>
        </is>
      </c>
      <c r="D1260" t="n">
        <v>2075</v>
      </c>
      <c r="E1260">
        <f>IFERROR(VLOOKUP(B1260,Crosswalk!$A$2:$C$125,3,FALSE),"Unmapped")</f>
        <v/>
      </c>
    </row>
    <row r="1261">
      <c r="A1261" t="n">
        <v>2020</v>
      </c>
      <c r="B1261" t="inlineStr">
        <is>
          <t>BS23B00</t>
        </is>
      </c>
      <c r="C1261" t="inlineStr">
        <is>
          <t>Non-residential building construction</t>
        </is>
      </c>
      <c r="D1261" t="n">
        <v>475</v>
      </c>
      <c r="E1261">
        <f>IFERROR(VLOOKUP(B1261,Crosswalk!$A$2:$C$125,3,FALSE),"Unmapped")</f>
        <v/>
      </c>
    </row>
    <row r="1262">
      <c r="A1262" t="n">
        <v>2020</v>
      </c>
      <c r="B1262" t="inlineStr">
        <is>
          <t>BS23C10</t>
        </is>
      </c>
      <c r="C1262" t="inlineStr">
        <is>
          <t>Transportation engineering construction</t>
        </is>
      </c>
      <c r="D1262" t="n">
        <v>1191</v>
      </c>
      <c r="E1262">
        <f>IFERROR(VLOOKUP(B1262,Crosswalk!$A$2:$C$125,3,FALSE),"Unmapped")</f>
        <v/>
      </c>
    </row>
    <row r="1263">
      <c r="A1263" t="n">
        <v>2020</v>
      </c>
      <c r="B1263" t="inlineStr">
        <is>
          <t>BS23C20</t>
        </is>
      </c>
      <c r="C1263" t="inlineStr">
        <is>
          <t>Oil and gas engineering construction</t>
        </is>
      </c>
      <c r="D1263" t="n">
        <v>979</v>
      </c>
      <c r="E1263">
        <f>IFERROR(VLOOKUP(B1263,Crosswalk!$A$2:$C$125,3,FALSE),"Unmapped")</f>
        <v/>
      </c>
    </row>
    <row r="1264">
      <c r="A1264" t="n">
        <v>2020</v>
      </c>
      <c r="B1264" t="inlineStr">
        <is>
          <t>BS23C30</t>
        </is>
      </c>
      <c r="C1264" t="inlineStr">
        <is>
          <t>Electric power engineering construction</t>
        </is>
      </c>
      <c r="D1264" t="n">
        <v>713</v>
      </c>
      <c r="E1264">
        <f>IFERROR(VLOOKUP(B1264,Crosswalk!$A$2:$C$125,3,FALSE),"Unmapped")</f>
        <v/>
      </c>
    </row>
    <row r="1265">
      <c r="A1265" t="n">
        <v>2020</v>
      </c>
      <c r="B1265" t="inlineStr">
        <is>
          <t>BS23C40</t>
        </is>
      </c>
      <c r="C1265" t="inlineStr">
        <is>
          <t>Communication engineering construction</t>
        </is>
      </c>
      <c r="D1265" t="n">
        <v>300</v>
      </c>
      <c r="E1265">
        <f>IFERROR(VLOOKUP(B1265,Crosswalk!$A$2:$C$125,3,FALSE),"Unmapped")</f>
        <v/>
      </c>
    </row>
    <row r="1266">
      <c r="A1266" t="n">
        <v>2020</v>
      </c>
      <c r="B1266" t="inlineStr">
        <is>
          <t>BS23C50</t>
        </is>
      </c>
      <c r="C1266" t="inlineStr">
        <is>
          <t>Other engineering construction</t>
        </is>
      </c>
      <c r="D1266" t="n">
        <v>1082</v>
      </c>
      <c r="E1266">
        <f>IFERROR(VLOOKUP(B1266,Crosswalk!$A$2:$C$125,3,FALSE),"Unmapped")</f>
        <v/>
      </c>
    </row>
    <row r="1267">
      <c r="A1267" t="n">
        <v>2020</v>
      </c>
      <c r="B1267" t="inlineStr">
        <is>
          <t>BS23D00</t>
        </is>
      </c>
      <c r="C1267" t="inlineStr">
        <is>
          <t>Repair construction</t>
        </is>
      </c>
      <c r="D1267" t="n">
        <v>753</v>
      </c>
      <c r="E1267">
        <f>IFERROR(VLOOKUP(B1267,Crosswalk!$A$2:$C$125,3,FALSE),"Unmapped")</f>
        <v/>
      </c>
    </row>
    <row r="1268">
      <c r="A1268" t="n">
        <v>2020</v>
      </c>
      <c r="B1268" t="inlineStr">
        <is>
          <t>BS23E00</t>
        </is>
      </c>
      <c r="C1268" t="inlineStr">
        <is>
          <t>Other activities of the construction industry</t>
        </is>
      </c>
      <c r="D1268" t="n">
        <v>629</v>
      </c>
      <c r="E1268">
        <f>IFERROR(VLOOKUP(B1268,Crosswalk!$A$2:$C$125,3,FALSE),"Unmapped")</f>
        <v/>
      </c>
    </row>
    <row r="1269">
      <c r="A1269" t="n">
        <v>2020</v>
      </c>
      <c r="B1269" t="inlineStr">
        <is>
          <t>BS31110</t>
        </is>
      </c>
      <c r="C1269" t="inlineStr">
        <is>
          <t>Animal food manufacturing</t>
        </is>
      </c>
      <c r="D1269" t="n">
        <v>433</v>
      </c>
      <c r="E1269">
        <f>IFERROR(VLOOKUP(B1269,Crosswalk!$A$2:$C$125,3,FALSE),"Unmapped")</f>
        <v/>
      </c>
    </row>
    <row r="1270">
      <c r="A1270" t="n">
        <v>2020</v>
      </c>
      <c r="B1270" t="inlineStr">
        <is>
          <t>BS31130</t>
        </is>
      </c>
      <c r="C1270" t="inlineStr">
        <is>
          <t>Sugar and confectionery product manufacturing</t>
        </is>
      </c>
      <c r="D1270" t="n">
        <v>410</v>
      </c>
      <c r="E1270">
        <f>IFERROR(VLOOKUP(B1270,Crosswalk!$A$2:$C$125,3,FALSE),"Unmapped")</f>
        <v/>
      </c>
    </row>
    <row r="1271">
      <c r="A1271" t="n">
        <v>2020</v>
      </c>
      <c r="B1271" t="inlineStr">
        <is>
          <t>BS31140</t>
        </is>
      </c>
      <c r="C1271" t="inlineStr">
        <is>
          <t>Fruit and vegetable preserving and specialty food manufacturing</t>
        </is>
      </c>
      <c r="D1271" t="n">
        <v>500</v>
      </c>
      <c r="E1271">
        <f>IFERROR(VLOOKUP(B1271,Crosswalk!$A$2:$C$125,3,FALSE),"Unmapped")</f>
        <v/>
      </c>
    </row>
    <row r="1272">
      <c r="A1272" t="n">
        <v>2020</v>
      </c>
      <c r="B1272" t="inlineStr">
        <is>
          <t>BS31150</t>
        </is>
      </c>
      <c r="C1272" t="inlineStr">
        <is>
          <t>Dairy product manufacturing</t>
        </is>
      </c>
      <c r="D1272" t="n">
        <v>507</v>
      </c>
      <c r="E1272">
        <f>IFERROR(VLOOKUP(B1272,Crosswalk!$A$2:$C$125,3,FALSE),"Unmapped")</f>
        <v/>
      </c>
    </row>
    <row r="1273">
      <c r="A1273" t="n">
        <v>2020</v>
      </c>
      <c r="B1273" t="inlineStr">
        <is>
          <t>BS31160</t>
        </is>
      </c>
      <c r="C1273" t="inlineStr">
        <is>
          <t>Meat product manufacturing</t>
        </is>
      </c>
      <c r="D1273" t="n">
        <v>1142</v>
      </c>
      <c r="E1273">
        <f>IFERROR(VLOOKUP(B1273,Crosswalk!$A$2:$C$125,3,FALSE),"Unmapped")</f>
        <v/>
      </c>
    </row>
    <row r="1274">
      <c r="A1274" t="n">
        <v>2020</v>
      </c>
      <c r="B1274" t="inlineStr">
        <is>
          <t>BS31170</t>
        </is>
      </c>
      <c r="C1274" t="inlineStr">
        <is>
          <t>Seafood product preparation and packaging</t>
        </is>
      </c>
      <c r="D1274" t="n">
        <v>113</v>
      </c>
      <c r="E1274">
        <f>IFERROR(VLOOKUP(B1274,Crosswalk!$A$2:$C$125,3,FALSE),"Unmapped")</f>
        <v/>
      </c>
    </row>
    <row r="1275">
      <c r="A1275" t="n">
        <v>2020</v>
      </c>
      <c r="B1275" t="inlineStr">
        <is>
          <t>BS311A0</t>
        </is>
      </c>
      <c r="C1275" t="inlineStr">
        <is>
          <t>Miscellaneous food manufacturing</t>
        </is>
      </c>
      <c r="D1275" t="n">
        <v>2097</v>
      </c>
      <c r="E1275">
        <f>IFERROR(VLOOKUP(B1275,Crosswalk!$A$2:$C$125,3,FALSE),"Unmapped")</f>
        <v/>
      </c>
    </row>
    <row r="1276">
      <c r="A1276" t="n">
        <v>2020</v>
      </c>
      <c r="B1276" t="inlineStr">
        <is>
          <t>BS31211</t>
        </is>
      </c>
      <c r="C1276" t="inlineStr">
        <is>
          <t>Soft drink and ice manufacturing</t>
        </is>
      </c>
      <c r="D1276" t="n">
        <v>127</v>
      </c>
      <c r="E1276">
        <f>IFERROR(VLOOKUP(B1276,Crosswalk!$A$2:$C$125,3,FALSE),"Unmapped")</f>
        <v/>
      </c>
    </row>
    <row r="1277">
      <c r="A1277" t="n">
        <v>2020</v>
      </c>
      <c r="B1277" t="inlineStr">
        <is>
          <t>BS31212</t>
        </is>
      </c>
      <c r="C1277" t="inlineStr">
        <is>
          <t>Breweries</t>
        </is>
      </c>
      <c r="D1277" t="n">
        <v>453</v>
      </c>
      <c r="E1277">
        <f>IFERROR(VLOOKUP(B1277,Crosswalk!$A$2:$C$125,3,FALSE),"Unmapped")</f>
        <v/>
      </c>
    </row>
    <row r="1278">
      <c r="A1278" t="n">
        <v>2020</v>
      </c>
      <c r="B1278" t="inlineStr">
        <is>
          <t>BS3121A</t>
        </is>
      </c>
      <c r="C1278" t="inlineStr">
        <is>
          <t>Wineries and distilleries</t>
        </is>
      </c>
      <c r="D1278" t="n">
        <v>221</v>
      </c>
      <c r="E1278">
        <f>IFERROR(VLOOKUP(B1278,Crosswalk!$A$2:$C$125,3,FALSE),"Unmapped")</f>
        <v/>
      </c>
    </row>
    <row r="1279">
      <c r="A1279" t="n">
        <v>2020</v>
      </c>
      <c r="B1279" t="inlineStr">
        <is>
          <t>BS31220</t>
        </is>
      </c>
      <c r="C1279" t="inlineStr">
        <is>
          <t>Tobacco manufacturing</t>
        </is>
      </c>
      <c r="D1279" t="n">
        <v>23</v>
      </c>
      <c r="E1279">
        <f>IFERROR(VLOOKUP(B1279,Crosswalk!$A$2:$C$125,3,FALSE),"Unmapped")</f>
        <v/>
      </c>
    </row>
    <row r="1280">
      <c r="A1280" t="n">
        <v>2020</v>
      </c>
      <c r="B1280" t="inlineStr">
        <is>
          <t>BS31A00</t>
        </is>
      </c>
      <c r="C1280" t="inlineStr">
        <is>
          <t>Textile and textile product mills</t>
        </is>
      </c>
      <c r="D1280" t="n">
        <v>159</v>
      </c>
      <c r="E1280">
        <f>IFERROR(VLOOKUP(B1280,Crosswalk!$A$2:$C$125,3,FALSE),"Unmapped")</f>
        <v/>
      </c>
    </row>
    <row r="1281">
      <c r="A1281" t="n">
        <v>2020</v>
      </c>
      <c r="B1281" t="inlineStr">
        <is>
          <t>BS31B00</t>
        </is>
      </c>
      <c r="C1281" t="inlineStr">
        <is>
          <t>Clothing and leather and allied product manufacturing</t>
        </is>
      </c>
      <c r="D1281" t="n">
        <v>46</v>
      </c>
      <c r="E1281">
        <f>IFERROR(VLOOKUP(B1281,Crosswalk!$A$2:$C$125,3,FALSE),"Unmapped")</f>
        <v/>
      </c>
    </row>
    <row r="1282">
      <c r="A1282" t="n">
        <v>2020</v>
      </c>
      <c r="B1282" t="inlineStr">
        <is>
          <t>BS32100</t>
        </is>
      </c>
      <c r="C1282" t="inlineStr">
        <is>
          <t>Wood product manufacturing</t>
        </is>
      </c>
      <c r="D1282" t="n">
        <v>9855</v>
      </c>
      <c r="E1282">
        <f>IFERROR(VLOOKUP(B1282,Crosswalk!$A$2:$C$125,3,FALSE),"Unmapped")</f>
        <v/>
      </c>
    </row>
    <row r="1283">
      <c r="A1283" t="n">
        <v>2020</v>
      </c>
      <c r="B1283" t="inlineStr">
        <is>
          <t>BS32210</t>
        </is>
      </c>
      <c r="C1283" t="inlineStr">
        <is>
          <t>Pulp, paper and paperboard mills</t>
        </is>
      </c>
      <c r="D1283" t="n">
        <v>35779</v>
      </c>
      <c r="E1283">
        <f>IFERROR(VLOOKUP(B1283,Crosswalk!$A$2:$C$125,3,FALSE),"Unmapped")</f>
        <v/>
      </c>
    </row>
    <row r="1284">
      <c r="A1284" t="n">
        <v>2020</v>
      </c>
      <c r="B1284" t="inlineStr">
        <is>
          <t>BS32220</t>
        </is>
      </c>
      <c r="C1284" t="inlineStr">
        <is>
          <t>Converted paper product manufacturing</t>
        </is>
      </c>
      <c r="D1284" t="n">
        <v>580</v>
      </c>
      <c r="E1284">
        <f>IFERROR(VLOOKUP(B1284,Crosswalk!$A$2:$C$125,3,FALSE),"Unmapped")</f>
        <v/>
      </c>
    </row>
    <row r="1285">
      <c r="A1285" t="n">
        <v>2020</v>
      </c>
      <c r="B1285" t="inlineStr">
        <is>
          <t>BS32300</t>
        </is>
      </c>
      <c r="C1285" t="inlineStr">
        <is>
          <t>Printing and related support activities</t>
        </is>
      </c>
      <c r="D1285" t="n">
        <v>221</v>
      </c>
      <c r="E1285">
        <f>IFERROR(VLOOKUP(B1285,Crosswalk!$A$2:$C$125,3,FALSE),"Unmapped")</f>
        <v/>
      </c>
    </row>
    <row r="1286">
      <c r="A1286" t="n">
        <v>2020</v>
      </c>
      <c r="B1286" t="inlineStr">
        <is>
          <t>BS32400</t>
        </is>
      </c>
      <c r="C1286" t="inlineStr">
        <is>
          <t>Petroleum and coal product manufacturing</t>
        </is>
      </c>
      <c r="D1286" t="n">
        <v>19256</v>
      </c>
      <c r="E1286">
        <f>IFERROR(VLOOKUP(B1286,Crosswalk!$A$2:$C$125,3,FALSE),"Unmapped")</f>
        <v/>
      </c>
    </row>
    <row r="1287">
      <c r="A1287" t="n">
        <v>2020</v>
      </c>
      <c r="B1287" t="inlineStr">
        <is>
          <t>BS32510</t>
        </is>
      </c>
      <c r="C1287" t="inlineStr">
        <is>
          <t>Basic chemical manufacturing</t>
        </is>
      </c>
      <c r="D1287" t="n">
        <v>11791</v>
      </c>
      <c r="E1287">
        <f>IFERROR(VLOOKUP(B1287,Crosswalk!$A$2:$C$125,3,FALSE),"Unmapped")</f>
        <v/>
      </c>
    </row>
    <row r="1288">
      <c r="A1288" t="n">
        <v>2020</v>
      </c>
      <c r="B1288" t="inlineStr">
        <is>
          <t>BS32530</t>
        </is>
      </c>
      <c r="C1288" t="inlineStr">
        <is>
          <t>Pesticide, fertilizer and other agricultural chemical manufacturing</t>
        </is>
      </c>
      <c r="D1288" t="n">
        <v>5286</v>
      </c>
      <c r="E1288">
        <f>IFERROR(VLOOKUP(B1288,Crosswalk!$A$2:$C$125,3,FALSE),"Unmapped")</f>
        <v/>
      </c>
    </row>
    <row r="1289">
      <c r="A1289" t="n">
        <v>2020</v>
      </c>
      <c r="B1289" t="inlineStr">
        <is>
          <t>BS32540</t>
        </is>
      </c>
      <c r="C1289" t="inlineStr">
        <is>
          <t>Pharmaceutical and medicine manufacturing</t>
        </is>
      </c>
      <c r="D1289" t="n">
        <v>269</v>
      </c>
      <c r="E1289">
        <f>IFERROR(VLOOKUP(B1289,Crosswalk!$A$2:$C$125,3,FALSE),"Unmapped")</f>
        <v/>
      </c>
    </row>
    <row r="1290">
      <c r="A1290" t="n">
        <v>2020</v>
      </c>
      <c r="B1290" t="inlineStr">
        <is>
          <t>BS325C0</t>
        </is>
      </c>
      <c r="C1290" t="inlineStr">
        <is>
          <t>Miscellaneous chemical product manufacturing</t>
        </is>
      </c>
      <c r="D1290" t="n">
        <v>1430</v>
      </c>
      <c r="E1290">
        <f>IFERROR(VLOOKUP(B1290,Crosswalk!$A$2:$C$125,3,FALSE),"Unmapped")</f>
        <v/>
      </c>
    </row>
    <row r="1291">
      <c r="A1291" t="n">
        <v>2020</v>
      </c>
      <c r="B1291" t="inlineStr">
        <is>
          <t>BS32610</t>
        </is>
      </c>
      <c r="C1291" t="inlineStr">
        <is>
          <t>Plastic product manufacturing</t>
        </is>
      </c>
      <c r="D1291" t="n">
        <v>658</v>
      </c>
      <c r="E1291">
        <f>IFERROR(VLOOKUP(B1291,Crosswalk!$A$2:$C$125,3,FALSE),"Unmapped")</f>
        <v/>
      </c>
    </row>
    <row r="1292">
      <c r="A1292" t="n">
        <v>2020</v>
      </c>
      <c r="B1292" t="inlineStr">
        <is>
          <t>BS32620</t>
        </is>
      </c>
      <c r="C1292" t="inlineStr">
        <is>
          <t>Rubber product manufacturing</t>
        </is>
      </c>
      <c r="D1292" t="n">
        <v>179</v>
      </c>
      <c r="E1292">
        <f>IFERROR(VLOOKUP(B1292,Crosswalk!$A$2:$C$125,3,FALSE),"Unmapped")</f>
        <v/>
      </c>
    </row>
    <row r="1293">
      <c r="A1293" t="n">
        <v>2020</v>
      </c>
      <c r="B1293" t="inlineStr">
        <is>
          <t>BS32730</t>
        </is>
      </c>
      <c r="C1293" t="inlineStr">
        <is>
          <t>Cement and concrete product manufacturing</t>
        </is>
      </c>
      <c r="D1293" t="n">
        <v>10848</v>
      </c>
      <c r="E1293">
        <f>IFERROR(VLOOKUP(B1293,Crosswalk!$A$2:$C$125,3,FALSE),"Unmapped")</f>
        <v/>
      </c>
    </row>
    <row r="1294">
      <c r="A1294" t="n">
        <v>2020</v>
      </c>
      <c r="B1294" t="inlineStr">
        <is>
          <t>BS327A0</t>
        </is>
      </c>
      <c r="C1294" t="inlineStr">
        <is>
          <t>Non-metallic mineral product manufacturing (except cement and concrete products)</t>
        </is>
      </c>
      <c r="D1294" t="n">
        <v>2265</v>
      </c>
      <c r="E1294">
        <f>IFERROR(VLOOKUP(B1294,Crosswalk!$A$2:$C$125,3,FALSE),"Unmapped")</f>
        <v/>
      </c>
    </row>
    <row r="1295">
      <c r="A1295" t="n">
        <v>2020</v>
      </c>
      <c r="B1295" t="inlineStr">
        <is>
          <t>BS33100</t>
        </is>
      </c>
      <c r="C1295" t="inlineStr">
        <is>
          <t>Primary metal manufacturing</t>
        </is>
      </c>
      <c r="D1295" t="n">
        <v>21818</v>
      </c>
      <c r="E1295">
        <f>IFERROR(VLOOKUP(B1295,Crosswalk!$A$2:$C$125,3,FALSE),"Unmapped")</f>
        <v/>
      </c>
    </row>
    <row r="1296">
      <c r="A1296" t="n">
        <v>2020</v>
      </c>
      <c r="B1296" t="inlineStr">
        <is>
          <t>BS33200</t>
        </is>
      </c>
      <c r="C1296" t="inlineStr">
        <is>
          <t>Fabricated metal product manufacturing</t>
        </is>
      </c>
      <c r="D1296" t="n">
        <v>1596</v>
      </c>
      <c r="E1296">
        <f>IFERROR(VLOOKUP(B1296,Crosswalk!$A$2:$C$125,3,FALSE),"Unmapped")</f>
        <v/>
      </c>
    </row>
    <row r="1297">
      <c r="A1297" t="n">
        <v>2020</v>
      </c>
      <c r="B1297" t="inlineStr">
        <is>
          <t>BS33300</t>
        </is>
      </c>
      <c r="C1297" t="inlineStr">
        <is>
          <t>Machinery manufacturing</t>
        </is>
      </c>
      <c r="D1297" t="n">
        <v>760</v>
      </c>
      <c r="E1297">
        <f>IFERROR(VLOOKUP(B1297,Crosswalk!$A$2:$C$125,3,FALSE),"Unmapped")</f>
        <v/>
      </c>
    </row>
    <row r="1298">
      <c r="A1298" t="n">
        <v>2020</v>
      </c>
      <c r="B1298" t="inlineStr">
        <is>
          <t>BS33410</t>
        </is>
      </c>
      <c r="C1298" t="inlineStr">
        <is>
          <t>Computer and peripheral equipment manufacturing</t>
        </is>
      </c>
      <c r="D1298" t="n">
        <v>9</v>
      </c>
      <c r="E1298">
        <f>IFERROR(VLOOKUP(B1298,Crosswalk!$A$2:$C$125,3,FALSE),"Unmapped")</f>
        <v/>
      </c>
    </row>
    <row r="1299">
      <c r="A1299" t="n">
        <v>2020</v>
      </c>
      <c r="B1299" t="inlineStr">
        <is>
          <t>BS334B0</t>
        </is>
      </c>
      <c r="C1299" t="inlineStr">
        <is>
          <t>Electronic product manufacturing</t>
        </is>
      </c>
      <c r="D1299" t="n">
        <v>105</v>
      </c>
      <c r="E1299">
        <f>IFERROR(VLOOKUP(B1299,Crosswalk!$A$2:$C$125,3,FALSE),"Unmapped")</f>
        <v/>
      </c>
    </row>
    <row r="1300">
      <c r="A1300" t="n">
        <v>2020</v>
      </c>
      <c r="B1300" t="inlineStr">
        <is>
          <t>BS33520</t>
        </is>
      </c>
      <c r="C1300" t="inlineStr">
        <is>
          <t>Household appliance manufacturing</t>
        </is>
      </c>
      <c r="D1300" t="n">
        <v>20</v>
      </c>
      <c r="E1300">
        <f>IFERROR(VLOOKUP(B1300,Crosswalk!$A$2:$C$125,3,FALSE),"Unmapped")</f>
        <v/>
      </c>
    </row>
    <row r="1301">
      <c r="A1301" t="n">
        <v>2020</v>
      </c>
      <c r="B1301" t="inlineStr">
        <is>
          <t>BS335A0</t>
        </is>
      </c>
      <c r="C1301" t="inlineStr">
        <is>
          <t>Electrical equipment and component manufacturing</t>
        </is>
      </c>
      <c r="D1301" t="n">
        <v>118</v>
      </c>
      <c r="E1301">
        <f>IFERROR(VLOOKUP(B1301,Crosswalk!$A$2:$C$125,3,FALSE),"Unmapped")</f>
        <v/>
      </c>
    </row>
    <row r="1302">
      <c r="A1302" t="n">
        <v>2020</v>
      </c>
      <c r="B1302" t="inlineStr">
        <is>
          <t>BS33610</t>
        </is>
      </c>
      <c r="C1302" t="inlineStr">
        <is>
          <t>Motor vehicle manufacturing</t>
        </is>
      </c>
      <c r="D1302" t="n">
        <v>559</v>
      </c>
      <c r="E1302">
        <f>IFERROR(VLOOKUP(B1302,Crosswalk!$A$2:$C$125,3,FALSE),"Unmapped")</f>
        <v/>
      </c>
    </row>
    <row r="1303">
      <c r="A1303" t="n">
        <v>2020</v>
      </c>
      <c r="B1303" t="inlineStr">
        <is>
          <t>BS33620</t>
        </is>
      </c>
      <c r="C1303" t="inlineStr">
        <is>
          <t>Motor vehicle body and trailer manufacturing</t>
        </is>
      </c>
      <c r="D1303" t="n">
        <v>64</v>
      </c>
      <c r="E1303">
        <f>IFERROR(VLOOKUP(B1303,Crosswalk!$A$2:$C$125,3,FALSE),"Unmapped")</f>
        <v/>
      </c>
    </row>
    <row r="1304">
      <c r="A1304" t="n">
        <v>2020</v>
      </c>
      <c r="B1304" t="inlineStr">
        <is>
          <t>BS33630</t>
        </is>
      </c>
      <c r="C1304" t="inlineStr">
        <is>
          <t>Motor vehicle parts manufacturing</t>
        </is>
      </c>
      <c r="D1304" t="n">
        <v>315</v>
      </c>
      <c r="E1304">
        <f>IFERROR(VLOOKUP(B1304,Crosswalk!$A$2:$C$125,3,FALSE),"Unmapped")</f>
        <v/>
      </c>
    </row>
    <row r="1305">
      <c r="A1305" t="n">
        <v>2020</v>
      </c>
      <c r="B1305" t="inlineStr">
        <is>
          <t>BS33640</t>
        </is>
      </c>
      <c r="C1305" t="inlineStr">
        <is>
          <t>Aerospace product and parts manufacturing</t>
        </is>
      </c>
      <c r="D1305" t="n">
        <v>250</v>
      </c>
      <c r="E1305">
        <f>IFERROR(VLOOKUP(B1305,Crosswalk!$A$2:$C$125,3,FALSE),"Unmapped")</f>
        <v/>
      </c>
    </row>
    <row r="1306">
      <c r="A1306" t="n">
        <v>2020</v>
      </c>
      <c r="B1306" t="inlineStr">
        <is>
          <t>BS33650</t>
        </is>
      </c>
      <c r="C1306" t="inlineStr">
        <is>
          <t>Railroad rolling stock manufacturing</t>
        </is>
      </c>
      <c r="D1306" t="n">
        <v>16</v>
      </c>
      <c r="E1306">
        <f>IFERROR(VLOOKUP(B1306,Crosswalk!$A$2:$C$125,3,FALSE),"Unmapped")</f>
        <v/>
      </c>
    </row>
    <row r="1307">
      <c r="A1307" t="n">
        <v>2020</v>
      </c>
      <c r="B1307" t="inlineStr">
        <is>
          <t>BS33660</t>
        </is>
      </c>
      <c r="C1307" t="inlineStr">
        <is>
          <t>Ship and boat building</t>
        </is>
      </c>
      <c r="D1307" t="n">
        <v>36</v>
      </c>
      <c r="E1307">
        <f>IFERROR(VLOOKUP(B1307,Crosswalk!$A$2:$C$125,3,FALSE),"Unmapped")</f>
        <v/>
      </c>
    </row>
    <row r="1308">
      <c r="A1308" t="n">
        <v>2020</v>
      </c>
      <c r="B1308" t="inlineStr">
        <is>
          <t>BS33690</t>
        </is>
      </c>
      <c r="C1308" t="inlineStr">
        <is>
          <t>Other transportation equipment manufacturing</t>
        </is>
      </c>
      <c r="D1308" t="n">
        <v>45</v>
      </c>
      <c r="E1308">
        <f>IFERROR(VLOOKUP(B1308,Crosswalk!$A$2:$C$125,3,FALSE),"Unmapped")</f>
        <v/>
      </c>
    </row>
    <row r="1309">
      <c r="A1309" t="n">
        <v>2020</v>
      </c>
      <c r="B1309" t="inlineStr">
        <is>
          <t>BS33700</t>
        </is>
      </c>
      <c r="C1309" t="inlineStr">
        <is>
          <t>Furniture and related product manufacturing</t>
        </is>
      </c>
      <c r="D1309" t="n">
        <v>309</v>
      </c>
      <c r="E1309">
        <f>IFERROR(VLOOKUP(B1309,Crosswalk!$A$2:$C$125,3,FALSE),"Unmapped")</f>
        <v/>
      </c>
    </row>
    <row r="1310">
      <c r="A1310" t="n">
        <v>2020</v>
      </c>
      <c r="B1310" t="inlineStr">
        <is>
          <t>BS33900</t>
        </is>
      </c>
      <c r="C1310" t="inlineStr">
        <is>
          <t>Miscellaneous manufacturing</t>
        </is>
      </c>
      <c r="D1310" t="n">
        <v>332</v>
      </c>
      <c r="E1310">
        <f>IFERROR(VLOOKUP(B1310,Crosswalk!$A$2:$C$125,3,FALSE),"Unmapped")</f>
        <v/>
      </c>
    </row>
    <row r="1311">
      <c r="A1311" t="n">
        <v>2020</v>
      </c>
      <c r="B1311" t="inlineStr">
        <is>
          <t>BS41000</t>
        </is>
      </c>
      <c r="C1311" t="inlineStr">
        <is>
          <t>Wholesale trade</t>
        </is>
      </c>
      <c r="D1311" t="n">
        <v>9163</v>
      </c>
      <c r="E1311">
        <f>IFERROR(VLOOKUP(B1311,Crosswalk!$A$2:$C$125,3,FALSE),"Unmapped")</f>
        <v/>
      </c>
    </row>
    <row r="1312">
      <c r="A1312" t="n">
        <v>2020</v>
      </c>
      <c r="B1312" t="inlineStr">
        <is>
          <t>BS453BL</t>
        </is>
      </c>
      <c r="C1312" t="inlineStr">
        <is>
          <t>Cannabis stores (licensed)</t>
        </is>
      </c>
      <c r="D1312" t="n">
        <v>57</v>
      </c>
      <c r="E1312">
        <f>IFERROR(VLOOKUP(B1312,Crosswalk!$A$2:$C$125,3,FALSE),"Unmapped")</f>
        <v/>
      </c>
    </row>
    <row r="1313">
      <c r="A1313" t="n">
        <v>2020</v>
      </c>
      <c r="B1313" t="inlineStr">
        <is>
          <t>BS453BU</t>
        </is>
      </c>
      <c r="C1313" t="inlineStr">
        <is>
          <t>Cannabis stores (unlicensed)</t>
        </is>
      </c>
      <c r="D1313" t="n">
        <v>29</v>
      </c>
      <c r="E1313">
        <f>IFERROR(VLOOKUP(B1313,Crosswalk!$A$2:$C$125,3,FALSE),"Unmapped")</f>
        <v/>
      </c>
    </row>
    <row r="1314">
      <c r="A1314" t="n">
        <v>2020</v>
      </c>
      <c r="B1314" t="inlineStr">
        <is>
          <t>BS48100</t>
        </is>
      </c>
      <c r="C1314" t="inlineStr">
        <is>
          <t>Air transportation</t>
        </is>
      </c>
      <c r="D1314" t="n">
        <v>9527</v>
      </c>
      <c r="E1314">
        <f>IFERROR(VLOOKUP(B1314,Crosswalk!$A$2:$C$125,3,FALSE),"Unmapped")</f>
        <v/>
      </c>
    </row>
    <row r="1315">
      <c r="A1315" t="n">
        <v>2020</v>
      </c>
      <c r="B1315" t="inlineStr">
        <is>
          <t>BS48200</t>
        </is>
      </c>
      <c r="C1315" t="inlineStr">
        <is>
          <t>Rail transportation</t>
        </is>
      </c>
      <c r="D1315" t="n">
        <v>5565</v>
      </c>
      <c r="E1315">
        <f>IFERROR(VLOOKUP(B1315,Crosswalk!$A$2:$C$125,3,FALSE),"Unmapped")</f>
        <v/>
      </c>
    </row>
    <row r="1316">
      <c r="A1316" t="n">
        <v>2020</v>
      </c>
      <c r="B1316" t="inlineStr">
        <is>
          <t>BS48300</t>
        </is>
      </c>
      <c r="C1316" t="inlineStr">
        <is>
          <t>Water transportation</t>
        </is>
      </c>
      <c r="D1316" t="n">
        <v>1855</v>
      </c>
      <c r="E1316">
        <f>IFERROR(VLOOKUP(B1316,Crosswalk!$A$2:$C$125,3,FALSE),"Unmapped")</f>
        <v/>
      </c>
    </row>
    <row r="1317">
      <c r="A1317" t="n">
        <v>2020</v>
      </c>
      <c r="B1317" t="inlineStr">
        <is>
          <t>BS48400</t>
        </is>
      </c>
      <c r="C1317" t="inlineStr">
        <is>
          <t>Truck transportation</t>
        </is>
      </c>
      <c r="D1317" t="n">
        <v>17111</v>
      </c>
      <c r="E1317">
        <f>IFERROR(VLOOKUP(B1317,Crosswalk!$A$2:$C$125,3,FALSE),"Unmapped")</f>
        <v/>
      </c>
    </row>
    <row r="1318">
      <c r="A1318" t="n">
        <v>2020</v>
      </c>
      <c r="B1318" t="inlineStr">
        <is>
          <t>BS48600</t>
        </is>
      </c>
      <c r="C1318" t="inlineStr">
        <is>
          <t>Pipeline transportation</t>
        </is>
      </c>
      <c r="D1318" t="n">
        <v>8314</v>
      </c>
      <c r="E1318">
        <f>IFERROR(VLOOKUP(B1318,Crosswalk!$A$2:$C$125,3,FALSE),"Unmapped")</f>
        <v/>
      </c>
    </row>
    <row r="1319">
      <c r="A1319" t="n">
        <v>2020</v>
      </c>
      <c r="B1319" t="inlineStr">
        <is>
          <t>BS48B00</t>
        </is>
      </c>
      <c r="C1319" t="inlineStr">
        <is>
          <t>Transit, ground passenger and scenic and sightseeing transportation, taxi and limousine service and support activities for transportation</t>
        </is>
      </c>
      <c r="D1319" t="n">
        <v>3723</v>
      </c>
      <c r="E1319">
        <f>IFERROR(VLOOKUP(B1319,Crosswalk!$A$2:$C$125,3,FALSE),"Unmapped")</f>
        <v/>
      </c>
    </row>
    <row r="1320">
      <c r="A1320" t="n">
        <v>2020</v>
      </c>
      <c r="B1320" t="inlineStr">
        <is>
          <t>BS49300</t>
        </is>
      </c>
      <c r="C1320" t="inlineStr">
        <is>
          <t>Warehousing and storage</t>
        </is>
      </c>
      <c r="D1320" t="n">
        <v>272</v>
      </c>
      <c r="E1320">
        <f>IFERROR(VLOOKUP(B1320,Crosswalk!$A$2:$C$125,3,FALSE),"Unmapped")</f>
        <v/>
      </c>
    </row>
    <row r="1321">
      <c r="A1321" t="n">
        <v>2020</v>
      </c>
      <c r="B1321" t="inlineStr">
        <is>
          <t>BS49A00</t>
        </is>
      </c>
      <c r="C1321" t="inlineStr">
        <is>
          <t>Postal service and couriers and messengers</t>
        </is>
      </c>
      <c r="D1321" t="n">
        <v>2023</v>
      </c>
      <c r="E1321">
        <f>IFERROR(VLOOKUP(B1321,Crosswalk!$A$2:$C$125,3,FALSE),"Unmapped")</f>
        <v/>
      </c>
    </row>
    <row r="1322">
      <c r="A1322" t="n">
        <v>2020</v>
      </c>
      <c r="B1322" t="inlineStr">
        <is>
          <t>BS4AA00</t>
        </is>
      </c>
      <c r="C1322" t="inlineStr">
        <is>
          <t>Retail trade (except cannabis)</t>
        </is>
      </c>
      <c r="D1322" t="n">
        <v>7868</v>
      </c>
      <c r="E1322">
        <f>IFERROR(VLOOKUP(B1322,Crosswalk!$A$2:$C$125,3,FALSE),"Unmapped")</f>
        <v/>
      </c>
    </row>
    <row r="1323">
      <c r="A1323" t="n">
        <v>2020</v>
      </c>
      <c r="B1323" t="inlineStr">
        <is>
          <t>BS51200</t>
        </is>
      </c>
      <c r="C1323" t="inlineStr">
        <is>
          <t>Motion picture and sound recording industries</t>
        </is>
      </c>
      <c r="D1323" t="n">
        <v>427</v>
      </c>
      <c r="E1323">
        <f>IFERROR(VLOOKUP(B1323,Crosswalk!$A$2:$C$125,3,FALSE),"Unmapped")</f>
        <v/>
      </c>
    </row>
    <row r="1324">
      <c r="A1324" t="n">
        <v>2020</v>
      </c>
      <c r="B1324" t="inlineStr">
        <is>
          <t>BS51510</t>
        </is>
      </c>
      <c r="C1324" t="inlineStr">
        <is>
          <t>Radio and television broadcasting</t>
        </is>
      </c>
      <c r="D1324" t="n">
        <v>20</v>
      </c>
      <c r="E1324">
        <f>IFERROR(VLOOKUP(B1324,Crosswalk!$A$2:$C$125,3,FALSE),"Unmapped")</f>
        <v/>
      </c>
    </row>
    <row r="1325">
      <c r="A1325" t="n">
        <v>2020</v>
      </c>
      <c r="B1325" t="inlineStr">
        <is>
          <t>BS51B00</t>
        </is>
      </c>
      <c r="C1325" t="inlineStr">
        <is>
          <t>Publishing, pay/specialty services, telecommunications and other information services</t>
        </is>
      </c>
      <c r="D1325" t="n">
        <v>1185</v>
      </c>
      <c r="E1325">
        <f>IFERROR(VLOOKUP(B1325,Crosswalk!$A$2:$C$125,3,FALSE),"Unmapped")</f>
        <v/>
      </c>
    </row>
    <row r="1326">
      <c r="A1326" t="n">
        <v>2020</v>
      </c>
      <c r="B1326" t="inlineStr">
        <is>
          <t>BS52410</t>
        </is>
      </c>
      <c r="C1326" t="inlineStr">
        <is>
          <t>Insurance carriers</t>
        </is>
      </c>
      <c r="D1326" t="n">
        <v>96</v>
      </c>
      <c r="E1326">
        <f>IFERROR(VLOOKUP(B1326,Crosswalk!$A$2:$C$125,3,FALSE),"Unmapped")</f>
        <v/>
      </c>
    </row>
    <row r="1327">
      <c r="A1327" t="n">
        <v>2020</v>
      </c>
      <c r="B1327" t="inlineStr">
        <is>
          <t>BS52B00</t>
        </is>
      </c>
      <c r="C1327" t="inlineStr">
        <is>
          <t>Depository credit intermediation and monetary authorities</t>
        </is>
      </c>
      <c r="D1327" t="n">
        <v>1016</v>
      </c>
      <c r="E1327">
        <f>IFERROR(VLOOKUP(B1327,Crosswalk!$A$2:$C$125,3,FALSE),"Unmapped")</f>
        <v/>
      </c>
    </row>
    <row r="1328">
      <c r="A1328" t="n">
        <v>2020</v>
      </c>
      <c r="B1328" t="inlineStr">
        <is>
          <t>BS53110</t>
        </is>
      </c>
      <c r="C1328" t="inlineStr">
        <is>
          <t>Lessors of real estate</t>
        </is>
      </c>
      <c r="D1328" t="n">
        <v>5928</v>
      </c>
      <c r="E1328">
        <f>IFERROR(VLOOKUP(B1328,Crosswalk!$A$2:$C$125,3,FALSE),"Unmapped")</f>
        <v/>
      </c>
    </row>
    <row r="1329">
      <c r="A1329" t="n">
        <v>2020</v>
      </c>
      <c r="B1329" t="inlineStr">
        <is>
          <t>BS5311A</t>
        </is>
      </c>
      <c r="C1329" t="inlineStr">
        <is>
          <t>Owner-occupied dwellings</t>
        </is>
      </c>
      <c r="D1329" t="n">
        <v>0</v>
      </c>
      <c r="E1329">
        <f>IFERROR(VLOOKUP(B1329,Crosswalk!$A$2:$C$125,3,FALSE),"Unmapped")</f>
        <v/>
      </c>
    </row>
    <row r="1330">
      <c r="A1330" t="n">
        <v>2020</v>
      </c>
      <c r="B1330" t="inlineStr">
        <is>
          <t>BS53B00</t>
        </is>
      </c>
      <c r="C1330" t="inlineStr">
        <is>
          <t>Rental and leasing services and lessors of non-financial intangible assets (except copyrighted works)</t>
        </is>
      </c>
      <c r="D1330" t="n">
        <v>2322</v>
      </c>
      <c r="E1330">
        <f>IFERROR(VLOOKUP(B1330,Crosswalk!$A$2:$C$125,3,FALSE),"Unmapped")</f>
        <v/>
      </c>
    </row>
    <row r="1331">
      <c r="A1331" t="n">
        <v>2020</v>
      </c>
      <c r="B1331" t="inlineStr">
        <is>
          <t>BS54180</t>
        </is>
      </c>
      <c r="C1331" t="inlineStr">
        <is>
          <t>Advertising, public relations and related services</t>
        </is>
      </c>
      <c r="D1331" t="n">
        <v>139</v>
      </c>
      <c r="E1331">
        <f>IFERROR(VLOOKUP(B1331,Crosswalk!$A$2:$C$125,3,FALSE),"Unmapped")</f>
        <v/>
      </c>
    </row>
    <row r="1332">
      <c r="A1332" t="n">
        <v>2020</v>
      </c>
      <c r="B1332" t="inlineStr">
        <is>
          <t>BS541C0</t>
        </is>
      </c>
      <c r="C1332" t="inlineStr">
        <is>
          <t>Legal, accounting and architectural, engineering and related services</t>
        </is>
      </c>
      <c r="D1332" t="n">
        <v>1017</v>
      </c>
      <c r="E1332">
        <f>IFERROR(VLOOKUP(B1332,Crosswalk!$A$2:$C$125,3,FALSE),"Unmapped")</f>
        <v/>
      </c>
    </row>
    <row r="1333">
      <c r="A1333" t="n">
        <v>2020</v>
      </c>
      <c r="B1333" t="inlineStr">
        <is>
          <t>BS541D0</t>
        </is>
      </c>
      <c r="C1333" t="inlineStr">
        <is>
          <t>Computer systems design and other professional, scientific and technical services</t>
        </is>
      </c>
      <c r="D1333" t="n">
        <v>778</v>
      </c>
      <c r="E1333">
        <f>IFERROR(VLOOKUP(B1333,Crosswalk!$A$2:$C$125,3,FALSE),"Unmapped")</f>
        <v/>
      </c>
    </row>
    <row r="1334">
      <c r="A1334" t="n">
        <v>2020</v>
      </c>
      <c r="B1334" t="inlineStr">
        <is>
          <t>BS56100</t>
        </is>
      </c>
      <c r="C1334" t="inlineStr">
        <is>
          <t>Administrative and support services</t>
        </is>
      </c>
      <c r="D1334" t="n">
        <v>2435</v>
      </c>
      <c r="E1334">
        <f>IFERROR(VLOOKUP(B1334,Crosswalk!$A$2:$C$125,3,FALSE),"Unmapped")</f>
        <v/>
      </c>
    </row>
    <row r="1335">
      <c r="A1335" t="n">
        <v>2020</v>
      </c>
      <c r="B1335" t="inlineStr">
        <is>
          <t>BS56200</t>
        </is>
      </c>
      <c r="C1335" t="inlineStr">
        <is>
          <t>Waste management and remediation services</t>
        </is>
      </c>
      <c r="D1335" t="n">
        <v>1386</v>
      </c>
      <c r="E1335">
        <f>IFERROR(VLOOKUP(B1335,Crosswalk!$A$2:$C$125,3,FALSE),"Unmapped")</f>
        <v/>
      </c>
    </row>
    <row r="1336">
      <c r="A1336" t="n">
        <v>2020</v>
      </c>
      <c r="B1336" t="inlineStr">
        <is>
          <t>BS5A000</t>
        </is>
      </c>
      <c r="C1336" t="inlineStr">
        <is>
          <t>Other finance, insurance and real estate services and management of companies and enterprises</t>
        </is>
      </c>
      <c r="D1336" t="n">
        <v>3503</v>
      </c>
      <c r="E1336">
        <f>IFERROR(VLOOKUP(B1336,Crosswalk!$A$2:$C$125,3,FALSE),"Unmapped")</f>
        <v/>
      </c>
    </row>
    <row r="1337">
      <c r="A1337" t="n">
        <v>2020</v>
      </c>
      <c r="B1337" t="inlineStr">
        <is>
          <t>BS61000</t>
        </is>
      </c>
      <c r="C1337" t="inlineStr">
        <is>
          <t>Educational services</t>
        </is>
      </c>
      <c r="D1337" t="n">
        <v>249</v>
      </c>
      <c r="E1337">
        <f>IFERROR(VLOOKUP(B1337,Crosswalk!$A$2:$C$125,3,FALSE),"Unmapped")</f>
        <v/>
      </c>
    </row>
    <row r="1338">
      <c r="A1338" t="n">
        <v>2020</v>
      </c>
      <c r="B1338" t="inlineStr">
        <is>
          <t>BS62000</t>
        </is>
      </c>
      <c r="C1338" t="inlineStr">
        <is>
          <t>Health care and social assistance</t>
        </is>
      </c>
      <c r="D1338" t="n">
        <v>1691</v>
      </c>
      <c r="E1338">
        <f>IFERROR(VLOOKUP(B1338,Crosswalk!$A$2:$C$125,3,FALSE),"Unmapped")</f>
        <v/>
      </c>
    </row>
    <row r="1339">
      <c r="A1339" t="n">
        <v>2020</v>
      </c>
      <c r="B1339" t="inlineStr">
        <is>
          <t>BS71000</t>
        </is>
      </c>
      <c r="C1339" t="inlineStr">
        <is>
          <t>Arts, entertainment and recreation</t>
        </is>
      </c>
      <c r="D1339" t="n">
        <v>162</v>
      </c>
      <c r="E1339">
        <f>IFERROR(VLOOKUP(B1339,Crosswalk!$A$2:$C$125,3,FALSE),"Unmapped")</f>
        <v/>
      </c>
    </row>
    <row r="1340">
      <c r="A1340" t="n">
        <v>2020</v>
      </c>
      <c r="B1340" t="inlineStr">
        <is>
          <t>BS72000</t>
        </is>
      </c>
      <c r="C1340" t="inlineStr">
        <is>
          <t>Accommodation and food services</t>
        </is>
      </c>
      <c r="D1340" t="n">
        <v>1558</v>
      </c>
      <c r="E1340">
        <f>IFERROR(VLOOKUP(B1340,Crosswalk!$A$2:$C$125,3,FALSE),"Unmapped")</f>
        <v/>
      </c>
    </row>
    <row r="1341">
      <c r="A1341" t="n">
        <v>2020</v>
      </c>
      <c r="B1341" t="inlineStr">
        <is>
          <t>BS81100</t>
        </is>
      </c>
      <c r="C1341" t="inlineStr">
        <is>
          <t>Repair and maintenance</t>
        </is>
      </c>
      <c r="D1341" t="n">
        <v>2255</v>
      </c>
      <c r="E1341">
        <f>IFERROR(VLOOKUP(B1341,Crosswalk!$A$2:$C$125,3,FALSE),"Unmapped")</f>
        <v/>
      </c>
    </row>
    <row r="1342">
      <c r="A1342" t="n">
        <v>2020</v>
      </c>
      <c r="B1342" t="inlineStr">
        <is>
          <t>BS81300</t>
        </is>
      </c>
      <c r="C1342" t="inlineStr">
        <is>
          <t>Professional and similar organisations</t>
        </is>
      </c>
      <c r="D1342" t="n">
        <v>13</v>
      </c>
      <c r="E1342">
        <f>IFERROR(VLOOKUP(B1342,Crosswalk!$A$2:$C$125,3,FALSE),"Unmapped")</f>
        <v/>
      </c>
    </row>
    <row r="1343">
      <c r="A1343" t="n">
        <v>2020</v>
      </c>
      <c r="B1343" t="inlineStr">
        <is>
          <t>BS81A00</t>
        </is>
      </c>
      <c r="C1343" t="inlineStr">
        <is>
          <t>Personal services and private households</t>
        </is>
      </c>
      <c r="D1343" t="n">
        <v>499</v>
      </c>
      <c r="E1343">
        <f>IFERROR(VLOOKUP(B1343,Crosswalk!$A$2:$C$125,3,FALSE),"Unmapped")</f>
        <v/>
      </c>
    </row>
    <row r="1344">
      <c r="A1344" t="n">
        <v>2020</v>
      </c>
      <c r="B1344" t="inlineStr">
        <is>
          <t>FC11000</t>
        </is>
      </c>
      <c r="C1344" t="inlineStr">
        <is>
          <t>Repair and maintenance</t>
        </is>
      </c>
      <c r="D1344" t="n">
        <v>0</v>
      </c>
      <c r="E1344">
        <f>IFERROR(VLOOKUP(B1344,Crosswalk!$A$2:$C$125,3,FALSE),"Unmapped")</f>
        <v/>
      </c>
    </row>
    <row r="1345">
      <c r="A1345" t="n">
        <v>2020</v>
      </c>
      <c r="B1345" t="inlineStr">
        <is>
          <t>FC12000</t>
        </is>
      </c>
      <c r="C1345" t="inlineStr">
        <is>
          <t>Operating supplies</t>
        </is>
      </c>
      <c r="D1345" t="n">
        <v>0</v>
      </c>
      <c r="E1345">
        <f>IFERROR(VLOOKUP(B1345,Crosswalk!$A$2:$C$125,3,FALSE),"Unmapped")</f>
        <v/>
      </c>
    </row>
    <row r="1346">
      <c r="A1346" t="n">
        <v>2020</v>
      </c>
      <c r="B1346" t="inlineStr">
        <is>
          <t>FC13000</t>
        </is>
      </c>
      <c r="C1346" t="inlineStr">
        <is>
          <t>Office supplies</t>
        </is>
      </c>
      <c r="D1346" t="n">
        <v>0</v>
      </c>
      <c r="E1346">
        <f>IFERROR(VLOOKUP(B1346,Crosswalk!$A$2:$C$125,3,FALSE),"Unmapped")</f>
        <v/>
      </c>
    </row>
    <row r="1347">
      <c r="A1347" t="n">
        <v>2020</v>
      </c>
      <c r="B1347" t="inlineStr">
        <is>
          <t>FC20000</t>
        </is>
      </c>
      <c r="C1347" t="inlineStr">
        <is>
          <t>Advertising, promotion, meals, entertainment, and travel</t>
        </is>
      </c>
      <c r="D1347" t="n">
        <v>0</v>
      </c>
      <c r="E1347">
        <f>IFERROR(VLOOKUP(B1347,Crosswalk!$A$2:$C$125,3,FALSE),"Unmapped")</f>
        <v/>
      </c>
    </row>
    <row r="1348">
      <c r="A1348" t="n">
        <v>2020</v>
      </c>
      <c r="B1348" t="inlineStr">
        <is>
          <t>FC30000</t>
        </is>
      </c>
      <c r="C1348" t="inlineStr">
        <is>
          <t>Transportation margins</t>
        </is>
      </c>
      <c r="D1348" t="n">
        <v>0</v>
      </c>
      <c r="E1348">
        <f>IFERROR(VLOOKUP(B1348,Crosswalk!$A$2:$C$125,3,FALSE),"Unmapped")</f>
        <v/>
      </c>
    </row>
    <row r="1349">
      <c r="A1349" t="n">
        <v>2020</v>
      </c>
      <c r="B1349" t="inlineStr">
        <is>
          <t>GS61130</t>
        </is>
      </c>
      <c r="C1349" t="inlineStr">
        <is>
          <t>Universities</t>
        </is>
      </c>
      <c r="D1349" t="n">
        <v>2335</v>
      </c>
      <c r="E1349">
        <f>IFERROR(VLOOKUP(B1349,Crosswalk!$A$2:$C$125,3,FALSE),"Unmapped")</f>
        <v/>
      </c>
    </row>
    <row r="1350">
      <c r="A1350" t="n">
        <v>2020</v>
      </c>
      <c r="B1350" t="inlineStr">
        <is>
          <t>GS611B0</t>
        </is>
      </c>
      <c r="C1350" t="inlineStr">
        <is>
          <t>Educational services (except universities)</t>
        </is>
      </c>
      <c r="D1350" t="n">
        <v>2171</v>
      </c>
      <c r="E1350">
        <f>IFERROR(VLOOKUP(B1350,Crosswalk!$A$2:$C$125,3,FALSE),"Unmapped")</f>
        <v/>
      </c>
    </row>
    <row r="1351">
      <c r="A1351" t="n">
        <v>2020</v>
      </c>
      <c r="B1351" t="inlineStr">
        <is>
          <t>GS62200</t>
        </is>
      </c>
      <c r="C1351" t="inlineStr">
        <is>
          <t>Hospitals</t>
        </is>
      </c>
      <c r="D1351" t="n">
        <v>1389</v>
      </c>
      <c r="E1351">
        <f>IFERROR(VLOOKUP(B1351,Crosswalk!$A$2:$C$125,3,FALSE),"Unmapped")</f>
        <v/>
      </c>
    </row>
    <row r="1352">
      <c r="A1352" t="n">
        <v>2020</v>
      </c>
      <c r="B1352" t="inlineStr">
        <is>
          <t>GS62300</t>
        </is>
      </c>
      <c r="C1352" t="inlineStr">
        <is>
          <t>Nursing and residential care facilities</t>
        </is>
      </c>
      <c r="D1352" t="n">
        <v>135</v>
      </c>
      <c r="E1352">
        <f>IFERROR(VLOOKUP(B1352,Crosswalk!$A$2:$C$125,3,FALSE),"Unmapped")</f>
        <v/>
      </c>
    </row>
    <row r="1353">
      <c r="A1353" t="n">
        <v>2020</v>
      </c>
      <c r="B1353" t="inlineStr">
        <is>
          <t>GS91100</t>
        </is>
      </c>
      <c r="C1353" t="inlineStr">
        <is>
          <t>Other federal government services</t>
        </is>
      </c>
      <c r="D1353" t="n">
        <v>2043</v>
      </c>
      <c r="E1353">
        <f>IFERROR(VLOOKUP(B1353,Crosswalk!$A$2:$C$125,3,FALSE),"Unmapped")</f>
        <v/>
      </c>
    </row>
    <row r="1354">
      <c r="A1354" t="n">
        <v>2020</v>
      </c>
      <c r="B1354" t="inlineStr">
        <is>
          <t>GS91200</t>
        </is>
      </c>
      <c r="C1354" t="inlineStr">
        <is>
          <t>Other provincial and territorial government services</t>
        </is>
      </c>
      <c r="D1354" t="n">
        <v>1387</v>
      </c>
      <c r="E1354">
        <f>IFERROR(VLOOKUP(B1354,Crosswalk!$A$2:$C$125,3,FALSE),"Unmapped")</f>
        <v/>
      </c>
    </row>
    <row r="1355">
      <c r="A1355" t="n">
        <v>2020</v>
      </c>
      <c r="B1355" t="inlineStr">
        <is>
          <t>GS91300</t>
        </is>
      </c>
      <c r="C1355" t="inlineStr">
        <is>
          <t>Other municipal government services</t>
        </is>
      </c>
      <c r="D1355" t="n">
        <v>6570</v>
      </c>
      <c r="E1355">
        <f>IFERROR(VLOOKUP(B1355,Crosswalk!$A$2:$C$125,3,FALSE),"Unmapped")</f>
        <v/>
      </c>
    </row>
    <row r="1356">
      <c r="A1356" t="n">
        <v>2020</v>
      </c>
      <c r="B1356" t="inlineStr">
        <is>
          <t>GS91400</t>
        </is>
      </c>
      <c r="C1356" t="inlineStr">
        <is>
          <t>Other Indigenous government services</t>
        </is>
      </c>
      <c r="D1356" t="n">
        <v>1084</v>
      </c>
      <c r="E1356">
        <f>IFERROR(VLOOKUP(B1356,Crosswalk!$A$2:$C$125,3,FALSE),"Unmapped")</f>
        <v/>
      </c>
    </row>
    <row r="1357">
      <c r="A1357" t="n">
        <v>2020</v>
      </c>
      <c r="B1357" t="inlineStr">
        <is>
          <t>NP61000</t>
        </is>
      </c>
      <c r="C1357" t="inlineStr">
        <is>
          <t>Non-profit education services</t>
        </is>
      </c>
      <c r="D1357" t="n">
        <v>854</v>
      </c>
      <c r="E1357">
        <f>IFERROR(VLOOKUP(B1357,Crosswalk!$A$2:$C$125,3,FALSE),"Unmapped")</f>
        <v/>
      </c>
    </row>
    <row r="1358">
      <c r="A1358" t="n">
        <v>2020</v>
      </c>
      <c r="B1358" t="inlineStr">
        <is>
          <t>NP62400</t>
        </is>
      </c>
      <c r="C1358" t="inlineStr">
        <is>
          <t>Non-profit social assistance</t>
        </is>
      </c>
      <c r="D1358" t="n">
        <v>341</v>
      </c>
      <c r="E1358">
        <f>IFERROR(VLOOKUP(B1358,Crosswalk!$A$2:$C$125,3,FALSE),"Unmapped")</f>
        <v/>
      </c>
    </row>
    <row r="1359">
      <c r="A1359" t="n">
        <v>2020</v>
      </c>
      <c r="B1359" t="inlineStr">
        <is>
          <t>NP71000</t>
        </is>
      </c>
      <c r="C1359" t="inlineStr">
        <is>
          <t>Non-profit arts, entertainment and recreation</t>
        </is>
      </c>
      <c r="D1359" t="n">
        <v>214</v>
      </c>
      <c r="E1359">
        <f>IFERROR(VLOOKUP(B1359,Crosswalk!$A$2:$C$125,3,FALSE),"Unmapped")</f>
        <v/>
      </c>
    </row>
    <row r="1360">
      <c r="A1360" t="n">
        <v>2020</v>
      </c>
      <c r="B1360" t="inlineStr">
        <is>
          <t>NP81310</t>
        </is>
      </c>
      <c r="C1360" t="inlineStr">
        <is>
          <t>Religious organizations</t>
        </is>
      </c>
      <c r="D1360" t="n">
        <v>446</v>
      </c>
      <c r="E1360">
        <f>IFERROR(VLOOKUP(B1360,Crosswalk!$A$2:$C$125,3,FALSE),"Unmapped")</f>
        <v/>
      </c>
    </row>
    <row r="1361">
      <c r="A1361" t="n">
        <v>2020</v>
      </c>
      <c r="B1361" t="inlineStr">
        <is>
          <t>NPA0000</t>
        </is>
      </c>
      <c r="C1361" t="inlineStr">
        <is>
          <t>Miscellaneous non-profit institutions serving households</t>
        </is>
      </c>
      <c r="D1361" t="n">
        <v>1411</v>
      </c>
      <c r="E1361">
        <f>IFERROR(VLOOKUP(B1361,Crosswalk!$A$2:$C$125,3,FALSE),"Unmapped")</f>
        <v/>
      </c>
    </row>
    <row r="1362">
      <c r="A1362" t="n">
        <v>2021</v>
      </c>
      <c r="B1362" t="inlineStr">
        <is>
          <t>BS111CL</t>
        </is>
      </c>
      <c r="C1362" t="inlineStr">
        <is>
          <t>Cannabis production (licensed)</t>
        </is>
      </c>
      <c r="D1362" t="n">
        <v>1072</v>
      </c>
      <c r="E1362">
        <f>IFERROR(VLOOKUP(B1362,Crosswalk!$A$2:$C$125,3,FALSE),"Unmapped")</f>
        <v/>
      </c>
    </row>
    <row r="1363">
      <c r="A1363" t="n">
        <v>2021</v>
      </c>
      <c r="B1363" t="inlineStr">
        <is>
          <t>BS111CU</t>
        </is>
      </c>
      <c r="C1363" t="inlineStr">
        <is>
          <t>Cannabis production (unlicensed)</t>
        </is>
      </c>
      <c r="D1363" t="n">
        <v>81</v>
      </c>
      <c r="E1363">
        <f>IFERROR(VLOOKUP(B1363,Crosswalk!$A$2:$C$125,3,FALSE),"Unmapped")</f>
        <v/>
      </c>
    </row>
    <row r="1364">
      <c r="A1364" t="n">
        <v>2021</v>
      </c>
      <c r="B1364" t="inlineStr">
        <is>
          <t>BS11300</t>
        </is>
      </c>
      <c r="C1364" t="inlineStr">
        <is>
          <t>Forestry and logging</t>
        </is>
      </c>
      <c r="D1364" t="n">
        <v>6595</v>
      </c>
      <c r="E1364">
        <f>IFERROR(VLOOKUP(B1364,Crosswalk!$A$2:$C$125,3,FALSE),"Unmapped")</f>
        <v/>
      </c>
    </row>
    <row r="1365">
      <c r="A1365" t="n">
        <v>2021</v>
      </c>
      <c r="B1365" t="inlineStr">
        <is>
          <t>BS11400</t>
        </is>
      </c>
      <c r="C1365" t="inlineStr">
        <is>
          <t>Fishing, hunting and trapping</t>
        </is>
      </c>
      <c r="D1365" t="n">
        <v>1017</v>
      </c>
      <c r="E1365">
        <f>IFERROR(VLOOKUP(B1365,Crosswalk!$A$2:$C$125,3,FALSE),"Unmapped")</f>
        <v/>
      </c>
    </row>
    <row r="1366">
      <c r="A1366" t="n">
        <v>2021</v>
      </c>
      <c r="B1366" t="inlineStr">
        <is>
          <t>BS11500</t>
        </is>
      </c>
      <c r="C1366" t="inlineStr">
        <is>
          <t>Support activities for agriculture and forestry</t>
        </is>
      </c>
      <c r="D1366" t="n">
        <v>984</v>
      </c>
      <c r="E1366">
        <f>IFERROR(VLOOKUP(B1366,Crosswalk!$A$2:$C$125,3,FALSE),"Unmapped")</f>
        <v/>
      </c>
    </row>
    <row r="1367">
      <c r="A1367" t="n">
        <v>2021</v>
      </c>
      <c r="B1367" t="inlineStr">
        <is>
          <t>BS11B00</t>
        </is>
      </c>
      <c r="C1367" t="inlineStr">
        <is>
          <t>Crop and animal production (except cannabis)</t>
        </is>
      </c>
      <c r="D1367" t="n">
        <v>71346</v>
      </c>
      <c r="E1367">
        <f>IFERROR(VLOOKUP(B1367,Crosswalk!$A$2:$C$125,3,FALSE),"Unmapped")</f>
        <v/>
      </c>
    </row>
    <row r="1368">
      <c r="A1368" t="n">
        <v>2021</v>
      </c>
      <c r="B1368" t="inlineStr">
        <is>
          <t>BS21100</t>
        </is>
      </c>
      <c r="C1368" t="inlineStr">
        <is>
          <t>Oil and gas extraction</t>
        </is>
      </c>
      <c r="D1368" t="n">
        <v>185438</v>
      </c>
      <c r="E1368">
        <f>IFERROR(VLOOKUP(B1368,Crosswalk!$A$2:$C$125,3,FALSE),"Unmapped")</f>
        <v/>
      </c>
    </row>
    <row r="1369">
      <c r="A1369" t="n">
        <v>2021</v>
      </c>
      <c r="B1369" t="inlineStr">
        <is>
          <t>BS21210</t>
        </is>
      </c>
      <c r="C1369" t="inlineStr">
        <is>
          <t>Coal mining</t>
        </is>
      </c>
      <c r="D1369" t="n">
        <v>4087</v>
      </c>
      <c r="E1369">
        <f>IFERROR(VLOOKUP(B1369,Crosswalk!$A$2:$C$125,3,FALSE),"Unmapped")</f>
        <v/>
      </c>
    </row>
    <row r="1370">
      <c r="A1370" t="n">
        <v>2021</v>
      </c>
      <c r="B1370" t="inlineStr">
        <is>
          <t>BS21220</t>
        </is>
      </c>
      <c r="C1370" t="inlineStr">
        <is>
          <t>Metal ore mining</t>
        </is>
      </c>
      <c r="D1370" t="n">
        <v>4496</v>
      </c>
      <c r="E1370">
        <f>IFERROR(VLOOKUP(B1370,Crosswalk!$A$2:$C$125,3,FALSE),"Unmapped")</f>
        <v/>
      </c>
    </row>
    <row r="1371">
      <c r="A1371" t="n">
        <v>2021</v>
      </c>
      <c r="B1371" t="inlineStr">
        <is>
          <t>BS21230</t>
        </is>
      </c>
      <c r="C1371" t="inlineStr">
        <is>
          <t>Non-metallic mineral mining and quarrying</t>
        </is>
      </c>
      <c r="D1371" t="n">
        <v>4588</v>
      </c>
      <c r="E1371">
        <f>IFERROR(VLOOKUP(B1371,Crosswalk!$A$2:$C$125,3,FALSE),"Unmapped")</f>
        <v/>
      </c>
    </row>
    <row r="1372">
      <c r="A1372" t="n">
        <v>2021</v>
      </c>
      <c r="B1372" t="inlineStr">
        <is>
          <t>BS21300</t>
        </is>
      </c>
      <c r="C1372" t="inlineStr">
        <is>
          <t>Support activities for mining and oil and gas extraction</t>
        </is>
      </c>
      <c r="D1372" t="n">
        <v>6153</v>
      </c>
      <c r="E1372">
        <f>IFERROR(VLOOKUP(B1372,Crosswalk!$A$2:$C$125,3,FALSE),"Unmapped")</f>
        <v/>
      </c>
    </row>
    <row r="1373">
      <c r="A1373" t="n">
        <v>2021</v>
      </c>
      <c r="B1373" t="inlineStr">
        <is>
          <t>BS22110</t>
        </is>
      </c>
      <c r="C1373" t="inlineStr">
        <is>
          <t>Electric power generation, transmission and distribution</t>
        </is>
      </c>
      <c r="D1373" t="n">
        <v>63156</v>
      </c>
      <c r="E1373">
        <f>IFERROR(VLOOKUP(B1373,Crosswalk!$A$2:$C$125,3,FALSE),"Unmapped")</f>
        <v/>
      </c>
    </row>
    <row r="1374">
      <c r="A1374" t="n">
        <v>2021</v>
      </c>
      <c r="B1374" t="inlineStr">
        <is>
          <t>BS221A0</t>
        </is>
      </c>
      <c r="C1374" t="inlineStr">
        <is>
          <t>Natural gas distribution, water, sewage and other systems</t>
        </is>
      </c>
      <c r="D1374" t="n">
        <v>2401</v>
      </c>
      <c r="E1374">
        <f>IFERROR(VLOOKUP(B1374,Crosswalk!$A$2:$C$125,3,FALSE),"Unmapped")</f>
        <v/>
      </c>
    </row>
    <row r="1375">
      <c r="A1375" t="n">
        <v>2021</v>
      </c>
      <c r="B1375" t="inlineStr">
        <is>
          <t>BS23A00</t>
        </is>
      </c>
      <c r="C1375" t="inlineStr">
        <is>
          <t>Residential building construction</t>
        </is>
      </c>
      <c r="D1375" t="n">
        <v>2372</v>
      </c>
      <c r="E1375">
        <f>IFERROR(VLOOKUP(B1375,Crosswalk!$A$2:$C$125,3,FALSE),"Unmapped")</f>
        <v/>
      </c>
    </row>
    <row r="1376">
      <c r="A1376" t="n">
        <v>2021</v>
      </c>
      <c r="B1376" t="inlineStr">
        <is>
          <t>BS23B00</t>
        </is>
      </c>
      <c r="C1376" t="inlineStr">
        <is>
          <t>Non-residential building construction</t>
        </is>
      </c>
      <c r="D1376" t="n">
        <v>465</v>
      </c>
      <c r="E1376">
        <f>IFERROR(VLOOKUP(B1376,Crosswalk!$A$2:$C$125,3,FALSE),"Unmapped")</f>
        <v/>
      </c>
    </row>
    <row r="1377">
      <c r="A1377" t="n">
        <v>2021</v>
      </c>
      <c r="B1377" t="inlineStr">
        <is>
          <t>BS23C10</t>
        </is>
      </c>
      <c r="C1377" t="inlineStr">
        <is>
          <t>Transportation engineering construction</t>
        </is>
      </c>
      <c r="D1377" t="n">
        <v>1158</v>
      </c>
      <c r="E1377">
        <f>IFERROR(VLOOKUP(B1377,Crosswalk!$A$2:$C$125,3,FALSE),"Unmapped")</f>
        <v/>
      </c>
    </row>
    <row r="1378">
      <c r="A1378" t="n">
        <v>2021</v>
      </c>
      <c r="B1378" t="inlineStr">
        <is>
          <t>BS23C20</t>
        </is>
      </c>
      <c r="C1378" t="inlineStr">
        <is>
          <t>Oil and gas engineering construction</t>
        </is>
      </c>
      <c r="D1378" t="n">
        <v>1005</v>
      </c>
      <c r="E1378">
        <f>IFERROR(VLOOKUP(B1378,Crosswalk!$A$2:$C$125,3,FALSE),"Unmapped")</f>
        <v/>
      </c>
    </row>
    <row r="1379">
      <c r="A1379" t="n">
        <v>2021</v>
      </c>
      <c r="B1379" t="inlineStr">
        <is>
          <t>BS23C30</t>
        </is>
      </c>
      <c r="C1379" t="inlineStr">
        <is>
          <t>Electric power engineering construction</t>
        </is>
      </c>
      <c r="D1379" t="n">
        <v>708</v>
      </c>
      <c r="E1379">
        <f>IFERROR(VLOOKUP(B1379,Crosswalk!$A$2:$C$125,3,FALSE),"Unmapped")</f>
        <v/>
      </c>
    </row>
    <row r="1380">
      <c r="A1380" t="n">
        <v>2021</v>
      </c>
      <c r="B1380" t="inlineStr">
        <is>
          <t>BS23C40</t>
        </is>
      </c>
      <c r="C1380" t="inlineStr">
        <is>
          <t>Communication engineering construction</t>
        </is>
      </c>
      <c r="D1380" t="n">
        <v>283</v>
      </c>
      <c r="E1380">
        <f>IFERROR(VLOOKUP(B1380,Crosswalk!$A$2:$C$125,3,FALSE),"Unmapped")</f>
        <v/>
      </c>
    </row>
    <row r="1381">
      <c r="A1381" t="n">
        <v>2021</v>
      </c>
      <c r="B1381" t="inlineStr">
        <is>
          <t>BS23C50</t>
        </is>
      </c>
      <c r="C1381" t="inlineStr">
        <is>
          <t>Other engineering construction</t>
        </is>
      </c>
      <c r="D1381" t="n">
        <v>1074</v>
      </c>
      <c r="E1381">
        <f>IFERROR(VLOOKUP(B1381,Crosswalk!$A$2:$C$125,3,FALSE),"Unmapped")</f>
        <v/>
      </c>
    </row>
    <row r="1382">
      <c r="A1382" t="n">
        <v>2021</v>
      </c>
      <c r="B1382" t="inlineStr">
        <is>
          <t>BS23D00</t>
        </is>
      </c>
      <c r="C1382" t="inlineStr">
        <is>
          <t>Repair construction</t>
        </is>
      </c>
      <c r="D1382" t="n">
        <v>787</v>
      </c>
      <c r="E1382">
        <f>IFERROR(VLOOKUP(B1382,Crosswalk!$A$2:$C$125,3,FALSE),"Unmapped")</f>
        <v/>
      </c>
    </row>
    <row r="1383">
      <c r="A1383" t="n">
        <v>2021</v>
      </c>
      <c r="B1383" t="inlineStr">
        <is>
          <t>BS23E00</t>
        </is>
      </c>
      <c r="C1383" t="inlineStr">
        <is>
          <t>Other activities of the construction industry</t>
        </is>
      </c>
      <c r="D1383" t="n">
        <v>667</v>
      </c>
      <c r="E1383">
        <f>IFERROR(VLOOKUP(B1383,Crosswalk!$A$2:$C$125,3,FALSE),"Unmapped")</f>
        <v/>
      </c>
    </row>
    <row r="1384">
      <c r="A1384" t="n">
        <v>2021</v>
      </c>
      <c r="B1384" t="inlineStr">
        <is>
          <t>BS31110</t>
        </is>
      </c>
      <c r="C1384" t="inlineStr">
        <is>
          <t>Animal food manufacturing</t>
        </is>
      </c>
      <c r="D1384" t="n">
        <v>418</v>
      </c>
      <c r="E1384">
        <f>IFERROR(VLOOKUP(B1384,Crosswalk!$A$2:$C$125,3,FALSE),"Unmapped")</f>
        <v/>
      </c>
    </row>
    <row r="1385">
      <c r="A1385" t="n">
        <v>2021</v>
      </c>
      <c r="B1385" t="inlineStr">
        <is>
          <t>BS31130</t>
        </is>
      </c>
      <c r="C1385" t="inlineStr">
        <is>
          <t>Sugar and confectionery product manufacturing</t>
        </is>
      </c>
      <c r="D1385" t="n">
        <v>483</v>
      </c>
      <c r="E1385">
        <f>IFERROR(VLOOKUP(B1385,Crosswalk!$A$2:$C$125,3,FALSE),"Unmapped")</f>
        <v/>
      </c>
    </row>
    <row r="1386">
      <c r="A1386" t="n">
        <v>2021</v>
      </c>
      <c r="B1386" t="inlineStr">
        <is>
          <t>BS31140</t>
        </is>
      </c>
      <c r="C1386" t="inlineStr">
        <is>
          <t>Fruit and vegetable preserving and specialty food manufacturing</t>
        </is>
      </c>
      <c r="D1386" t="n">
        <v>516</v>
      </c>
      <c r="E1386">
        <f>IFERROR(VLOOKUP(B1386,Crosswalk!$A$2:$C$125,3,FALSE),"Unmapped")</f>
        <v/>
      </c>
    </row>
    <row r="1387">
      <c r="A1387" t="n">
        <v>2021</v>
      </c>
      <c r="B1387" t="inlineStr">
        <is>
          <t>BS31150</t>
        </is>
      </c>
      <c r="C1387" t="inlineStr">
        <is>
          <t>Dairy product manufacturing</t>
        </is>
      </c>
      <c r="D1387" t="n">
        <v>510</v>
      </c>
      <c r="E1387">
        <f>IFERROR(VLOOKUP(B1387,Crosswalk!$A$2:$C$125,3,FALSE),"Unmapped")</f>
        <v/>
      </c>
    </row>
    <row r="1388">
      <c r="A1388" t="n">
        <v>2021</v>
      </c>
      <c r="B1388" t="inlineStr">
        <is>
          <t>BS31160</t>
        </is>
      </c>
      <c r="C1388" t="inlineStr">
        <is>
          <t>Meat product manufacturing</t>
        </is>
      </c>
      <c r="D1388" t="n">
        <v>1141</v>
      </c>
      <c r="E1388">
        <f>IFERROR(VLOOKUP(B1388,Crosswalk!$A$2:$C$125,3,FALSE),"Unmapped")</f>
        <v/>
      </c>
    </row>
    <row r="1389">
      <c r="A1389" t="n">
        <v>2021</v>
      </c>
      <c r="B1389" t="inlineStr">
        <is>
          <t>BS31170</t>
        </is>
      </c>
      <c r="C1389" t="inlineStr">
        <is>
          <t>Seafood product preparation and packaging</t>
        </is>
      </c>
      <c r="D1389" t="n">
        <v>121</v>
      </c>
      <c r="E1389">
        <f>IFERROR(VLOOKUP(B1389,Crosswalk!$A$2:$C$125,3,FALSE),"Unmapped")</f>
        <v/>
      </c>
    </row>
    <row r="1390">
      <c r="A1390" t="n">
        <v>2021</v>
      </c>
      <c r="B1390" t="inlineStr">
        <is>
          <t>BS311A0</t>
        </is>
      </c>
      <c r="C1390" t="inlineStr">
        <is>
          <t>Miscellaneous food manufacturing</t>
        </is>
      </c>
      <c r="D1390" t="n">
        <v>2085</v>
      </c>
      <c r="E1390">
        <f>IFERROR(VLOOKUP(B1390,Crosswalk!$A$2:$C$125,3,FALSE),"Unmapped")</f>
        <v/>
      </c>
    </row>
    <row r="1391">
      <c r="A1391" t="n">
        <v>2021</v>
      </c>
      <c r="B1391" t="inlineStr">
        <is>
          <t>BS31211</t>
        </is>
      </c>
      <c r="C1391" t="inlineStr">
        <is>
          <t>Soft drink and ice manufacturing</t>
        </is>
      </c>
      <c r="D1391" t="n">
        <v>150</v>
      </c>
      <c r="E1391">
        <f>IFERROR(VLOOKUP(B1391,Crosswalk!$A$2:$C$125,3,FALSE),"Unmapped")</f>
        <v/>
      </c>
    </row>
    <row r="1392">
      <c r="A1392" t="n">
        <v>2021</v>
      </c>
      <c r="B1392" t="inlineStr">
        <is>
          <t>BS31212</t>
        </is>
      </c>
      <c r="C1392" t="inlineStr">
        <is>
          <t>Breweries</t>
        </is>
      </c>
      <c r="D1392" t="n">
        <v>407</v>
      </c>
      <c r="E1392">
        <f>IFERROR(VLOOKUP(B1392,Crosswalk!$A$2:$C$125,3,FALSE),"Unmapped")</f>
        <v/>
      </c>
    </row>
    <row r="1393">
      <c r="A1393" t="n">
        <v>2021</v>
      </c>
      <c r="B1393" t="inlineStr">
        <is>
          <t>BS3121A</t>
        </is>
      </c>
      <c r="C1393" t="inlineStr">
        <is>
          <t>Wineries and distilleries</t>
        </is>
      </c>
      <c r="D1393" t="n">
        <v>223</v>
      </c>
      <c r="E1393">
        <f>IFERROR(VLOOKUP(B1393,Crosswalk!$A$2:$C$125,3,FALSE),"Unmapped")</f>
        <v/>
      </c>
    </row>
    <row r="1394">
      <c r="A1394" t="n">
        <v>2021</v>
      </c>
      <c r="B1394" t="inlineStr">
        <is>
          <t>BS31220</t>
        </is>
      </c>
      <c r="C1394" t="inlineStr">
        <is>
          <t>Tobacco manufacturing</t>
        </is>
      </c>
      <c r="D1394" t="n">
        <v>46</v>
      </c>
      <c r="E1394">
        <f>IFERROR(VLOOKUP(B1394,Crosswalk!$A$2:$C$125,3,FALSE),"Unmapped")</f>
        <v/>
      </c>
    </row>
    <row r="1395">
      <c r="A1395" t="n">
        <v>2021</v>
      </c>
      <c r="B1395" t="inlineStr">
        <is>
          <t>BS31A00</t>
        </is>
      </c>
      <c r="C1395" t="inlineStr">
        <is>
          <t>Textile and textile product mills</t>
        </is>
      </c>
      <c r="D1395" t="n">
        <v>166</v>
      </c>
      <c r="E1395">
        <f>IFERROR(VLOOKUP(B1395,Crosswalk!$A$2:$C$125,3,FALSE),"Unmapped")</f>
        <v/>
      </c>
    </row>
    <row r="1396">
      <c r="A1396" t="n">
        <v>2021</v>
      </c>
      <c r="B1396" t="inlineStr">
        <is>
          <t>BS31B00</t>
        </is>
      </c>
      <c r="C1396" t="inlineStr">
        <is>
          <t>Clothing and leather and allied product manufacturing</t>
        </is>
      </c>
      <c r="D1396" t="n">
        <v>50</v>
      </c>
      <c r="E1396">
        <f>IFERROR(VLOOKUP(B1396,Crosswalk!$A$2:$C$125,3,FALSE),"Unmapped")</f>
        <v/>
      </c>
    </row>
    <row r="1397">
      <c r="A1397" t="n">
        <v>2021</v>
      </c>
      <c r="B1397" t="inlineStr">
        <is>
          <t>BS32100</t>
        </is>
      </c>
      <c r="C1397" t="inlineStr">
        <is>
          <t>Wood product manufacturing</t>
        </is>
      </c>
      <c r="D1397" t="n">
        <v>11080</v>
      </c>
      <c r="E1397">
        <f>IFERROR(VLOOKUP(B1397,Crosswalk!$A$2:$C$125,3,FALSE),"Unmapped")</f>
        <v/>
      </c>
    </row>
    <row r="1398">
      <c r="A1398" t="n">
        <v>2021</v>
      </c>
      <c r="B1398" t="inlineStr">
        <is>
          <t>BS32210</t>
        </is>
      </c>
      <c r="C1398" t="inlineStr">
        <is>
          <t>Pulp, paper and paperboard mills</t>
        </is>
      </c>
      <c r="D1398" t="n">
        <v>37143</v>
      </c>
      <c r="E1398">
        <f>IFERROR(VLOOKUP(B1398,Crosswalk!$A$2:$C$125,3,FALSE),"Unmapped")</f>
        <v/>
      </c>
    </row>
    <row r="1399">
      <c r="A1399" t="n">
        <v>2021</v>
      </c>
      <c r="B1399" t="inlineStr">
        <is>
          <t>BS32220</t>
        </is>
      </c>
      <c r="C1399" t="inlineStr">
        <is>
          <t>Converted paper product manufacturing</t>
        </is>
      </c>
      <c r="D1399" t="n">
        <v>614</v>
      </c>
      <c r="E1399">
        <f>IFERROR(VLOOKUP(B1399,Crosswalk!$A$2:$C$125,3,FALSE),"Unmapped")</f>
        <v/>
      </c>
    </row>
    <row r="1400">
      <c r="A1400" t="n">
        <v>2021</v>
      </c>
      <c r="B1400" t="inlineStr">
        <is>
          <t>BS32300</t>
        </is>
      </c>
      <c r="C1400" t="inlineStr">
        <is>
          <t>Printing and related support activities</t>
        </is>
      </c>
      <c r="D1400" t="n">
        <v>193</v>
      </c>
      <c r="E1400">
        <f>IFERROR(VLOOKUP(B1400,Crosswalk!$A$2:$C$125,3,FALSE),"Unmapped")</f>
        <v/>
      </c>
    </row>
    <row r="1401">
      <c r="A1401" t="n">
        <v>2021</v>
      </c>
      <c r="B1401" t="inlineStr">
        <is>
          <t>BS32400</t>
        </is>
      </c>
      <c r="C1401" t="inlineStr">
        <is>
          <t>Petroleum and coal product manufacturing</t>
        </is>
      </c>
      <c r="D1401" t="n">
        <v>20370</v>
      </c>
      <c r="E1401">
        <f>IFERROR(VLOOKUP(B1401,Crosswalk!$A$2:$C$125,3,FALSE),"Unmapped")</f>
        <v/>
      </c>
    </row>
    <row r="1402">
      <c r="A1402" t="n">
        <v>2021</v>
      </c>
      <c r="B1402" t="inlineStr">
        <is>
          <t>BS32510</t>
        </is>
      </c>
      <c r="C1402" t="inlineStr">
        <is>
          <t>Basic chemical manufacturing</t>
        </is>
      </c>
      <c r="D1402" t="n">
        <v>12009</v>
      </c>
      <c r="E1402">
        <f>IFERROR(VLOOKUP(B1402,Crosswalk!$A$2:$C$125,3,FALSE),"Unmapped")</f>
        <v/>
      </c>
    </row>
    <row r="1403">
      <c r="A1403" t="n">
        <v>2021</v>
      </c>
      <c r="B1403" t="inlineStr">
        <is>
          <t>BS32530</t>
        </is>
      </c>
      <c r="C1403" t="inlineStr">
        <is>
          <t>Pesticide, fertilizer and other agricultural chemical manufacturing</t>
        </is>
      </c>
      <c r="D1403" t="n">
        <v>5779</v>
      </c>
      <c r="E1403">
        <f>IFERROR(VLOOKUP(B1403,Crosswalk!$A$2:$C$125,3,FALSE),"Unmapped")</f>
        <v/>
      </c>
    </row>
    <row r="1404">
      <c r="A1404" t="n">
        <v>2021</v>
      </c>
      <c r="B1404" t="inlineStr">
        <is>
          <t>BS32540</t>
        </is>
      </c>
      <c r="C1404" t="inlineStr">
        <is>
          <t>Pharmaceutical and medicine manufacturing</t>
        </is>
      </c>
      <c r="D1404" t="n">
        <v>263</v>
      </c>
      <c r="E1404">
        <f>IFERROR(VLOOKUP(B1404,Crosswalk!$A$2:$C$125,3,FALSE),"Unmapped")</f>
        <v/>
      </c>
    </row>
    <row r="1405">
      <c r="A1405" t="n">
        <v>2021</v>
      </c>
      <c r="B1405" t="inlineStr">
        <is>
          <t>BS325C0</t>
        </is>
      </c>
      <c r="C1405" t="inlineStr">
        <is>
          <t>Miscellaneous chemical product manufacturing</t>
        </is>
      </c>
      <c r="D1405" t="n">
        <v>1491</v>
      </c>
      <c r="E1405">
        <f>IFERROR(VLOOKUP(B1405,Crosswalk!$A$2:$C$125,3,FALSE),"Unmapped")</f>
        <v/>
      </c>
    </row>
    <row r="1406">
      <c r="A1406" t="n">
        <v>2021</v>
      </c>
      <c r="B1406" t="inlineStr">
        <is>
          <t>BS32610</t>
        </is>
      </c>
      <c r="C1406" t="inlineStr">
        <is>
          <t>Plastic product manufacturing</t>
        </is>
      </c>
      <c r="D1406" t="n">
        <v>717</v>
      </c>
      <c r="E1406">
        <f>IFERROR(VLOOKUP(B1406,Crosswalk!$A$2:$C$125,3,FALSE),"Unmapped")</f>
        <v/>
      </c>
    </row>
    <row r="1407">
      <c r="A1407" t="n">
        <v>2021</v>
      </c>
      <c r="B1407" t="inlineStr">
        <is>
          <t>BS32620</t>
        </is>
      </c>
      <c r="C1407" t="inlineStr">
        <is>
          <t>Rubber product manufacturing</t>
        </is>
      </c>
      <c r="D1407" t="n">
        <v>204</v>
      </c>
      <c r="E1407">
        <f>IFERROR(VLOOKUP(B1407,Crosswalk!$A$2:$C$125,3,FALSE),"Unmapped")</f>
        <v/>
      </c>
    </row>
    <row r="1408">
      <c r="A1408" t="n">
        <v>2021</v>
      </c>
      <c r="B1408" t="inlineStr">
        <is>
          <t>BS32730</t>
        </is>
      </c>
      <c r="C1408" t="inlineStr">
        <is>
          <t>Cement and concrete product manufacturing</t>
        </is>
      </c>
      <c r="D1408" t="n">
        <v>11695</v>
      </c>
      <c r="E1408">
        <f>IFERROR(VLOOKUP(B1408,Crosswalk!$A$2:$C$125,3,FALSE),"Unmapped")</f>
        <v/>
      </c>
    </row>
    <row r="1409">
      <c r="A1409" t="n">
        <v>2021</v>
      </c>
      <c r="B1409" t="inlineStr">
        <is>
          <t>BS327A0</t>
        </is>
      </c>
      <c r="C1409" t="inlineStr">
        <is>
          <t>Non-metallic mineral product manufacturing (except cement and concrete products)</t>
        </is>
      </c>
      <c r="D1409" t="n">
        <v>2613</v>
      </c>
      <c r="E1409">
        <f>IFERROR(VLOOKUP(B1409,Crosswalk!$A$2:$C$125,3,FALSE),"Unmapped")</f>
        <v/>
      </c>
    </row>
    <row r="1410">
      <c r="A1410" t="n">
        <v>2021</v>
      </c>
      <c r="B1410" t="inlineStr">
        <is>
          <t>BS33100</t>
        </is>
      </c>
      <c r="C1410" t="inlineStr">
        <is>
          <t>Primary metal manufacturing</t>
        </is>
      </c>
      <c r="D1410" t="n">
        <v>23687</v>
      </c>
      <c r="E1410">
        <f>IFERROR(VLOOKUP(B1410,Crosswalk!$A$2:$C$125,3,FALSE),"Unmapped")</f>
        <v/>
      </c>
    </row>
    <row r="1411">
      <c r="A1411" t="n">
        <v>2021</v>
      </c>
      <c r="B1411" t="inlineStr">
        <is>
          <t>BS33200</t>
        </is>
      </c>
      <c r="C1411" t="inlineStr">
        <is>
          <t>Fabricated metal product manufacturing</t>
        </is>
      </c>
      <c r="D1411" t="n">
        <v>1501</v>
      </c>
      <c r="E1411">
        <f>IFERROR(VLOOKUP(B1411,Crosswalk!$A$2:$C$125,3,FALSE),"Unmapped")</f>
        <v/>
      </c>
    </row>
    <row r="1412">
      <c r="A1412" t="n">
        <v>2021</v>
      </c>
      <c r="B1412" t="inlineStr">
        <is>
          <t>BS33300</t>
        </is>
      </c>
      <c r="C1412" t="inlineStr">
        <is>
          <t>Machinery manufacturing</t>
        </is>
      </c>
      <c r="D1412" t="n">
        <v>736</v>
      </c>
      <c r="E1412">
        <f>IFERROR(VLOOKUP(B1412,Crosswalk!$A$2:$C$125,3,FALSE),"Unmapped")</f>
        <v/>
      </c>
    </row>
    <row r="1413">
      <c r="A1413" t="n">
        <v>2021</v>
      </c>
      <c r="B1413" t="inlineStr">
        <is>
          <t>BS33410</t>
        </is>
      </c>
      <c r="C1413" t="inlineStr">
        <is>
          <t>Computer and peripheral equipment manufacturing</t>
        </is>
      </c>
      <c r="D1413" t="n">
        <v>10</v>
      </c>
      <c r="E1413">
        <f>IFERROR(VLOOKUP(B1413,Crosswalk!$A$2:$C$125,3,FALSE),"Unmapped")</f>
        <v/>
      </c>
    </row>
    <row r="1414">
      <c r="A1414" t="n">
        <v>2021</v>
      </c>
      <c r="B1414" t="inlineStr">
        <is>
          <t>BS334B0</t>
        </is>
      </c>
      <c r="C1414" t="inlineStr">
        <is>
          <t>Electronic product manufacturing</t>
        </is>
      </c>
      <c r="D1414" t="n">
        <v>123</v>
      </c>
      <c r="E1414">
        <f>IFERROR(VLOOKUP(B1414,Crosswalk!$A$2:$C$125,3,FALSE),"Unmapped")</f>
        <v/>
      </c>
    </row>
    <row r="1415">
      <c r="A1415" t="n">
        <v>2021</v>
      </c>
      <c r="B1415" t="inlineStr">
        <is>
          <t>BS33520</t>
        </is>
      </c>
      <c r="C1415" t="inlineStr">
        <is>
          <t>Household appliance manufacturing</t>
        </is>
      </c>
      <c r="D1415" t="n">
        <v>23</v>
      </c>
      <c r="E1415">
        <f>IFERROR(VLOOKUP(B1415,Crosswalk!$A$2:$C$125,3,FALSE),"Unmapped")</f>
        <v/>
      </c>
    </row>
    <row r="1416">
      <c r="A1416" t="n">
        <v>2021</v>
      </c>
      <c r="B1416" t="inlineStr">
        <is>
          <t>BS335A0</t>
        </is>
      </c>
      <c r="C1416" t="inlineStr">
        <is>
          <t>Electrical equipment and component manufacturing</t>
        </is>
      </c>
      <c r="D1416" t="n">
        <v>117</v>
      </c>
      <c r="E1416">
        <f>IFERROR(VLOOKUP(B1416,Crosswalk!$A$2:$C$125,3,FALSE),"Unmapped")</f>
        <v/>
      </c>
    </row>
    <row r="1417">
      <c r="A1417" t="n">
        <v>2021</v>
      </c>
      <c r="B1417" t="inlineStr">
        <is>
          <t>BS33610</t>
        </is>
      </c>
      <c r="C1417" t="inlineStr">
        <is>
          <t>Motor vehicle manufacturing</t>
        </is>
      </c>
      <c r="D1417" t="n">
        <v>526</v>
      </c>
      <c r="E1417">
        <f>IFERROR(VLOOKUP(B1417,Crosswalk!$A$2:$C$125,3,FALSE),"Unmapped")</f>
        <v/>
      </c>
    </row>
    <row r="1418">
      <c r="A1418" t="n">
        <v>2021</v>
      </c>
      <c r="B1418" t="inlineStr">
        <is>
          <t>BS33620</t>
        </is>
      </c>
      <c r="C1418" t="inlineStr">
        <is>
          <t>Motor vehicle body and trailer manufacturing</t>
        </is>
      </c>
      <c r="D1418" t="n">
        <v>76</v>
      </c>
      <c r="E1418">
        <f>IFERROR(VLOOKUP(B1418,Crosswalk!$A$2:$C$125,3,FALSE),"Unmapped")</f>
        <v/>
      </c>
    </row>
    <row r="1419">
      <c r="A1419" t="n">
        <v>2021</v>
      </c>
      <c r="B1419" t="inlineStr">
        <is>
          <t>BS33630</t>
        </is>
      </c>
      <c r="C1419" t="inlineStr">
        <is>
          <t>Motor vehicle parts manufacturing</t>
        </is>
      </c>
      <c r="D1419" t="n">
        <v>314</v>
      </c>
      <c r="E1419">
        <f>IFERROR(VLOOKUP(B1419,Crosswalk!$A$2:$C$125,3,FALSE),"Unmapped")</f>
        <v/>
      </c>
    </row>
    <row r="1420">
      <c r="A1420" t="n">
        <v>2021</v>
      </c>
      <c r="B1420" t="inlineStr">
        <is>
          <t>BS33640</t>
        </is>
      </c>
      <c r="C1420" t="inlineStr">
        <is>
          <t>Aerospace product and parts manufacturing</t>
        </is>
      </c>
      <c r="D1420" t="n">
        <v>258</v>
      </c>
      <c r="E1420">
        <f>IFERROR(VLOOKUP(B1420,Crosswalk!$A$2:$C$125,3,FALSE),"Unmapped")</f>
        <v/>
      </c>
    </row>
    <row r="1421">
      <c r="A1421" t="n">
        <v>2021</v>
      </c>
      <c r="B1421" t="inlineStr">
        <is>
          <t>BS33650</t>
        </is>
      </c>
      <c r="C1421" t="inlineStr">
        <is>
          <t>Railroad rolling stock manufacturing</t>
        </is>
      </c>
      <c r="D1421" t="n">
        <v>12</v>
      </c>
      <c r="E1421">
        <f>IFERROR(VLOOKUP(B1421,Crosswalk!$A$2:$C$125,3,FALSE),"Unmapped")</f>
        <v/>
      </c>
    </row>
    <row r="1422">
      <c r="A1422" t="n">
        <v>2021</v>
      </c>
      <c r="B1422" t="inlineStr">
        <is>
          <t>BS33660</t>
        </is>
      </c>
      <c r="C1422" t="inlineStr">
        <is>
          <t>Ship and boat building</t>
        </is>
      </c>
      <c r="D1422" t="n">
        <v>42</v>
      </c>
      <c r="E1422">
        <f>IFERROR(VLOOKUP(B1422,Crosswalk!$A$2:$C$125,3,FALSE),"Unmapped")</f>
        <v/>
      </c>
    </row>
    <row r="1423">
      <c r="A1423" t="n">
        <v>2021</v>
      </c>
      <c r="B1423" t="inlineStr">
        <is>
          <t>BS33690</t>
        </is>
      </c>
      <c r="C1423" t="inlineStr">
        <is>
          <t>Other transportation equipment manufacturing</t>
        </is>
      </c>
      <c r="D1423" t="n">
        <v>60</v>
      </c>
      <c r="E1423">
        <f>IFERROR(VLOOKUP(B1423,Crosswalk!$A$2:$C$125,3,FALSE),"Unmapped")</f>
        <v/>
      </c>
    </row>
    <row r="1424">
      <c r="A1424" t="n">
        <v>2021</v>
      </c>
      <c r="B1424" t="inlineStr">
        <is>
          <t>BS33700</t>
        </is>
      </c>
      <c r="C1424" t="inlineStr">
        <is>
          <t>Furniture and related product manufacturing</t>
        </is>
      </c>
      <c r="D1424" t="n">
        <v>328</v>
      </c>
      <c r="E1424">
        <f>IFERROR(VLOOKUP(B1424,Crosswalk!$A$2:$C$125,3,FALSE),"Unmapped")</f>
        <v/>
      </c>
    </row>
    <row r="1425">
      <c r="A1425" t="n">
        <v>2021</v>
      </c>
      <c r="B1425" t="inlineStr">
        <is>
          <t>BS33900</t>
        </is>
      </c>
      <c r="C1425" t="inlineStr">
        <is>
          <t>Miscellaneous manufacturing</t>
        </is>
      </c>
      <c r="D1425" t="n">
        <v>366</v>
      </c>
      <c r="E1425">
        <f>IFERROR(VLOOKUP(B1425,Crosswalk!$A$2:$C$125,3,FALSE),"Unmapped")</f>
        <v/>
      </c>
    </row>
    <row r="1426">
      <c r="A1426" t="n">
        <v>2021</v>
      </c>
      <c r="B1426" t="inlineStr">
        <is>
          <t>BS41000</t>
        </is>
      </c>
      <c r="C1426" t="inlineStr">
        <is>
          <t>Wholesale trade</t>
        </is>
      </c>
      <c r="D1426" t="n">
        <v>10468</v>
      </c>
      <c r="E1426">
        <f>IFERROR(VLOOKUP(B1426,Crosswalk!$A$2:$C$125,3,FALSE),"Unmapped")</f>
        <v/>
      </c>
    </row>
    <row r="1427">
      <c r="A1427" t="n">
        <v>2021</v>
      </c>
      <c r="B1427" t="inlineStr">
        <is>
          <t>BS453BL</t>
        </is>
      </c>
      <c r="C1427" t="inlineStr">
        <is>
          <t>Cannabis stores (licensed)</t>
        </is>
      </c>
      <c r="D1427" t="n">
        <v>74</v>
      </c>
      <c r="E1427">
        <f>IFERROR(VLOOKUP(B1427,Crosswalk!$A$2:$C$125,3,FALSE),"Unmapped")</f>
        <v/>
      </c>
    </row>
    <row r="1428">
      <c r="A1428" t="n">
        <v>2021</v>
      </c>
      <c r="B1428" t="inlineStr">
        <is>
          <t>BS453BU</t>
        </is>
      </c>
      <c r="C1428" t="inlineStr">
        <is>
          <t>Cannabis stores (unlicensed)</t>
        </is>
      </c>
      <c r="D1428" t="n">
        <v>21</v>
      </c>
      <c r="E1428">
        <f>IFERROR(VLOOKUP(B1428,Crosswalk!$A$2:$C$125,3,FALSE),"Unmapped")</f>
        <v/>
      </c>
    </row>
    <row r="1429">
      <c r="A1429" t="n">
        <v>2021</v>
      </c>
      <c r="B1429" t="inlineStr">
        <is>
          <t>BS48100</t>
        </is>
      </c>
      <c r="C1429" t="inlineStr">
        <is>
          <t>Air transportation</t>
        </is>
      </c>
      <c r="D1429" t="n">
        <v>9498</v>
      </c>
      <c r="E1429">
        <f>IFERROR(VLOOKUP(B1429,Crosswalk!$A$2:$C$125,3,FALSE),"Unmapped")</f>
        <v/>
      </c>
    </row>
    <row r="1430">
      <c r="A1430" t="n">
        <v>2021</v>
      </c>
      <c r="B1430" t="inlineStr">
        <is>
          <t>BS48200</t>
        </is>
      </c>
      <c r="C1430" t="inlineStr">
        <is>
          <t>Rail transportation</t>
        </is>
      </c>
      <c r="D1430" t="n">
        <v>5396</v>
      </c>
      <c r="E1430">
        <f>IFERROR(VLOOKUP(B1430,Crosswalk!$A$2:$C$125,3,FALSE),"Unmapped")</f>
        <v/>
      </c>
    </row>
    <row r="1431">
      <c r="A1431" t="n">
        <v>2021</v>
      </c>
      <c r="B1431" t="inlineStr">
        <is>
          <t>BS48300</t>
        </is>
      </c>
      <c r="C1431" t="inlineStr">
        <is>
          <t>Water transportation</t>
        </is>
      </c>
      <c r="D1431" t="n">
        <v>1518</v>
      </c>
      <c r="E1431">
        <f>IFERROR(VLOOKUP(B1431,Crosswalk!$A$2:$C$125,3,FALSE),"Unmapped")</f>
        <v/>
      </c>
    </row>
    <row r="1432">
      <c r="A1432" t="n">
        <v>2021</v>
      </c>
      <c r="B1432" t="inlineStr">
        <is>
          <t>BS48400</t>
        </is>
      </c>
      <c r="C1432" t="inlineStr">
        <is>
          <t>Truck transportation</t>
        </is>
      </c>
      <c r="D1432" t="n">
        <v>18579</v>
      </c>
      <c r="E1432">
        <f>IFERROR(VLOOKUP(B1432,Crosswalk!$A$2:$C$125,3,FALSE),"Unmapped")</f>
        <v/>
      </c>
    </row>
    <row r="1433">
      <c r="A1433" t="n">
        <v>2021</v>
      </c>
      <c r="B1433" t="inlineStr">
        <is>
          <t>BS48600</t>
        </is>
      </c>
      <c r="C1433" t="inlineStr">
        <is>
          <t>Pipeline transportation</t>
        </is>
      </c>
      <c r="D1433" t="n">
        <v>9219</v>
      </c>
      <c r="E1433">
        <f>IFERROR(VLOOKUP(B1433,Crosswalk!$A$2:$C$125,3,FALSE),"Unmapped")</f>
        <v/>
      </c>
    </row>
    <row r="1434">
      <c r="A1434" t="n">
        <v>2021</v>
      </c>
      <c r="B1434" t="inlineStr">
        <is>
          <t>BS48B00</t>
        </is>
      </c>
      <c r="C1434" t="inlineStr">
        <is>
          <t>Transit, ground passenger and scenic and sightseeing transportation, taxi and limousine service and support activities for transportation</t>
        </is>
      </c>
      <c r="D1434" t="n">
        <v>3750</v>
      </c>
      <c r="E1434">
        <f>IFERROR(VLOOKUP(B1434,Crosswalk!$A$2:$C$125,3,FALSE),"Unmapped")</f>
        <v/>
      </c>
    </row>
    <row r="1435">
      <c r="A1435" t="n">
        <v>2021</v>
      </c>
      <c r="B1435" t="inlineStr">
        <is>
          <t>BS49300</t>
        </is>
      </c>
      <c r="C1435" t="inlineStr">
        <is>
          <t>Warehousing and storage</t>
        </is>
      </c>
      <c r="D1435" t="n">
        <v>260</v>
      </c>
      <c r="E1435">
        <f>IFERROR(VLOOKUP(B1435,Crosswalk!$A$2:$C$125,3,FALSE),"Unmapped")</f>
        <v/>
      </c>
    </row>
    <row r="1436">
      <c r="A1436" t="n">
        <v>2021</v>
      </c>
      <c r="B1436" t="inlineStr">
        <is>
          <t>BS49A00</t>
        </is>
      </c>
      <c r="C1436" t="inlineStr">
        <is>
          <t>Postal service and couriers and messengers</t>
        </is>
      </c>
      <c r="D1436" t="n">
        <v>2301</v>
      </c>
      <c r="E1436">
        <f>IFERROR(VLOOKUP(B1436,Crosswalk!$A$2:$C$125,3,FALSE),"Unmapped")</f>
        <v/>
      </c>
    </row>
    <row r="1437">
      <c r="A1437" t="n">
        <v>2021</v>
      </c>
      <c r="B1437" t="inlineStr">
        <is>
          <t>BS4AA00</t>
        </is>
      </c>
      <c r="C1437" t="inlineStr">
        <is>
          <t>Retail trade (except cannabis)</t>
        </is>
      </c>
      <c r="D1437" t="n">
        <v>8416</v>
      </c>
      <c r="E1437">
        <f>IFERROR(VLOOKUP(B1437,Crosswalk!$A$2:$C$125,3,FALSE),"Unmapped")</f>
        <v/>
      </c>
    </row>
    <row r="1438">
      <c r="A1438" t="n">
        <v>2021</v>
      </c>
      <c r="B1438" t="inlineStr">
        <is>
          <t>BS51200</t>
        </is>
      </c>
      <c r="C1438" t="inlineStr">
        <is>
          <t>Motion picture and sound recording industries</t>
        </is>
      </c>
      <c r="D1438" t="n">
        <v>520</v>
      </c>
      <c r="E1438">
        <f>IFERROR(VLOOKUP(B1438,Crosswalk!$A$2:$C$125,3,FALSE),"Unmapped")</f>
        <v/>
      </c>
    </row>
    <row r="1439">
      <c r="A1439" t="n">
        <v>2021</v>
      </c>
      <c r="B1439" t="inlineStr">
        <is>
          <t>BS51510</t>
        </is>
      </c>
      <c r="C1439" t="inlineStr">
        <is>
          <t>Radio and television broadcasting</t>
        </is>
      </c>
      <c r="D1439" t="n">
        <v>16</v>
      </c>
      <c r="E1439">
        <f>IFERROR(VLOOKUP(B1439,Crosswalk!$A$2:$C$125,3,FALSE),"Unmapped")</f>
        <v/>
      </c>
    </row>
    <row r="1440">
      <c r="A1440" t="n">
        <v>2021</v>
      </c>
      <c r="B1440" t="inlineStr">
        <is>
          <t>BS51B00</t>
        </is>
      </c>
      <c r="C1440" t="inlineStr">
        <is>
          <t>Publishing, pay/specialty services, telecommunications and other information services</t>
        </is>
      </c>
      <c r="D1440" t="n">
        <v>605</v>
      </c>
      <c r="E1440">
        <f>IFERROR(VLOOKUP(B1440,Crosswalk!$A$2:$C$125,3,FALSE),"Unmapped")</f>
        <v/>
      </c>
    </row>
    <row r="1441">
      <c r="A1441" t="n">
        <v>2021</v>
      </c>
      <c r="B1441" t="inlineStr">
        <is>
          <t>BS52410</t>
        </is>
      </c>
      <c r="C1441" t="inlineStr">
        <is>
          <t>Insurance carriers</t>
        </is>
      </c>
      <c r="D1441" t="n">
        <v>78</v>
      </c>
      <c r="E1441">
        <f>IFERROR(VLOOKUP(B1441,Crosswalk!$A$2:$C$125,3,FALSE),"Unmapped")</f>
        <v/>
      </c>
    </row>
    <row r="1442">
      <c r="A1442" t="n">
        <v>2021</v>
      </c>
      <c r="B1442" t="inlineStr">
        <is>
          <t>BS52B00</t>
        </is>
      </c>
      <c r="C1442" t="inlineStr">
        <is>
          <t>Depository credit intermediation and monetary authorities</t>
        </is>
      </c>
      <c r="D1442" t="n">
        <v>977</v>
      </c>
      <c r="E1442">
        <f>IFERROR(VLOOKUP(B1442,Crosswalk!$A$2:$C$125,3,FALSE),"Unmapped")</f>
        <v/>
      </c>
    </row>
    <row r="1443">
      <c r="A1443" t="n">
        <v>2021</v>
      </c>
      <c r="B1443" t="inlineStr">
        <is>
          <t>BS53110</t>
        </is>
      </c>
      <c r="C1443" t="inlineStr">
        <is>
          <t>Lessors of real estate</t>
        </is>
      </c>
      <c r="D1443" t="n">
        <v>5640</v>
      </c>
      <c r="E1443">
        <f>IFERROR(VLOOKUP(B1443,Crosswalk!$A$2:$C$125,3,FALSE),"Unmapped")</f>
        <v/>
      </c>
    </row>
    <row r="1444">
      <c r="A1444" t="n">
        <v>2021</v>
      </c>
      <c r="B1444" t="inlineStr">
        <is>
          <t>BS5311A</t>
        </is>
      </c>
      <c r="C1444" t="inlineStr">
        <is>
          <t>Owner-occupied dwellings</t>
        </is>
      </c>
      <c r="D1444" t="n">
        <v>0</v>
      </c>
      <c r="E1444">
        <f>IFERROR(VLOOKUP(B1444,Crosswalk!$A$2:$C$125,3,FALSE),"Unmapped")</f>
        <v/>
      </c>
    </row>
    <row r="1445">
      <c r="A1445" t="n">
        <v>2021</v>
      </c>
      <c r="B1445" t="inlineStr">
        <is>
          <t>BS53B00</t>
        </is>
      </c>
      <c r="C1445" t="inlineStr">
        <is>
          <t>Rental and leasing services and lessors of non-financial intangible assets (except copyrighted works)</t>
        </is>
      </c>
      <c r="D1445" t="n">
        <v>2557</v>
      </c>
      <c r="E1445">
        <f>IFERROR(VLOOKUP(B1445,Crosswalk!$A$2:$C$125,3,FALSE),"Unmapped")</f>
        <v/>
      </c>
    </row>
    <row r="1446">
      <c r="A1446" t="n">
        <v>2021</v>
      </c>
      <c r="B1446" t="inlineStr">
        <is>
          <t>BS54180</t>
        </is>
      </c>
      <c r="C1446" t="inlineStr">
        <is>
          <t>Advertising, public relations and related services</t>
        </is>
      </c>
      <c r="D1446" t="n">
        <v>151</v>
      </c>
      <c r="E1446">
        <f>IFERROR(VLOOKUP(B1446,Crosswalk!$A$2:$C$125,3,FALSE),"Unmapped")</f>
        <v/>
      </c>
    </row>
    <row r="1447">
      <c r="A1447" t="n">
        <v>2021</v>
      </c>
      <c r="B1447" t="inlineStr">
        <is>
          <t>BS541C0</t>
        </is>
      </c>
      <c r="C1447" t="inlineStr">
        <is>
          <t>Legal, accounting and architectural, engineering and related services</t>
        </is>
      </c>
      <c r="D1447" t="n">
        <v>1113</v>
      </c>
      <c r="E1447">
        <f>IFERROR(VLOOKUP(B1447,Crosswalk!$A$2:$C$125,3,FALSE),"Unmapped")</f>
        <v/>
      </c>
    </row>
    <row r="1448">
      <c r="A1448" t="n">
        <v>2021</v>
      </c>
      <c r="B1448" t="inlineStr">
        <is>
          <t>BS541D0</t>
        </is>
      </c>
      <c r="C1448" t="inlineStr">
        <is>
          <t>Computer systems design and other professional, scientific and technical services</t>
        </is>
      </c>
      <c r="D1448" t="n">
        <v>768</v>
      </c>
      <c r="E1448">
        <f>IFERROR(VLOOKUP(B1448,Crosswalk!$A$2:$C$125,3,FALSE),"Unmapped")</f>
        <v/>
      </c>
    </row>
    <row r="1449">
      <c r="A1449" t="n">
        <v>2021</v>
      </c>
      <c r="B1449" t="inlineStr">
        <is>
          <t>BS56100</t>
        </is>
      </c>
      <c r="C1449" t="inlineStr">
        <is>
          <t>Administrative and support services</t>
        </is>
      </c>
      <c r="D1449" t="n">
        <v>2634</v>
      </c>
      <c r="E1449">
        <f>IFERROR(VLOOKUP(B1449,Crosswalk!$A$2:$C$125,3,FALSE),"Unmapped")</f>
        <v/>
      </c>
    </row>
    <row r="1450">
      <c r="A1450" t="n">
        <v>2021</v>
      </c>
      <c r="B1450" t="inlineStr">
        <is>
          <t>BS56200</t>
        </is>
      </c>
      <c r="C1450" t="inlineStr">
        <is>
          <t>Waste management and remediation services</t>
        </is>
      </c>
      <c r="D1450" t="n">
        <v>1642</v>
      </c>
      <c r="E1450">
        <f>IFERROR(VLOOKUP(B1450,Crosswalk!$A$2:$C$125,3,FALSE),"Unmapped")</f>
        <v/>
      </c>
    </row>
    <row r="1451">
      <c r="A1451" t="n">
        <v>2021</v>
      </c>
      <c r="B1451" t="inlineStr">
        <is>
          <t>BS5A000</t>
        </is>
      </c>
      <c r="C1451" t="inlineStr">
        <is>
          <t>Other finance, insurance and real estate services and management of companies and enterprises</t>
        </is>
      </c>
      <c r="D1451" t="n">
        <v>3523</v>
      </c>
      <c r="E1451">
        <f>IFERROR(VLOOKUP(B1451,Crosswalk!$A$2:$C$125,3,FALSE),"Unmapped")</f>
        <v/>
      </c>
    </row>
    <row r="1452">
      <c r="A1452" t="n">
        <v>2021</v>
      </c>
      <c r="B1452" t="inlineStr">
        <is>
          <t>BS61000</t>
        </is>
      </c>
      <c r="C1452" t="inlineStr">
        <is>
          <t>Educational services</t>
        </is>
      </c>
      <c r="D1452" t="n">
        <v>285</v>
      </c>
      <c r="E1452">
        <f>IFERROR(VLOOKUP(B1452,Crosswalk!$A$2:$C$125,3,FALSE),"Unmapped")</f>
        <v/>
      </c>
    </row>
    <row r="1453">
      <c r="A1453" t="n">
        <v>2021</v>
      </c>
      <c r="B1453" t="inlineStr">
        <is>
          <t>BS62000</t>
        </is>
      </c>
      <c r="C1453" t="inlineStr">
        <is>
          <t>Health care and social assistance</t>
        </is>
      </c>
      <c r="D1453" t="n">
        <v>1762</v>
      </c>
      <c r="E1453">
        <f>IFERROR(VLOOKUP(B1453,Crosswalk!$A$2:$C$125,3,FALSE),"Unmapped")</f>
        <v/>
      </c>
    </row>
    <row r="1454">
      <c r="A1454" t="n">
        <v>2021</v>
      </c>
      <c r="B1454" t="inlineStr">
        <is>
          <t>BS71000</t>
        </is>
      </c>
      <c r="C1454" t="inlineStr">
        <is>
          <t>Arts, entertainment and recreation</t>
        </is>
      </c>
      <c r="D1454" t="n">
        <v>172</v>
      </c>
      <c r="E1454">
        <f>IFERROR(VLOOKUP(B1454,Crosswalk!$A$2:$C$125,3,FALSE),"Unmapped")</f>
        <v/>
      </c>
    </row>
    <row r="1455">
      <c r="A1455" t="n">
        <v>2021</v>
      </c>
      <c r="B1455" t="inlineStr">
        <is>
          <t>BS72000</t>
        </is>
      </c>
      <c r="C1455" t="inlineStr">
        <is>
          <t>Accommodation and food services</t>
        </is>
      </c>
      <c r="D1455" t="n">
        <v>1877</v>
      </c>
      <c r="E1455">
        <f>IFERROR(VLOOKUP(B1455,Crosswalk!$A$2:$C$125,3,FALSE),"Unmapped")</f>
        <v/>
      </c>
    </row>
    <row r="1456">
      <c r="A1456" t="n">
        <v>2021</v>
      </c>
      <c r="B1456" t="inlineStr">
        <is>
          <t>BS81100</t>
        </is>
      </c>
      <c r="C1456" t="inlineStr">
        <is>
          <t>Repair and maintenance</t>
        </is>
      </c>
      <c r="D1456" t="n">
        <v>2528</v>
      </c>
      <c r="E1456">
        <f>IFERROR(VLOOKUP(B1456,Crosswalk!$A$2:$C$125,3,FALSE),"Unmapped")</f>
        <v/>
      </c>
    </row>
    <row r="1457">
      <c r="A1457" t="n">
        <v>2021</v>
      </c>
      <c r="B1457" t="inlineStr">
        <is>
          <t>BS81300</t>
        </is>
      </c>
      <c r="C1457" t="inlineStr">
        <is>
          <t>Professional and similar organisations</t>
        </is>
      </c>
      <c r="D1457" t="n">
        <v>8</v>
      </c>
      <c r="E1457">
        <f>IFERROR(VLOOKUP(B1457,Crosswalk!$A$2:$C$125,3,FALSE),"Unmapped")</f>
        <v/>
      </c>
    </row>
    <row r="1458">
      <c r="A1458" t="n">
        <v>2021</v>
      </c>
      <c r="B1458" t="inlineStr">
        <is>
          <t>BS81A00</t>
        </is>
      </c>
      <c r="C1458" t="inlineStr">
        <is>
          <t>Personal services and private households</t>
        </is>
      </c>
      <c r="D1458" t="n">
        <v>514</v>
      </c>
      <c r="E1458">
        <f>IFERROR(VLOOKUP(B1458,Crosswalk!$A$2:$C$125,3,FALSE),"Unmapped")</f>
        <v/>
      </c>
    </row>
    <row r="1459">
      <c r="A1459" t="n">
        <v>2021</v>
      </c>
      <c r="B1459" t="inlineStr">
        <is>
          <t>FC11000</t>
        </is>
      </c>
      <c r="C1459" t="inlineStr">
        <is>
          <t>Repair and maintenance</t>
        </is>
      </c>
      <c r="D1459" t="n">
        <v>0</v>
      </c>
      <c r="E1459">
        <f>IFERROR(VLOOKUP(B1459,Crosswalk!$A$2:$C$125,3,FALSE),"Unmapped")</f>
        <v/>
      </c>
    </row>
    <row r="1460">
      <c r="A1460" t="n">
        <v>2021</v>
      </c>
      <c r="B1460" t="inlineStr">
        <is>
          <t>FC12000</t>
        </is>
      </c>
      <c r="C1460" t="inlineStr">
        <is>
          <t>Operating supplies</t>
        </is>
      </c>
      <c r="D1460" t="n">
        <v>0</v>
      </c>
      <c r="E1460">
        <f>IFERROR(VLOOKUP(B1460,Crosswalk!$A$2:$C$125,3,FALSE),"Unmapped")</f>
        <v/>
      </c>
    </row>
    <row r="1461">
      <c r="A1461" t="n">
        <v>2021</v>
      </c>
      <c r="B1461" t="inlineStr">
        <is>
          <t>FC13000</t>
        </is>
      </c>
      <c r="C1461" t="inlineStr">
        <is>
          <t>Office supplies</t>
        </is>
      </c>
      <c r="D1461" t="n">
        <v>0</v>
      </c>
      <c r="E1461">
        <f>IFERROR(VLOOKUP(B1461,Crosswalk!$A$2:$C$125,3,FALSE),"Unmapped")</f>
        <v/>
      </c>
    </row>
    <row r="1462">
      <c r="A1462" t="n">
        <v>2021</v>
      </c>
      <c r="B1462" t="inlineStr">
        <is>
          <t>FC20000</t>
        </is>
      </c>
      <c r="C1462" t="inlineStr">
        <is>
          <t>Advertising, promotion, meals, entertainment, and travel</t>
        </is>
      </c>
      <c r="D1462" t="n">
        <v>0</v>
      </c>
      <c r="E1462">
        <f>IFERROR(VLOOKUP(B1462,Crosswalk!$A$2:$C$125,3,FALSE),"Unmapped")</f>
        <v/>
      </c>
    </row>
    <row r="1463">
      <c r="A1463" t="n">
        <v>2021</v>
      </c>
      <c r="B1463" t="inlineStr">
        <is>
          <t>FC30000</t>
        </is>
      </c>
      <c r="C1463" t="inlineStr">
        <is>
          <t>Transportation margins</t>
        </is>
      </c>
      <c r="D1463" t="n">
        <v>0</v>
      </c>
      <c r="E1463">
        <f>IFERROR(VLOOKUP(B1463,Crosswalk!$A$2:$C$125,3,FALSE),"Unmapped")</f>
        <v/>
      </c>
    </row>
    <row r="1464">
      <c r="A1464" t="n">
        <v>2021</v>
      </c>
      <c r="B1464" t="inlineStr">
        <is>
          <t>GS61130</t>
        </is>
      </c>
      <c r="C1464" t="inlineStr">
        <is>
          <t>Universities</t>
        </is>
      </c>
      <c r="D1464" t="n">
        <v>2457</v>
      </c>
      <c r="E1464">
        <f>IFERROR(VLOOKUP(B1464,Crosswalk!$A$2:$C$125,3,FALSE),"Unmapped")</f>
        <v/>
      </c>
    </row>
    <row r="1465">
      <c r="A1465" t="n">
        <v>2021</v>
      </c>
      <c r="B1465" t="inlineStr">
        <is>
          <t>GS611B0</t>
        </is>
      </c>
      <c r="C1465" t="inlineStr">
        <is>
          <t>Educational services (except universities)</t>
        </is>
      </c>
      <c r="D1465" t="n">
        <v>2064</v>
      </c>
      <c r="E1465">
        <f>IFERROR(VLOOKUP(B1465,Crosswalk!$A$2:$C$125,3,FALSE),"Unmapped")</f>
        <v/>
      </c>
    </row>
    <row r="1466">
      <c r="A1466" t="n">
        <v>2021</v>
      </c>
      <c r="B1466" t="inlineStr">
        <is>
          <t>GS62200</t>
        </is>
      </c>
      <c r="C1466" t="inlineStr">
        <is>
          <t>Hospitals</t>
        </is>
      </c>
      <c r="D1466" t="n">
        <v>1327</v>
      </c>
      <c r="E1466">
        <f>IFERROR(VLOOKUP(B1466,Crosswalk!$A$2:$C$125,3,FALSE),"Unmapped")</f>
        <v/>
      </c>
    </row>
    <row r="1467">
      <c r="A1467" t="n">
        <v>2021</v>
      </c>
      <c r="B1467" t="inlineStr">
        <is>
          <t>GS62300</t>
        </is>
      </c>
      <c r="C1467" t="inlineStr">
        <is>
          <t>Nursing and residential care facilities</t>
        </is>
      </c>
      <c r="D1467" t="n">
        <v>138</v>
      </c>
      <c r="E1467">
        <f>IFERROR(VLOOKUP(B1467,Crosswalk!$A$2:$C$125,3,FALSE),"Unmapped")</f>
        <v/>
      </c>
    </row>
    <row r="1468">
      <c r="A1468" t="n">
        <v>2021</v>
      </c>
      <c r="B1468" t="inlineStr">
        <is>
          <t>GS91100</t>
        </is>
      </c>
      <c r="C1468" t="inlineStr">
        <is>
          <t>Other federal government services</t>
        </is>
      </c>
      <c r="D1468" t="n">
        <v>2158</v>
      </c>
      <c r="E1468">
        <f>IFERROR(VLOOKUP(B1468,Crosswalk!$A$2:$C$125,3,FALSE),"Unmapped")</f>
        <v/>
      </c>
    </row>
    <row r="1469">
      <c r="A1469" t="n">
        <v>2021</v>
      </c>
      <c r="B1469" t="inlineStr">
        <is>
          <t>GS91200</t>
        </is>
      </c>
      <c r="C1469" t="inlineStr">
        <is>
          <t>Other provincial and territorial government services</t>
        </is>
      </c>
      <c r="D1469" t="n">
        <v>1492</v>
      </c>
      <c r="E1469">
        <f>IFERROR(VLOOKUP(B1469,Crosswalk!$A$2:$C$125,3,FALSE),"Unmapped")</f>
        <v/>
      </c>
    </row>
    <row r="1470">
      <c r="A1470" t="n">
        <v>2021</v>
      </c>
      <c r="B1470" t="inlineStr">
        <is>
          <t>GS91300</t>
        </is>
      </c>
      <c r="C1470" t="inlineStr">
        <is>
          <t>Other municipal government services</t>
        </is>
      </c>
      <c r="D1470" t="n">
        <v>6436</v>
      </c>
      <c r="E1470">
        <f>IFERROR(VLOOKUP(B1470,Crosswalk!$A$2:$C$125,3,FALSE),"Unmapped")</f>
        <v/>
      </c>
    </row>
    <row r="1471">
      <c r="A1471" t="n">
        <v>2021</v>
      </c>
      <c r="B1471" t="inlineStr">
        <is>
          <t>GS91400</t>
        </is>
      </c>
      <c r="C1471" t="inlineStr">
        <is>
          <t>Other Indigenous government services</t>
        </is>
      </c>
      <c r="D1471" t="n">
        <v>1308</v>
      </c>
      <c r="E1471">
        <f>IFERROR(VLOOKUP(B1471,Crosswalk!$A$2:$C$125,3,FALSE),"Unmapped")</f>
        <v/>
      </c>
    </row>
    <row r="1472">
      <c r="A1472" t="n">
        <v>2021</v>
      </c>
      <c r="B1472" t="inlineStr">
        <is>
          <t>NP61000</t>
        </is>
      </c>
      <c r="C1472" t="inlineStr">
        <is>
          <t>Non-profit education services</t>
        </is>
      </c>
      <c r="D1472" t="n">
        <v>619</v>
      </c>
      <c r="E1472">
        <f>IFERROR(VLOOKUP(B1472,Crosswalk!$A$2:$C$125,3,FALSE),"Unmapped")</f>
        <v/>
      </c>
    </row>
    <row r="1473">
      <c r="A1473" t="n">
        <v>2021</v>
      </c>
      <c r="B1473" t="inlineStr">
        <is>
          <t>NP62400</t>
        </is>
      </c>
      <c r="C1473" t="inlineStr">
        <is>
          <t>Non-profit social assistance</t>
        </is>
      </c>
      <c r="D1473" t="n">
        <v>258</v>
      </c>
      <c r="E1473">
        <f>IFERROR(VLOOKUP(B1473,Crosswalk!$A$2:$C$125,3,FALSE),"Unmapped")</f>
        <v/>
      </c>
    </row>
    <row r="1474">
      <c r="A1474" t="n">
        <v>2021</v>
      </c>
      <c r="B1474" t="inlineStr">
        <is>
          <t>NP71000</t>
        </is>
      </c>
      <c r="C1474" t="inlineStr">
        <is>
          <t>Non-profit arts, entertainment and recreation</t>
        </is>
      </c>
      <c r="D1474" t="n">
        <v>150</v>
      </c>
      <c r="E1474">
        <f>IFERROR(VLOOKUP(B1474,Crosswalk!$A$2:$C$125,3,FALSE),"Unmapped")</f>
        <v/>
      </c>
    </row>
    <row r="1475">
      <c r="A1475" t="n">
        <v>2021</v>
      </c>
      <c r="B1475" t="inlineStr">
        <is>
          <t>NP81310</t>
        </is>
      </c>
      <c r="C1475" t="inlineStr">
        <is>
          <t>Religious organizations</t>
        </is>
      </c>
      <c r="D1475" t="n">
        <v>359</v>
      </c>
      <c r="E1475">
        <f>IFERROR(VLOOKUP(B1475,Crosswalk!$A$2:$C$125,3,FALSE),"Unmapped")</f>
        <v/>
      </c>
    </row>
    <row r="1476">
      <c r="A1476" t="n">
        <v>2021</v>
      </c>
      <c r="B1476" t="inlineStr">
        <is>
          <t>NPA0000</t>
        </is>
      </c>
      <c r="C1476" t="inlineStr">
        <is>
          <t>Miscellaneous non-profit institutions serving households</t>
        </is>
      </c>
      <c r="D1476" t="n">
        <v>1141</v>
      </c>
      <c r="E1476">
        <f>IFERROR(VLOOKUP(B1476,Crosswalk!$A$2:$C$125,3,FALSE),"Unmapped")</f>
        <v/>
      </c>
    </row>
    <row r="1477">
      <c r="A1477" t="n">
        <v>2022</v>
      </c>
      <c r="B1477" t="inlineStr">
        <is>
          <t>BS111CL</t>
        </is>
      </c>
      <c r="C1477" t="inlineStr">
        <is>
          <t>Cannabis production (licensed)</t>
        </is>
      </c>
      <c r="D1477" t="n">
        <v>1228</v>
      </c>
      <c r="E1477">
        <f>IFERROR(VLOOKUP(B1477,Crosswalk!$A$2:$C$125,3,FALSE),"Unmapped")</f>
        <v/>
      </c>
    </row>
    <row r="1478">
      <c r="A1478" t="n">
        <v>2022</v>
      </c>
      <c r="B1478" t="inlineStr">
        <is>
          <t>BS111CU</t>
        </is>
      </c>
      <c r="C1478" t="inlineStr">
        <is>
          <t>Cannabis production (unlicensed)</t>
        </is>
      </c>
      <c r="D1478" t="n">
        <v>147</v>
      </c>
      <c r="E1478">
        <f>IFERROR(VLOOKUP(B1478,Crosswalk!$A$2:$C$125,3,FALSE),"Unmapped")</f>
        <v/>
      </c>
    </row>
    <row r="1479">
      <c r="A1479" t="n">
        <v>2022</v>
      </c>
      <c r="B1479" t="inlineStr">
        <is>
          <t>BS11300</t>
        </is>
      </c>
      <c r="C1479" t="inlineStr">
        <is>
          <t>Forestry and logging</t>
        </is>
      </c>
      <c r="D1479" t="n">
        <v>5279</v>
      </c>
      <c r="E1479">
        <f>IFERROR(VLOOKUP(B1479,Crosswalk!$A$2:$C$125,3,FALSE),"Unmapped")</f>
        <v/>
      </c>
    </row>
    <row r="1480">
      <c r="A1480" t="n">
        <v>2022</v>
      </c>
      <c r="B1480" t="inlineStr">
        <is>
          <t>BS11400</t>
        </is>
      </c>
      <c r="C1480" t="inlineStr">
        <is>
          <t>Fishing, hunting and trapping</t>
        </is>
      </c>
      <c r="D1480" t="n">
        <v>1043</v>
      </c>
      <c r="E1480">
        <f>IFERROR(VLOOKUP(B1480,Crosswalk!$A$2:$C$125,3,FALSE),"Unmapped")</f>
        <v/>
      </c>
    </row>
    <row r="1481">
      <c r="A1481" t="n">
        <v>2022</v>
      </c>
      <c r="B1481" t="inlineStr">
        <is>
          <t>BS11500</t>
        </is>
      </c>
      <c r="C1481" t="inlineStr">
        <is>
          <t>Support activities for agriculture and forestry</t>
        </is>
      </c>
      <c r="D1481" t="n">
        <v>1079</v>
      </c>
      <c r="E1481">
        <f>IFERROR(VLOOKUP(B1481,Crosswalk!$A$2:$C$125,3,FALSE),"Unmapped")</f>
        <v/>
      </c>
    </row>
    <row r="1482">
      <c r="A1482" t="n">
        <v>2022</v>
      </c>
      <c r="B1482" t="inlineStr">
        <is>
          <t>BS11B00</t>
        </is>
      </c>
      <c r="C1482" t="inlineStr">
        <is>
          <t>Crop and animal production (except cannabis)</t>
        </is>
      </c>
      <c r="D1482" t="n">
        <v>71683</v>
      </c>
      <c r="E1482">
        <f>IFERROR(VLOOKUP(B1482,Crosswalk!$A$2:$C$125,3,FALSE),"Unmapped")</f>
        <v/>
      </c>
    </row>
    <row r="1483">
      <c r="A1483" t="n">
        <v>2022</v>
      </c>
      <c r="B1483" t="inlineStr">
        <is>
          <t>BS21100</t>
        </is>
      </c>
      <c r="C1483" t="inlineStr">
        <is>
          <t>Oil and gas extraction</t>
        </is>
      </c>
      <c r="D1483" t="n">
        <v>182389</v>
      </c>
      <c r="E1483">
        <f>IFERROR(VLOOKUP(B1483,Crosswalk!$A$2:$C$125,3,FALSE),"Unmapped")</f>
        <v/>
      </c>
    </row>
    <row r="1484">
      <c r="A1484" t="n">
        <v>2022</v>
      </c>
      <c r="B1484" t="inlineStr">
        <is>
          <t>BS21210</t>
        </is>
      </c>
      <c r="C1484" t="inlineStr">
        <is>
          <t>Coal mining</t>
        </is>
      </c>
      <c r="D1484" t="n">
        <v>4850</v>
      </c>
      <c r="E1484">
        <f>IFERROR(VLOOKUP(B1484,Crosswalk!$A$2:$C$125,3,FALSE),"Unmapped")</f>
        <v/>
      </c>
    </row>
    <row r="1485">
      <c r="A1485" t="n">
        <v>2022</v>
      </c>
      <c r="B1485" t="inlineStr">
        <is>
          <t>BS21220</t>
        </is>
      </c>
      <c r="C1485" t="inlineStr">
        <is>
          <t>Metal ore mining</t>
        </is>
      </c>
      <c r="D1485" t="n">
        <v>5045</v>
      </c>
      <c r="E1485">
        <f>IFERROR(VLOOKUP(B1485,Crosswalk!$A$2:$C$125,3,FALSE),"Unmapped")</f>
        <v/>
      </c>
    </row>
    <row r="1486">
      <c r="A1486" t="n">
        <v>2022</v>
      </c>
      <c r="B1486" t="inlineStr">
        <is>
          <t>BS21230</t>
        </is>
      </c>
      <c r="C1486" t="inlineStr">
        <is>
          <t>Non-metallic mineral mining and quarrying</t>
        </is>
      </c>
      <c r="D1486" t="n">
        <v>4775</v>
      </c>
      <c r="E1486">
        <f>IFERROR(VLOOKUP(B1486,Crosswalk!$A$2:$C$125,3,FALSE),"Unmapped")</f>
        <v/>
      </c>
    </row>
    <row r="1487">
      <c r="A1487" t="n">
        <v>2022</v>
      </c>
      <c r="B1487" t="inlineStr">
        <is>
          <t>BS21300</t>
        </is>
      </c>
      <c r="C1487" t="inlineStr">
        <is>
          <t>Support activities for mining and oil and gas extraction</t>
        </is>
      </c>
      <c r="D1487" t="n">
        <v>6566</v>
      </c>
      <c r="E1487">
        <f>IFERROR(VLOOKUP(B1487,Crosswalk!$A$2:$C$125,3,FALSE),"Unmapped")</f>
        <v/>
      </c>
    </row>
    <row r="1488">
      <c r="A1488" t="n">
        <v>2022</v>
      </c>
      <c r="B1488" t="inlineStr">
        <is>
          <t>BS22110</t>
        </is>
      </c>
      <c r="C1488" t="inlineStr">
        <is>
          <t>Electric power generation, transmission and distribution</t>
        </is>
      </c>
      <c r="D1488" t="n">
        <v>59564</v>
      </c>
      <c r="E1488">
        <f>IFERROR(VLOOKUP(B1488,Crosswalk!$A$2:$C$125,3,FALSE),"Unmapped")</f>
        <v/>
      </c>
    </row>
    <row r="1489">
      <c r="A1489" t="n">
        <v>2022</v>
      </c>
      <c r="B1489" t="inlineStr">
        <is>
          <t>BS221A0</t>
        </is>
      </c>
      <c r="C1489" t="inlineStr">
        <is>
          <t>Natural gas distribution, water, sewage and other systems</t>
        </is>
      </c>
      <c r="D1489" t="n">
        <v>2245</v>
      </c>
      <c r="E1489">
        <f>IFERROR(VLOOKUP(B1489,Crosswalk!$A$2:$C$125,3,FALSE),"Unmapped")</f>
        <v/>
      </c>
    </row>
    <row r="1490">
      <c r="A1490" t="n">
        <v>2022</v>
      </c>
      <c r="B1490" t="inlineStr">
        <is>
          <t>BS23A00</t>
        </is>
      </c>
      <c r="C1490" t="inlineStr">
        <is>
          <t>Residential building construction</t>
        </is>
      </c>
      <c r="D1490" t="n">
        <v>2299</v>
      </c>
      <c r="E1490">
        <f>IFERROR(VLOOKUP(B1490,Crosswalk!$A$2:$C$125,3,FALSE),"Unmapped")</f>
        <v/>
      </c>
    </row>
    <row r="1491">
      <c r="A1491" t="n">
        <v>2022</v>
      </c>
      <c r="B1491" t="inlineStr">
        <is>
          <t>BS23B00</t>
        </is>
      </c>
      <c r="C1491" t="inlineStr">
        <is>
          <t>Non-residential building construction</t>
        </is>
      </c>
      <c r="D1491" t="n">
        <v>470</v>
      </c>
      <c r="E1491">
        <f>IFERROR(VLOOKUP(B1491,Crosswalk!$A$2:$C$125,3,FALSE),"Unmapped")</f>
        <v/>
      </c>
    </row>
    <row r="1492">
      <c r="A1492" t="n">
        <v>2022</v>
      </c>
      <c r="B1492" t="inlineStr">
        <is>
          <t>BS23C10</t>
        </is>
      </c>
      <c r="C1492" t="inlineStr">
        <is>
          <t>Transportation engineering construction</t>
        </is>
      </c>
      <c r="D1492" t="n">
        <v>1092</v>
      </c>
      <c r="E1492">
        <f>IFERROR(VLOOKUP(B1492,Crosswalk!$A$2:$C$125,3,FALSE),"Unmapped")</f>
        <v/>
      </c>
    </row>
    <row r="1493">
      <c r="A1493" t="n">
        <v>2022</v>
      </c>
      <c r="B1493" t="inlineStr">
        <is>
          <t>BS23C20</t>
        </is>
      </c>
      <c r="C1493" t="inlineStr">
        <is>
          <t>Oil and gas engineering construction</t>
        </is>
      </c>
      <c r="D1493" t="n">
        <v>1164</v>
      </c>
      <c r="E1493">
        <f>IFERROR(VLOOKUP(B1493,Crosswalk!$A$2:$C$125,3,FALSE),"Unmapped")</f>
        <v/>
      </c>
    </row>
    <row r="1494">
      <c r="A1494" t="n">
        <v>2022</v>
      </c>
      <c r="B1494" t="inlineStr">
        <is>
          <t>BS23C30</t>
        </is>
      </c>
      <c r="C1494" t="inlineStr">
        <is>
          <t>Electric power engineering construction</t>
        </is>
      </c>
      <c r="D1494" t="n">
        <v>640</v>
      </c>
      <c r="E1494">
        <f>IFERROR(VLOOKUP(B1494,Crosswalk!$A$2:$C$125,3,FALSE),"Unmapped")</f>
        <v/>
      </c>
    </row>
    <row r="1495">
      <c r="A1495" t="n">
        <v>2022</v>
      </c>
      <c r="B1495" t="inlineStr">
        <is>
          <t>BS23C40</t>
        </is>
      </c>
      <c r="C1495" t="inlineStr">
        <is>
          <t>Communication engineering construction</t>
        </is>
      </c>
      <c r="D1495" t="n">
        <v>260</v>
      </c>
      <c r="E1495">
        <f>IFERROR(VLOOKUP(B1495,Crosswalk!$A$2:$C$125,3,FALSE),"Unmapped")</f>
        <v/>
      </c>
    </row>
    <row r="1496">
      <c r="A1496" t="n">
        <v>2022</v>
      </c>
      <c r="B1496" t="inlineStr">
        <is>
          <t>BS23C50</t>
        </is>
      </c>
      <c r="C1496" t="inlineStr">
        <is>
          <t>Other engineering construction</t>
        </is>
      </c>
      <c r="D1496" t="n">
        <v>992</v>
      </c>
      <c r="E1496">
        <f>IFERROR(VLOOKUP(B1496,Crosswalk!$A$2:$C$125,3,FALSE),"Unmapped")</f>
        <v/>
      </c>
    </row>
    <row r="1497">
      <c r="A1497" t="n">
        <v>2022</v>
      </c>
      <c r="B1497" t="inlineStr">
        <is>
          <t>BS23D00</t>
        </is>
      </c>
      <c r="C1497" t="inlineStr">
        <is>
          <t>Repair construction</t>
        </is>
      </c>
      <c r="D1497" t="n">
        <v>756</v>
      </c>
      <c r="E1497">
        <f>IFERROR(VLOOKUP(B1497,Crosswalk!$A$2:$C$125,3,FALSE),"Unmapped")</f>
        <v/>
      </c>
    </row>
    <row r="1498">
      <c r="A1498" t="n">
        <v>2022</v>
      </c>
      <c r="B1498" t="inlineStr">
        <is>
          <t>BS23E00</t>
        </is>
      </c>
      <c r="C1498" t="inlineStr">
        <is>
          <t>Other activities of the construction industry</t>
        </is>
      </c>
      <c r="D1498" t="n">
        <v>681</v>
      </c>
      <c r="E1498">
        <f>IFERROR(VLOOKUP(B1498,Crosswalk!$A$2:$C$125,3,FALSE),"Unmapped")</f>
        <v/>
      </c>
    </row>
    <row r="1499">
      <c r="A1499" t="n">
        <v>2022</v>
      </c>
      <c r="B1499" t="inlineStr">
        <is>
          <t>BS31110</t>
        </is>
      </c>
      <c r="C1499" t="inlineStr">
        <is>
          <t>Animal food manufacturing</t>
        </is>
      </c>
      <c r="D1499" t="n">
        <v>417</v>
      </c>
      <c r="E1499">
        <f>IFERROR(VLOOKUP(B1499,Crosswalk!$A$2:$C$125,3,FALSE),"Unmapped")</f>
        <v/>
      </c>
    </row>
    <row r="1500">
      <c r="A1500" t="n">
        <v>2022</v>
      </c>
      <c r="B1500" t="inlineStr">
        <is>
          <t>BS31130</t>
        </is>
      </c>
      <c r="C1500" t="inlineStr">
        <is>
          <t>Sugar and confectionery product manufacturing</t>
        </is>
      </c>
      <c r="D1500" t="n">
        <v>481</v>
      </c>
      <c r="E1500">
        <f>IFERROR(VLOOKUP(B1500,Crosswalk!$A$2:$C$125,3,FALSE),"Unmapped")</f>
        <v/>
      </c>
    </row>
    <row r="1501">
      <c r="A1501" t="n">
        <v>2022</v>
      </c>
      <c r="B1501" t="inlineStr">
        <is>
          <t>BS31140</t>
        </is>
      </c>
      <c r="C1501" t="inlineStr">
        <is>
          <t>Fruit and vegetable preserving and specialty food manufacturing</t>
        </is>
      </c>
      <c r="D1501" t="n">
        <v>553</v>
      </c>
      <c r="E1501">
        <f>IFERROR(VLOOKUP(B1501,Crosswalk!$A$2:$C$125,3,FALSE),"Unmapped")</f>
        <v/>
      </c>
    </row>
    <row r="1502">
      <c r="A1502" t="n">
        <v>2022</v>
      </c>
      <c r="B1502" t="inlineStr">
        <is>
          <t>BS31150</t>
        </is>
      </c>
      <c r="C1502" t="inlineStr">
        <is>
          <t>Dairy product manufacturing</t>
        </is>
      </c>
      <c r="D1502" t="n">
        <v>543</v>
      </c>
      <c r="E1502">
        <f>IFERROR(VLOOKUP(B1502,Crosswalk!$A$2:$C$125,3,FALSE),"Unmapped")</f>
        <v/>
      </c>
    </row>
    <row r="1503">
      <c r="A1503" t="n">
        <v>2022</v>
      </c>
      <c r="B1503" t="inlineStr">
        <is>
          <t>BS31160</t>
        </is>
      </c>
      <c r="C1503" t="inlineStr">
        <is>
          <t>Meat product manufacturing</t>
        </is>
      </c>
      <c r="D1503" t="n">
        <v>1202</v>
      </c>
      <c r="E1503">
        <f>IFERROR(VLOOKUP(B1503,Crosswalk!$A$2:$C$125,3,FALSE),"Unmapped")</f>
        <v/>
      </c>
    </row>
    <row r="1504">
      <c r="A1504" t="n">
        <v>2022</v>
      </c>
      <c r="B1504" t="inlineStr">
        <is>
          <t>BS31170</t>
        </is>
      </c>
      <c r="C1504" t="inlineStr">
        <is>
          <t>Seafood product preparation and packaging</t>
        </is>
      </c>
      <c r="D1504" t="n">
        <v>114</v>
      </c>
      <c r="E1504">
        <f>IFERROR(VLOOKUP(B1504,Crosswalk!$A$2:$C$125,3,FALSE),"Unmapped")</f>
        <v/>
      </c>
    </row>
    <row r="1505">
      <c r="A1505" t="n">
        <v>2022</v>
      </c>
      <c r="B1505" t="inlineStr">
        <is>
          <t>BS311A0</t>
        </is>
      </c>
      <c r="C1505" t="inlineStr">
        <is>
          <t>Miscellaneous food manufacturing</t>
        </is>
      </c>
      <c r="D1505" t="n">
        <v>2238</v>
      </c>
      <c r="E1505">
        <f>IFERROR(VLOOKUP(B1505,Crosswalk!$A$2:$C$125,3,FALSE),"Unmapped")</f>
        <v/>
      </c>
    </row>
    <row r="1506">
      <c r="A1506" t="n">
        <v>2022</v>
      </c>
      <c r="B1506" t="inlineStr">
        <is>
          <t>BS31211</t>
        </is>
      </c>
      <c r="C1506" t="inlineStr">
        <is>
          <t>Soft drink and ice manufacturing</t>
        </is>
      </c>
      <c r="D1506" t="n">
        <v>163</v>
      </c>
      <c r="E1506">
        <f>IFERROR(VLOOKUP(B1506,Crosswalk!$A$2:$C$125,3,FALSE),"Unmapped")</f>
        <v/>
      </c>
    </row>
    <row r="1507">
      <c r="A1507" t="n">
        <v>2022</v>
      </c>
      <c r="B1507" t="inlineStr">
        <is>
          <t>BS31212</t>
        </is>
      </c>
      <c r="C1507" t="inlineStr">
        <is>
          <t>Breweries</t>
        </is>
      </c>
      <c r="D1507" t="n">
        <v>402</v>
      </c>
      <c r="E1507">
        <f>IFERROR(VLOOKUP(B1507,Crosswalk!$A$2:$C$125,3,FALSE),"Unmapped")</f>
        <v/>
      </c>
    </row>
    <row r="1508">
      <c r="A1508" t="n">
        <v>2022</v>
      </c>
      <c r="B1508" t="inlineStr">
        <is>
          <t>BS3121A</t>
        </is>
      </c>
      <c r="C1508" t="inlineStr">
        <is>
          <t>Wineries and distilleries</t>
        </is>
      </c>
      <c r="D1508" t="n">
        <v>244</v>
      </c>
      <c r="E1508">
        <f>IFERROR(VLOOKUP(B1508,Crosswalk!$A$2:$C$125,3,FALSE),"Unmapped")</f>
        <v/>
      </c>
    </row>
    <row r="1509">
      <c r="A1509" t="n">
        <v>2022</v>
      </c>
      <c r="B1509" t="inlineStr">
        <is>
          <t>BS312A0</t>
        </is>
      </c>
      <c r="C1509" t="inlineStr">
        <is>
          <t>Tobacco and cannabis product manufacturing</t>
        </is>
      </c>
      <c r="D1509" t="n">
        <v>49</v>
      </c>
      <c r="E1509">
        <f>IFERROR(VLOOKUP(B1509,Crosswalk!$A$2:$C$125,3,FALSE),"Unmapped")</f>
        <v/>
      </c>
    </row>
    <row r="1510">
      <c r="A1510" t="n">
        <v>2022</v>
      </c>
      <c r="B1510" t="inlineStr">
        <is>
          <t>BS31A00</t>
        </is>
      </c>
      <c r="C1510" t="inlineStr">
        <is>
          <t>Textile and textile product mills</t>
        </is>
      </c>
      <c r="D1510" t="n">
        <v>158</v>
      </c>
      <c r="E1510">
        <f>IFERROR(VLOOKUP(B1510,Crosswalk!$A$2:$C$125,3,FALSE),"Unmapped")</f>
        <v/>
      </c>
    </row>
    <row r="1511">
      <c r="A1511" t="n">
        <v>2022</v>
      </c>
      <c r="B1511" t="inlineStr">
        <is>
          <t>BS31B00</t>
        </is>
      </c>
      <c r="C1511" t="inlineStr">
        <is>
          <t>Clothing and leather and allied product manufacturing</t>
        </is>
      </c>
      <c r="D1511" t="n">
        <v>50</v>
      </c>
      <c r="E1511">
        <f>IFERROR(VLOOKUP(B1511,Crosswalk!$A$2:$C$125,3,FALSE),"Unmapped")</f>
        <v/>
      </c>
    </row>
    <row r="1512">
      <c r="A1512" t="n">
        <v>2022</v>
      </c>
      <c r="B1512" t="inlineStr">
        <is>
          <t>BS32100</t>
        </is>
      </c>
      <c r="C1512" t="inlineStr">
        <is>
          <t>Wood product manufacturing</t>
        </is>
      </c>
      <c r="D1512" t="n">
        <v>11102</v>
      </c>
      <c r="E1512">
        <f>IFERROR(VLOOKUP(B1512,Crosswalk!$A$2:$C$125,3,FALSE),"Unmapped")</f>
        <v/>
      </c>
    </row>
    <row r="1513">
      <c r="A1513" t="n">
        <v>2022</v>
      </c>
      <c r="B1513" t="inlineStr">
        <is>
          <t>BS32210</t>
        </is>
      </c>
      <c r="C1513" t="inlineStr">
        <is>
          <t>Pulp, paper and paperboard mills</t>
        </is>
      </c>
      <c r="D1513" t="n">
        <v>36831</v>
      </c>
      <c r="E1513">
        <f>IFERROR(VLOOKUP(B1513,Crosswalk!$A$2:$C$125,3,FALSE),"Unmapped")</f>
        <v/>
      </c>
    </row>
    <row r="1514">
      <c r="A1514" t="n">
        <v>2022</v>
      </c>
      <c r="B1514" t="inlineStr">
        <is>
          <t>BS32220</t>
        </is>
      </c>
      <c r="C1514" t="inlineStr">
        <is>
          <t>Converted paper product manufacturing</t>
        </is>
      </c>
      <c r="D1514" t="n">
        <v>605</v>
      </c>
      <c r="E1514">
        <f>IFERROR(VLOOKUP(B1514,Crosswalk!$A$2:$C$125,3,FALSE),"Unmapped")</f>
        <v/>
      </c>
    </row>
    <row r="1515">
      <c r="A1515" t="n">
        <v>2022</v>
      </c>
      <c r="B1515" t="inlineStr">
        <is>
          <t>BS32300</t>
        </is>
      </c>
      <c r="C1515" t="inlineStr">
        <is>
          <t>Printing and related support activities</t>
        </is>
      </c>
      <c r="D1515" t="n">
        <v>201</v>
      </c>
      <c r="E1515">
        <f>IFERROR(VLOOKUP(B1515,Crosswalk!$A$2:$C$125,3,FALSE),"Unmapped")</f>
        <v/>
      </c>
    </row>
    <row r="1516">
      <c r="A1516" t="n">
        <v>2022</v>
      </c>
      <c r="B1516" t="inlineStr">
        <is>
          <t>BS32400</t>
        </is>
      </c>
      <c r="C1516" t="inlineStr">
        <is>
          <t>Petroleum and coal product manufacturing</t>
        </is>
      </c>
      <c r="D1516" t="n">
        <v>20926</v>
      </c>
      <c r="E1516">
        <f>IFERROR(VLOOKUP(B1516,Crosswalk!$A$2:$C$125,3,FALSE),"Unmapped")</f>
        <v/>
      </c>
    </row>
    <row r="1517">
      <c r="A1517" t="n">
        <v>2022</v>
      </c>
      <c r="B1517" t="inlineStr">
        <is>
          <t>BS32510</t>
        </is>
      </c>
      <c r="C1517" t="inlineStr">
        <is>
          <t>Basic chemical manufacturing</t>
        </is>
      </c>
      <c r="D1517" t="n">
        <v>11501</v>
      </c>
      <c r="E1517">
        <f>IFERROR(VLOOKUP(B1517,Crosswalk!$A$2:$C$125,3,FALSE),"Unmapped")</f>
        <v/>
      </c>
    </row>
    <row r="1518">
      <c r="A1518" t="n">
        <v>2022</v>
      </c>
      <c r="B1518" t="inlineStr">
        <is>
          <t>BS32530</t>
        </is>
      </c>
      <c r="C1518" t="inlineStr">
        <is>
          <t>Pesticide, fertilizer and other agricultural chemical manufacturing</t>
        </is>
      </c>
      <c r="D1518" t="n">
        <v>5770</v>
      </c>
      <c r="E1518">
        <f>IFERROR(VLOOKUP(B1518,Crosswalk!$A$2:$C$125,3,FALSE),"Unmapped")</f>
        <v/>
      </c>
    </row>
    <row r="1519">
      <c r="A1519" t="n">
        <v>2022</v>
      </c>
      <c r="B1519" t="inlineStr">
        <is>
          <t>BS32540</t>
        </is>
      </c>
      <c r="C1519" t="inlineStr">
        <is>
          <t>Pharmaceutical and medicine manufacturing</t>
        </is>
      </c>
      <c r="D1519" t="n">
        <v>261</v>
      </c>
      <c r="E1519">
        <f>IFERROR(VLOOKUP(B1519,Crosswalk!$A$2:$C$125,3,FALSE),"Unmapped")</f>
        <v/>
      </c>
    </row>
    <row r="1520">
      <c r="A1520" t="n">
        <v>2022</v>
      </c>
      <c r="B1520" t="inlineStr">
        <is>
          <t>BS325C0</t>
        </is>
      </c>
      <c r="C1520" t="inlineStr">
        <is>
          <t>Miscellaneous chemical product manufacturing</t>
        </is>
      </c>
      <c r="D1520" t="n">
        <v>1626</v>
      </c>
      <c r="E1520">
        <f>IFERROR(VLOOKUP(B1520,Crosswalk!$A$2:$C$125,3,FALSE),"Unmapped")</f>
        <v/>
      </c>
    </row>
    <row r="1521">
      <c r="A1521" t="n">
        <v>2022</v>
      </c>
      <c r="B1521" t="inlineStr">
        <is>
          <t>BS32610</t>
        </is>
      </c>
      <c r="C1521" t="inlineStr">
        <is>
          <t>Plastic product manufacturing</t>
        </is>
      </c>
      <c r="D1521" t="n">
        <v>842</v>
      </c>
      <c r="E1521">
        <f>IFERROR(VLOOKUP(B1521,Crosswalk!$A$2:$C$125,3,FALSE),"Unmapped")</f>
        <v/>
      </c>
    </row>
    <row r="1522">
      <c r="A1522" t="n">
        <v>2022</v>
      </c>
      <c r="B1522" t="inlineStr">
        <is>
          <t>BS32620</t>
        </is>
      </c>
      <c r="C1522" t="inlineStr">
        <is>
          <t>Rubber product manufacturing</t>
        </is>
      </c>
      <c r="D1522" t="n">
        <v>204</v>
      </c>
      <c r="E1522">
        <f>IFERROR(VLOOKUP(B1522,Crosswalk!$A$2:$C$125,3,FALSE),"Unmapped")</f>
        <v/>
      </c>
    </row>
    <row r="1523">
      <c r="A1523" t="n">
        <v>2022</v>
      </c>
      <c r="B1523" t="inlineStr">
        <is>
          <t>BS32730</t>
        </is>
      </c>
      <c r="C1523" t="inlineStr">
        <is>
          <t>Cement and concrete product manufacturing</t>
        </is>
      </c>
      <c r="D1523" t="n">
        <v>10885</v>
      </c>
      <c r="E1523">
        <f>IFERROR(VLOOKUP(B1523,Crosswalk!$A$2:$C$125,3,FALSE),"Unmapped")</f>
        <v/>
      </c>
    </row>
    <row r="1524">
      <c r="A1524" t="n">
        <v>2022</v>
      </c>
      <c r="B1524" t="inlineStr">
        <is>
          <t>BS327A0</t>
        </is>
      </c>
      <c r="C1524" t="inlineStr">
        <is>
          <t>Non-metallic mineral product manufacturing (except cement and concrete products)</t>
        </is>
      </c>
      <c r="D1524" t="n">
        <v>2598</v>
      </c>
      <c r="E1524">
        <f>IFERROR(VLOOKUP(B1524,Crosswalk!$A$2:$C$125,3,FALSE),"Unmapped")</f>
        <v/>
      </c>
    </row>
    <row r="1525">
      <c r="A1525" t="n">
        <v>2022</v>
      </c>
      <c r="B1525" t="inlineStr">
        <is>
          <t>BS33100</t>
        </is>
      </c>
      <c r="C1525" t="inlineStr">
        <is>
          <t>Primary metal manufacturing</t>
        </is>
      </c>
      <c r="D1525" t="n">
        <v>23725</v>
      </c>
      <c r="E1525">
        <f>IFERROR(VLOOKUP(B1525,Crosswalk!$A$2:$C$125,3,FALSE),"Unmapped")</f>
        <v/>
      </c>
    </row>
    <row r="1526">
      <c r="A1526" t="n">
        <v>2022</v>
      </c>
      <c r="B1526" t="inlineStr">
        <is>
          <t>BS33200</t>
        </is>
      </c>
      <c r="C1526" t="inlineStr">
        <is>
          <t>Fabricated metal product manufacturing</t>
        </is>
      </c>
      <c r="D1526" t="n">
        <v>1521</v>
      </c>
      <c r="E1526">
        <f>IFERROR(VLOOKUP(B1526,Crosswalk!$A$2:$C$125,3,FALSE),"Unmapped")</f>
        <v/>
      </c>
    </row>
    <row r="1527">
      <c r="A1527" t="n">
        <v>2022</v>
      </c>
      <c r="B1527" t="inlineStr">
        <is>
          <t>BS33300</t>
        </is>
      </c>
      <c r="C1527" t="inlineStr">
        <is>
          <t>Machinery manufacturing</t>
        </is>
      </c>
      <c r="D1527" t="n">
        <v>859</v>
      </c>
      <c r="E1527">
        <f>IFERROR(VLOOKUP(B1527,Crosswalk!$A$2:$C$125,3,FALSE),"Unmapped")</f>
        <v/>
      </c>
    </row>
    <row r="1528">
      <c r="A1528" t="n">
        <v>2022</v>
      </c>
      <c r="B1528" t="inlineStr">
        <is>
          <t>BS33400</t>
        </is>
      </c>
      <c r="C1528" t="inlineStr">
        <is>
          <t>Computer and electronic product manufacturing</t>
        </is>
      </c>
      <c r="D1528" t="n">
        <v>141</v>
      </c>
      <c r="E1528">
        <f>IFERROR(VLOOKUP(B1528,Crosswalk!$A$2:$C$125,3,FALSE),"Unmapped")</f>
        <v/>
      </c>
    </row>
    <row r="1529">
      <c r="A1529" t="n">
        <v>2022</v>
      </c>
      <c r="B1529" t="inlineStr">
        <is>
          <t>BS33500</t>
        </is>
      </c>
      <c r="C1529" t="inlineStr">
        <is>
          <t>Electrical equipment, appliance and component manufacturing</t>
        </is>
      </c>
      <c r="D1529" t="n">
        <v>156</v>
      </c>
      <c r="E1529">
        <f>IFERROR(VLOOKUP(B1529,Crosswalk!$A$2:$C$125,3,FALSE),"Unmapped")</f>
        <v/>
      </c>
    </row>
    <row r="1530">
      <c r="A1530" t="n">
        <v>2022</v>
      </c>
      <c r="B1530" t="inlineStr">
        <is>
          <t>BS33610</t>
        </is>
      </c>
      <c r="C1530" t="inlineStr">
        <is>
          <t>Motor vehicle manufacturing</t>
        </is>
      </c>
      <c r="D1530" t="n">
        <v>635</v>
      </c>
      <c r="E1530">
        <f>IFERROR(VLOOKUP(B1530,Crosswalk!$A$2:$C$125,3,FALSE),"Unmapped")</f>
        <v/>
      </c>
    </row>
    <row r="1531">
      <c r="A1531" t="n">
        <v>2022</v>
      </c>
      <c r="B1531" t="inlineStr">
        <is>
          <t>BS33620</t>
        </is>
      </c>
      <c r="C1531" t="inlineStr">
        <is>
          <t>Motor vehicle body and trailer manufacturing</t>
        </is>
      </c>
      <c r="D1531" t="n">
        <v>86</v>
      </c>
      <c r="E1531">
        <f>IFERROR(VLOOKUP(B1531,Crosswalk!$A$2:$C$125,3,FALSE),"Unmapped")</f>
        <v/>
      </c>
    </row>
    <row r="1532">
      <c r="A1532" t="n">
        <v>2022</v>
      </c>
      <c r="B1532" t="inlineStr">
        <is>
          <t>BS33630</t>
        </is>
      </c>
      <c r="C1532" t="inlineStr">
        <is>
          <t>Motor vehicle parts manufacturing</t>
        </is>
      </c>
      <c r="D1532" t="n">
        <v>372</v>
      </c>
      <c r="E1532">
        <f>IFERROR(VLOOKUP(B1532,Crosswalk!$A$2:$C$125,3,FALSE),"Unmapped")</f>
        <v/>
      </c>
    </row>
    <row r="1533">
      <c r="A1533" t="n">
        <v>2022</v>
      </c>
      <c r="B1533" t="inlineStr">
        <is>
          <t>BS33640</t>
        </is>
      </c>
      <c r="C1533" t="inlineStr">
        <is>
          <t>Aerospace product and parts manufacturing</t>
        </is>
      </c>
      <c r="D1533" t="n">
        <v>264</v>
      </c>
      <c r="E1533">
        <f>IFERROR(VLOOKUP(B1533,Crosswalk!$A$2:$C$125,3,FALSE),"Unmapped")</f>
        <v/>
      </c>
    </row>
    <row r="1534">
      <c r="A1534" t="n">
        <v>2022</v>
      </c>
      <c r="B1534" t="inlineStr">
        <is>
          <t>BS33650</t>
        </is>
      </c>
      <c r="C1534" t="inlineStr">
        <is>
          <t>Railroad rolling stock manufacturing</t>
        </is>
      </c>
      <c r="D1534" t="n">
        <v>15</v>
      </c>
      <c r="E1534">
        <f>IFERROR(VLOOKUP(B1534,Crosswalk!$A$2:$C$125,3,FALSE),"Unmapped")</f>
        <v/>
      </c>
    </row>
    <row r="1535">
      <c r="A1535" t="n">
        <v>2022</v>
      </c>
      <c r="B1535" t="inlineStr">
        <is>
          <t>BS33660</t>
        </is>
      </c>
      <c r="C1535" t="inlineStr">
        <is>
          <t>Ship and boat building</t>
        </is>
      </c>
      <c r="D1535" t="n">
        <v>48</v>
      </c>
      <c r="E1535">
        <f>IFERROR(VLOOKUP(B1535,Crosswalk!$A$2:$C$125,3,FALSE),"Unmapped")</f>
        <v/>
      </c>
    </row>
    <row r="1536">
      <c r="A1536" t="n">
        <v>2022</v>
      </c>
      <c r="B1536" t="inlineStr">
        <is>
          <t>BS33690</t>
        </is>
      </c>
      <c r="C1536" t="inlineStr">
        <is>
          <t>Other transportation equipment manufacturing</t>
        </is>
      </c>
      <c r="D1536" t="n">
        <v>54</v>
      </c>
      <c r="E1536">
        <f>IFERROR(VLOOKUP(B1536,Crosswalk!$A$2:$C$125,3,FALSE),"Unmapped")</f>
        <v/>
      </c>
    </row>
    <row r="1537">
      <c r="A1537" t="n">
        <v>2022</v>
      </c>
      <c r="B1537" t="inlineStr">
        <is>
          <t>BS33700</t>
        </is>
      </c>
      <c r="C1537" t="inlineStr">
        <is>
          <t>Furniture and related product manufacturing</t>
        </is>
      </c>
      <c r="D1537" t="n">
        <v>426</v>
      </c>
      <c r="E1537">
        <f>IFERROR(VLOOKUP(B1537,Crosswalk!$A$2:$C$125,3,FALSE),"Unmapped")</f>
        <v/>
      </c>
    </row>
    <row r="1538">
      <c r="A1538" t="n">
        <v>2022</v>
      </c>
      <c r="B1538" t="inlineStr">
        <is>
          <t>BS33900</t>
        </is>
      </c>
      <c r="C1538" t="inlineStr">
        <is>
          <t>Miscellaneous manufacturing</t>
        </is>
      </c>
      <c r="D1538" t="n">
        <v>345</v>
      </c>
      <c r="E1538">
        <f>IFERROR(VLOOKUP(B1538,Crosswalk!$A$2:$C$125,3,FALSE),"Unmapped")</f>
        <v/>
      </c>
    </row>
    <row r="1539">
      <c r="A1539" t="n">
        <v>2022</v>
      </c>
      <c r="B1539" t="inlineStr">
        <is>
          <t>BS41000</t>
        </is>
      </c>
      <c r="C1539" t="inlineStr">
        <is>
          <t>Wholesale trade</t>
        </is>
      </c>
      <c r="D1539" t="n">
        <v>9971</v>
      </c>
      <c r="E1539">
        <f>IFERROR(VLOOKUP(B1539,Crosswalk!$A$2:$C$125,3,FALSE),"Unmapped")</f>
        <v/>
      </c>
    </row>
    <row r="1540">
      <c r="A1540" t="n">
        <v>2022</v>
      </c>
      <c r="B1540" t="inlineStr">
        <is>
          <t>BS459BL</t>
        </is>
      </c>
      <c r="C1540" t="inlineStr">
        <is>
          <t>Cannabis retailers (licensed)</t>
        </is>
      </c>
      <c r="D1540" t="n">
        <v>79</v>
      </c>
      <c r="E1540">
        <f>IFERROR(VLOOKUP(B1540,Crosswalk!$A$2:$C$125,3,FALSE),"Unmapped")</f>
        <v/>
      </c>
    </row>
    <row r="1541">
      <c r="A1541" t="n">
        <v>2022</v>
      </c>
      <c r="B1541" t="inlineStr">
        <is>
          <t>BS459BU</t>
        </is>
      </c>
      <c r="C1541" t="inlineStr">
        <is>
          <t>Cannabis retailers (unlicensed)</t>
        </is>
      </c>
      <c r="D1541" t="n">
        <v>23</v>
      </c>
      <c r="E1541">
        <f>IFERROR(VLOOKUP(B1541,Crosswalk!$A$2:$C$125,3,FALSE),"Unmapped")</f>
        <v/>
      </c>
    </row>
    <row r="1542">
      <c r="A1542" t="n">
        <v>2022</v>
      </c>
      <c r="B1542" t="inlineStr">
        <is>
          <t>BS48100</t>
        </is>
      </c>
      <c r="C1542" t="inlineStr">
        <is>
          <t>Air transportation</t>
        </is>
      </c>
      <c r="D1542" t="n">
        <v>18781</v>
      </c>
      <c r="E1542">
        <f>IFERROR(VLOOKUP(B1542,Crosswalk!$A$2:$C$125,3,FALSE),"Unmapped")</f>
        <v/>
      </c>
    </row>
    <row r="1543">
      <c r="A1543" t="n">
        <v>2022</v>
      </c>
      <c r="B1543" t="inlineStr">
        <is>
          <t>BS48200</t>
        </is>
      </c>
      <c r="C1543" t="inlineStr">
        <is>
          <t>Rail transportation</t>
        </is>
      </c>
      <c r="D1543" t="n">
        <v>5325</v>
      </c>
      <c r="E1543">
        <f>IFERROR(VLOOKUP(B1543,Crosswalk!$A$2:$C$125,3,FALSE),"Unmapped")</f>
        <v/>
      </c>
    </row>
    <row r="1544">
      <c r="A1544" t="n">
        <v>2022</v>
      </c>
      <c r="B1544" t="inlineStr">
        <is>
          <t>BS48300</t>
        </is>
      </c>
      <c r="C1544" t="inlineStr">
        <is>
          <t>Water transportation</t>
        </is>
      </c>
      <c r="D1544" t="n">
        <v>1885</v>
      </c>
      <c r="E1544">
        <f>IFERROR(VLOOKUP(B1544,Crosswalk!$A$2:$C$125,3,FALSE),"Unmapped")</f>
        <v/>
      </c>
    </row>
    <row r="1545">
      <c r="A1545" t="n">
        <v>2022</v>
      </c>
      <c r="B1545" t="inlineStr">
        <is>
          <t>BS48400</t>
        </is>
      </c>
      <c r="C1545" t="inlineStr">
        <is>
          <t>Truck transportation</t>
        </is>
      </c>
      <c r="D1545" t="n">
        <v>19569</v>
      </c>
      <c r="E1545">
        <f>IFERROR(VLOOKUP(B1545,Crosswalk!$A$2:$C$125,3,FALSE),"Unmapped")</f>
        <v/>
      </c>
    </row>
    <row r="1546">
      <c r="A1546" t="n">
        <v>2022</v>
      </c>
      <c r="B1546" t="inlineStr">
        <is>
          <t>BS48600</t>
        </is>
      </c>
      <c r="C1546" t="inlineStr">
        <is>
          <t>Pipeline transportation</t>
        </is>
      </c>
      <c r="D1546" t="n">
        <v>10547</v>
      </c>
      <c r="E1546">
        <f>IFERROR(VLOOKUP(B1546,Crosswalk!$A$2:$C$125,3,FALSE),"Unmapped")</f>
        <v/>
      </c>
    </row>
    <row r="1547">
      <c r="A1547" t="n">
        <v>2022</v>
      </c>
      <c r="B1547" t="inlineStr">
        <is>
          <t>BS48B00</t>
        </is>
      </c>
      <c r="C1547" t="inlineStr">
        <is>
          <t>Transit, ground passenger and scenic and sightseeing transportation, taxi and limousine service and support activities for transportation</t>
        </is>
      </c>
      <c r="D1547" t="n">
        <v>4178</v>
      </c>
      <c r="E1547">
        <f>IFERROR(VLOOKUP(B1547,Crosswalk!$A$2:$C$125,3,FALSE),"Unmapped")</f>
        <v/>
      </c>
    </row>
    <row r="1548">
      <c r="A1548" t="n">
        <v>2022</v>
      </c>
      <c r="B1548" t="inlineStr">
        <is>
          <t>BS49300</t>
        </is>
      </c>
      <c r="C1548" t="inlineStr">
        <is>
          <t>Warehousing and storage</t>
        </is>
      </c>
      <c r="D1548" t="n">
        <v>330</v>
      </c>
      <c r="E1548">
        <f>IFERROR(VLOOKUP(B1548,Crosswalk!$A$2:$C$125,3,FALSE),"Unmapped")</f>
        <v/>
      </c>
    </row>
    <row r="1549">
      <c r="A1549" t="n">
        <v>2022</v>
      </c>
      <c r="B1549" t="inlineStr">
        <is>
          <t>BS49A00</t>
        </is>
      </c>
      <c r="C1549" t="inlineStr">
        <is>
          <t>Postal service and couriers and messengers</t>
        </is>
      </c>
      <c r="D1549" t="n">
        <v>2663</v>
      </c>
      <c r="E1549">
        <f>IFERROR(VLOOKUP(B1549,Crosswalk!$A$2:$C$125,3,FALSE),"Unmapped")</f>
        <v/>
      </c>
    </row>
    <row r="1550">
      <c r="A1550" t="n">
        <v>2022</v>
      </c>
      <c r="B1550" t="inlineStr">
        <is>
          <t>BS4AA00</t>
        </is>
      </c>
      <c r="C1550" t="inlineStr">
        <is>
          <t>Retail trade (except cannabis)</t>
        </is>
      </c>
      <c r="D1550" t="n">
        <v>7965</v>
      </c>
      <c r="E1550">
        <f>IFERROR(VLOOKUP(B1550,Crosswalk!$A$2:$C$125,3,FALSE),"Unmapped")</f>
        <v/>
      </c>
    </row>
    <row r="1551">
      <c r="A1551" t="n">
        <v>2022</v>
      </c>
      <c r="B1551" t="inlineStr">
        <is>
          <t>BS51200</t>
        </is>
      </c>
      <c r="C1551" t="inlineStr">
        <is>
          <t>Motion picture and sound recording industries</t>
        </is>
      </c>
      <c r="D1551" t="n">
        <v>511</v>
      </c>
      <c r="E1551">
        <f>IFERROR(VLOOKUP(B1551,Crosswalk!$A$2:$C$125,3,FALSE),"Unmapped")</f>
        <v/>
      </c>
    </row>
    <row r="1552">
      <c r="A1552" t="n">
        <v>2022</v>
      </c>
      <c r="B1552" t="inlineStr">
        <is>
          <t>BS51610</t>
        </is>
      </c>
      <c r="C1552" t="inlineStr">
        <is>
          <t>Radio and television broadcasting stations</t>
        </is>
      </c>
      <c r="D1552" t="n">
        <v>10</v>
      </c>
      <c r="E1552">
        <f>IFERROR(VLOOKUP(B1552,Crosswalk!$A$2:$C$125,3,FALSE),"Unmapped")</f>
        <v/>
      </c>
    </row>
    <row r="1553">
      <c r="A1553" t="n">
        <v>2022</v>
      </c>
      <c r="B1553" t="inlineStr">
        <is>
          <t>BS51B00</t>
        </is>
      </c>
      <c r="C1553" t="inlineStr">
        <is>
          <t>Publishing, pay/specialty services, telecommunications and other information services</t>
        </is>
      </c>
      <c r="D1553" t="n">
        <v>616</v>
      </c>
      <c r="E1553">
        <f>IFERROR(VLOOKUP(B1553,Crosswalk!$A$2:$C$125,3,FALSE),"Unmapped")</f>
        <v/>
      </c>
    </row>
    <row r="1554">
      <c r="A1554" t="n">
        <v>2022</v>
      </c>
      <c r="B1554" t="inlineStr">
        <is>
          <t>BS52410</t>
        </is>
      </c>
      <c r="C1554" t="inlineStr">
        <is>
          <t>Insurance carriers</t>
        </is>
      </c>
      <c r="D1554" t="n">
        <v>58</v>
      </c>
      <c r="E1554">
        <f>IFERROR(VLOOKUP(B1554,Crosswalk!$A$2:$C$125,3,FALSE),"Unmapped")</f>
        <v/>
      </c>
    </row>
    <row r="1555">
      <c r="A1555" t="n">
        <v>2022</v>
      </c>
      <c r="B1555" t="inlineStr">
        <is>
          <t>BS52B00</t>
        </is>
      </c>
      <c r="C1555" t="inlineStr">
        <is>
          <t>Depository credit intermediation and monetary authorities</t>
        </is>
      </c>
      <c r="D1555" t="n">
        <v>782</v>
      </c>
      <c r="E1555">
        <f>IFERROR(VLOOKUP(B1555,Crosswalk!$A$2:$C$125,3,FALSE),"Unmapped")</f>
        <v/>
      </c>
    </row>
    <row r="1556">
      <c r="A1556" t="n">
        <v>2022</v>
      </c>
      <c r="B1556" t="inlineStr">
        <is>
          <t>BS53110</t>
        </is>
      </c>
      <c r="C1556" t="inlineStr">
        <is>
          <t>Lessors of real estate</t>
        </is>
      </c>
      <c r="D1556" t="n">
        <v>6168</v>
      </c>
      <c r="E1556">
        <f>IFERROR(VLOOKUP(B1556,Crosswalk!$A$2:$C$125,3,FALSE),"Unmapped")</f>
        <v/>
      </c>
    </row>
    <row r="1557">
      <c r="A1557" t="n">
        <v>2022</v>
      </c>
      <c r="B1557" t="inlineStr">
        <is>
          <t>BS5311A</t>
        </is>
      </c>
      <c r="C1557" t="inlineStr">
        <is>
          <t>Owner-occupied dwellings</t>
        </is>
      </c>
      <c r="D1557" t="n">
        <v>0</v>
      </c>
      <c r="E1557">
        <f>IFERROR(VLOOKUP(B1557,Crosswalk!$A$2:$C$125,3,FALSE),"Unmapped")</f>
        <v/>
      </c>
    </row>
    <row r="1558">
      <c r="A1558" t="n">
        <v>2022</v>
      </c>
      <c r="B1558" t="inlineStr">
        <is>
          <t>BS53B00</t>
        </is>
      </c>
      <c r="C1558" t="inlineStr">
        <is>
          <t>Rental and leasing services and lessors of non-financial intangible assets (except copyrighted works)</t>
        </is>
      </c>
      <c r="D1558" t="n">
        <v>2836</v>
      </c>
      <c r="E1558">
        <f>IFERROR(VLOOKUP(B1558,Crosswalk!$A$2:$C$125,3,FALSE),"Unmapped")</f>
        <v/>
      </c>
    </row>
    <row r="1559">
      <c r="A1559" t="n">
        <v>2022</v>
      </c>
      <c r="B1559" t="inlineStr">
        <is>
          <t>BS54180</t>
        </is>
      </c>
      <c r="C1559" t="inlineStr">
        <is>
          <t>Advertising, public relations and related services</t>
        </is>
      </c>
      <c r="D1559" t="n">
        <v>173</v>
      </c>
      <c r="E1559">
        <f>IFERROR(VLOOKUP(B1559,Crosswalk!$A$2:$C$125,3,FALSE),"Unmapped")</f>
        <v/>
      </c>
    </row>
    <row r="1560">
      <c r="A1560" t="n">
        <v>2022</v>
      </c>
      <c r="B1560" t="inlineStr">
        <is>
          <t>BS541C0</t>
        </is>
      </c>
      <c r="C1560" t="inlineStr">
        <is>
          <t>Legal, accounting and architectural, engineering and related services</t>
        </is>
      </c>
      <c r="D1560" t="n">
        <v>1135</v>
      </c>
      <c r="E1560">
        <f>IFERROR(VLOOKUP(B1560,Crosswalk!$A$2:$C$125,3,FALSE),"Unmapped")</f>
        <v/>
      </c>
    </row>
    <row r="1561">
      <c r="A1561" t="n">
        <v>2022</v>
      </c>
      <c r="B1561" t="inlineStr">
        <is>
          <t>BS541D0</t>
        </is>
      </c>
      <c r="C1561" t="inlineStr">
        <is>
          <t>Computer systems design and other professional, scientific and technical services</t>
        </is>
      </c>
      <c r="D1561" t="n">
        <v>828</v>
      </c>
      <c r="E1561">
        <f>IFERROR(VLOOKUP(B1561,Crosswalk!$A$2:$C$125,3,FALSE),"Unmapped")</f>
        <v/>
      </c>
    </row>
    <row r="1562">
      <c r="A1562" t="n">
        <v>2022</v>
      </c>
      <c r="B1562" t="inlineStr">
        <is>
          <t>BS56100</t>
        </is>
      </c>
      <c r="C1562" t="inlineStr">
        <is>
          <t>Administrative and support services</t>
        </is>
      </c>
      <c r="D1562" t="n">
        <v>2756</v>
      </c>
      <c r="E1562">
        <f>IFERROR(VLOOKUP(B1562,Crosswalk!$A$2:$C$125,3,FALSE),"Unmapped")</f>
        <v/>
      </c>
    </row>
    <row r="1563">
      <c r="A1563" t="n">
        <v>2022</v>
      </c>
      <c r="B1563" t="inlineStr">
        <is>
          <t>BS56200</t>
        </is>
      </c>
      <c r="C1563" t="inlineStr">
        <is>
          <t>Waste management and remediation services</t>
        </is>
      </c>
      <c r="D1563" t="n">
        <v>1704</v>
      </c>
      <c r="E1563">
        <f>IFERROR(VLOOKUP(B1563,Crosswalk!$A$2:$C$125,3,FALSE),"Unmapped")</f>
        <v/>
      </c>
    </row>
    <row r="1564">
      <c r="A1564" t="n">
        <v>2022</v>
      </c>
      <c r="B1564" t="inlineStr">
        <is>
          <t>BS5A000</t>
        </is>
      </c>
      <c r="C1564" t="inlineStr">
        <is>
          <t>Other finance, insurance and real estate services and management of companies and enterprises</t>
        </is>
      </c>
      <c r="D1564" t="n">
        <v>2849</v>
      </c>
      <c r="E1564">
        <f>IFERROR(VLOOKUP(B1564,Crosswalk!$A$2:$C$125,3,FALSE),"Unmapped")</f>
        <v/>
      </c>
    </row>
    <row r="1565">
      <c r="A1565" t="n">
        <v>2022</v>
      </c>
      <c r="B1565" t="inlineStr">
        <is>
          <t>BS61000</t>
        </is>
      </c>
      <c r="C1565" t="inlineStr">
        <is>
          <t>Educational services</t>
        </is>
      </c>
      <c r="D1565" t="n">
        <v>341</v>
      </c>
      <c r="E1565">
        <f>IFERROR(VLOOKUP(B1565,Crosswalk!$A$2:$C$125,3,FALSE),"Unmapped")</f>
        <v/>
      </c>
    </row>
    <row r="1566">
      <c r="A1566" t="n">
        <v>2022</v>
      </c>
      <c r="B1566" t="inlineStr">
        <is>
          <t>BS62000</t>
        </is>
      </c>
      <c r="C1566" t="inlineStr">
        <is>
          <t>Health care and social assistance</t>
        </is>
      </c>
      <c r="D1566" t="n">
        <v>1867</v>
      </c>
      <c r="E1566">
        <f>IFERROR(VLOOKUP(B1566,Crosswalk!$A$2:$C$125,3,FALSE),"Unmapped")</f>
        <v/>
      </c>
    </row>
    <row r="1567">
      <c r="A1567" t="n">
        <v>2022</v>
      </c>
      <c r="B1567" t="inlineStr">
        <is>
          <t>BS71000</t>
        </is>
      </c>
      <c r="C1567" t="inlineStr">
        <is>
          <t>Arts, entertainment and recreation</t>
        </is>
      </c>
      <c r="D1567" t="n">
        <v>194</v>
      </c>
      <c r="E1567">
        <f>IFERROR(VLOOKUP(B1567,Crosswalk!$A$2:$C$125,3,FALSE),"Unmapped")</f>
        <v/>
      </c>
    </row>
    <row r="1568">
      <c r="A1568" t="n">
        <v>2022</v>
      </c>
      <c r="B1568" t="inlineStr">
        <is>
          <t>BS72000</t>
        </is>
      </c>
      <c r="C1568" t="inlineStr">
        <is>
          <t>Accommodation and food services</t>
        </is>
      </c>
      <c r="D1568" t="n">
        <v>1933</v>
      </c>
      <c r="E1568">
        <f>IFERROR(VLOOKUP(B1568,Crosswalk!$A$2:$C$125,3,FALSE),"Unmapped")</f>
        <v/>
      </c>
    </row>
    <row r="1569">
      <c r="A1569" t="n">
        <v>2022</v>
      </c>
      <c r="B1569" t="inlineStr">
        <is>
          <t>BS81100</t>
        </is>
      </c>
      <c r="C1569" t="inlineStr">
        <is>
          <t>Repair and maintenance</t>
        </is>
      </c>
      <c r="D1569" t="n">
        <v>2535</v>
      </c>
      <c r="E1569">
        <f>IFERROR(VLOOKUP(B1569,Crosswalk!$A$2:$C$125,3,FALSE),"Unmapped")</f>
        <v/>
      </c>
    </row>
    <row r="1570">
      <c r="A1570" t="n">
        <v>2022</v>
      </c>
      <c r="B1570" t="inlineStr">
        <is>
          <t>BS81300</t>
        </is>
      </c>
      <c r="C1570" t="inlineStr">
        <is>
          <t>Professional and similar organisations</t>
        </is>
      </c>
      <c r="D1570" t="n">
        <v>10</v>
      </c>
      <c r="E1570">
        <f>IFERROR(VLOOKUP(B1570,Crosswalk!$A$2:$C$125,3,FALSE),"Unmapped")</f>
        <v/>
      </c>
    </row>
    <row r="1571">
      <c r="A1571" t="n">
        <v>2022</v>
      </c>
      <c r="B1571" t="inlineStr">
        <is>
          <t>BS81A00</t>
        </is>
      </c>
      <c r="C1571" t="inlineStr">
        <is>
          <t>Personal services and private households</t>
        </is>
      </c>
      <c r="D1571" t="n">
        <v>599</v>
      </c>
      <c r="E1571">
        <f>IFERROR(VLOOKUP(B1571,Crosswalk!$A$2:$C$125,3,FALSE),"Unmapped")</f>
        <v/>
      </c>
    </row>
    <row r="1572">
      <c r="A1572" t="n">
        <v>2022</v>
      </c>
      <c r="B1572" t="inlineStr">
        <is>
          <t>GS61130</t>
        </is>
      </c>
      <c r="C1572" t="inlineStr">
        <is>
          <t>Universities</t>
        </is>
      </c>
      <c r="D1572" t="n">
        <v>2552</v>
      </c>
      <c r="E1572">
        <f>IFERROR(VLOOKUP(B1572,Crosswalk!$A$2:$C$125,3,FALSE),"Unmapped")</f>
        <v/>
      </c>
    </row>
    <row r="1573">
      <c r="A1573" t="n">
        <v>2022</v>
      </c>
      <c r="B1573" t="inlineStr">
        <is>
          <t>GS611B0</t>
        </is>
      </c>
      <c r="C1573" t="inlineStr">
        <is>
          <t>Educational services (except universities)</t>
        </is>
      </c>
      <c r="D1573" t="n">
        <v>2258</v>
      </c>
      <c r="E1573">
        <f>IFERROR(VLOOKUP(B1573,Crosswalk!$A$2:$C$125,3,FALSE),"Unmapped")</f>
        <v/>
      </c>
    </row>
    <row r="1574">
      <c r="A1574" t="n">
        <v>2022</v>
      </c>
      <c r="B1574" t="inlineStr">
        <is>
          <t>GS62300</t>
        </is>
      </c>
      <c r="C1574" t="inlineStr">
        <is>
          <t>Nursing and residential care facilities</t>
        </is>
      </c>
      <c r="D1574" t="n">
        <v>147</v>
      </c>
      <c r="E1574">
        <f>IFERROR(VLOOKUP(B1574,Crosswalk!$A$2:$C$125,3,FALSE),"Unmapped")</f>
        <v/>
      </c>
    </row>
    <row r="1575">
      <c r="A1575" t="n">
        <v>2022</v>
      </c>
      <c r="B1575" t="inlineStr">
        <is>
          <t>GS62B00</t>
        </is>
      </c>
      <c r="C1575" t="inlineStr">
        <is>
          <t>Health care and social assistance (except nursing and residential care facilities)</t>
        </is>
      </c>
      <c r="D1575" t="n">
        <v>1330</v>
      </c>
      <c r="E1575">
        <f>IFERROR(VLOOKUP(B1575,Crosswalk!$A$2:$C$125,3,FALSE),"Unmapped")</f>
        <v/>
      </c>
    </row>
    <row r="1576">
      <c r="A1576" t="n">
        <v>2022</v>
      </c>
      <c r="B1576" t="inlineStr">
        <is>
          <t>GS91100</t>
        </is>
      </c>
      <c r="C1576" t="inlineStr">
        <is>
          <t>Other federal government services</t>
        </is>
      </c>
      <c r="D1576" t="n">
        <v>2505</v>
      </c>
      <c r="E1576">
        <f>IFERROR(VLOOKUP(B1576,Crosswalk!$A$2:$C$125,3,FALSE),"Unmapped")</f>
        <v/>
      </c>
    </row>
    <row r="1577">
      <c r="A1577" t="n">
        <v>2022</v>
      </c>
      <c r="B1577" t="inlineStr">
        <is>
          <t>GS91200</t>
        </is>
      </c>
      <c r="C1577" t="inlineStr">
        <is>
          <t>Other provincial and territorial government services</t>
        </is>
      </c>
      <c r="D1577" t="n">
        <v>1709</v>
      </c>
      <c r="E1577">
        <f>IFERROR(VLOOKUP(B1577,Crosswalk!$A$2:$C$125,3,FALSE),"Unmapped")</f>
        <v/>
      </c>
    </row>
    <row r="1578">
      <c r="A1578" t="n">
        <v>2022</v>
      </c>
      <c r="B1578" t="inlineStr">
        <is>
          <t>GS91300</t>
        </is>
      </c>
      <c r="C1578" t="inlineStr">
        <is>
          <t>Other municipal government services</t>
        </is>
      </c>
      <c r="D1578" t="n">
        <v>6563</v>
      </c>
      <c r="E1578">
        <f>IFERROR(VLOOKUP(B1578,Crosswalk!$A$2:$C$125,3,FALSE),"Unmapped")</f>
        <v/>
      </c>
    </row>
    <row r="1579">
      <c r="A1579" t="n">
        <v>2022</v>
      </c>
      <c r="B1579" t="inlineStr">
        <is>
          <t>GS91400</t>
        </is>
      </c>
      <c r="C1579" t="inlineStr">
        <is>
          <t>Other Indigenous government services</t>
        </is>
      </c>
      <c r="D1579" t="n">
        <v>1640</v>
      </c>
      <c r="E1579">
        <f>IFERROR(VLOOKUP(B1579,Crosswalk!$A$2:$C$125,3,FALSE),"Unmapped")</f>
        <v/>
      </c>
    </row>
    <row r="1580">
      <c r="A1580" t="n">
        <v>2022</v>
      </c>
      <c r="B1580" t="inlineStr">
        <is>
          <t>NP61000</t>
        </is>
      </c>
      <c r="C1580" t="inlineStr">
        <is>
          <t>Non-profit education services</t>
        </is>
      </c>
      <c r="D1580" t="n">
        <v>381</v>
      </c>
      <c r="E1580">
        <f>IFERROR(VLOOKUP(B1580,Crosswalk!$A$2:$C$125,3,FALSE),"Unmapped")</f>
        <v/>
      </c>
    </row>
    <row r="1581">
      <c r="A1581" t="n">
        <v>2022</v>
      </c>
      <c r="B1581" t="inlineStr">
        <is>
          <t>NP62400</t>
        </is>
      </c>
      <c r="C1581" t="inlineStr">
        <is>
          <t>Non-profit social assistance</t>
        </is>
      </c>
      <c r="D1581" t="n">
        <v>272</v>
      </c>
      <c r="E1581">
        <f>IFERROR(VLOOKUP(B1581,Crosswalk!$A$2:$C$125,3,FALSE),"Unmapped")</f>
        <v/>
      </c>
    </row>
    <row r="1582">
      <c r="A1582" t="n">
        <v>2022</v>
      </c>
      <c r="B1582" t="inlineStr">
        <is>
          <t>NP71000</t>
        </is>
      </c>
      <c r="C1582" t="inlineStr">
        <is>
          <t>Non-profit arts, entertainment and recreation</t>
        </is>
      </c>
      <c r="D1582" t="n">
        <v>204</v>
      </c>
      <c r="E1582">
        <f>IFERROR(VLOOKUP(B1582,Crosswalk!$A$2:$C$125,3,FALSE),"Unmapped")</f>
        <v/>
      </c>
    </row>
    <row r="1583">
      <c r="A1583" t="n">
        <v>2022</v>
      </c>
      <c r="B1583" t="inlineStr">
        <is>
          <t>NP81310</t>
        </is>
      </c>
      <c r="C1583" t="inlineStr">
        <is>
          <t>Religious organizations</t>
        </is>
      </c>
      <c r="D1583" t="n">
        <v>431</v>
      </c>
      <c r="E1583">
        <f>IFERROR(VLOOKUP(B1583,Crosswalk!$A$2:$C$125,3,FALSE),"Unmapped")</f>
        <v/>
      </c>
    </row>
    <row r="1584">
      <c r="A1584" t="n">
        <v>2022</v>
      </c>
      <c r="B1584" t="inlineStr">
        <is>
          <t>NPA0000</t>
        </is>
      </c>
      <c r="C1584" t="inlineStr">
        <is>
          <t>Miscellaneous non-profit institutions serving households</t>
        </is>
      </c>
      <c r="D1584" t="n">
        <v>1249</v>
      </c>
      <c r="E1584">
        <f>IFERROR(VLOOKUP(B1584,Crosswalk!$A$2:$C$125,3,FALSE),"Unmapped")</f>
        <v/>
      </c>
    </row>
    <row r="1585">
      <c r="A1585" t="n">
        <v>2023</v>
      </c>
      <c r="B1585" t="inlineStr">
        <is>
          <t>BS111CL</t>
        </is>
      </c>
      <c r="C1585" t="inlineStr">
        <is>
          <t>Cannabis production (licensed)</t>
        </is>
      </c>
      <c r="D1585" t="n">
        <v>1243</v>
      </c>
      <c r="E1585">
        <f>IFERROR(VLOOKUP(B1585,Crosswalk!$A$2:$C$125,3,FALSE),"Unmapped")</f>
        <v/>
      </c>
    </row>
    <row r="1586">
      <c r="A1586" t="n">
        <v>2023</v>
      </c>
      <c r="B1586" t="inlineStr">
        <is>
          <t>BS111CU</t>
        </is>
      </c>
      <c r="C1586" t="inlineStr">
        <is>
          <t>Cannabis production (unlicensed)</t>
        </is>
      </c>
      <c r="D1586" t="n">
        <v>153</v>
      </c>
      <c r="E1586">
        <f>IFERROR(VLOOKUP(B1586,Crosswalk!$A$2:$C$125,3,FALSE),"Unmapped")</f>
        <v/>
      </c>
    </row>
    <row r="1587">
      <c r="A1587" t="n">
        <v>2023</v>
      </c>
      <c r="B1587" t="inlineStr">
        <is>
          <t>BS11300</t>
        </is>
      </c>
      <c r="C1587" t="inlineStr">
        <is>
          <t>Forestry and logging</t>
        </is>
      </c>
      <c r="D1587" t="n">
        <v>5433</v>
      </c>
      <c r="E1587">
        <f>IFERROR(VLOOKUP(B1587,Crosswalk!$A$2:$C$125,3,FALSE),"Unmapped")</f>
        <v/>
      </c>
    </row>
    <row r="1588">
      <c r="A1588" t="n">
        <v>2023</v>
      </c>
      <c r="B1588" t="inlineStr">
        <is>
          <t>BS11400</t>
        </is>
      </c>
      <c r="C1588" t="inlineStr">
        <is>
          <t>Fishing, hunting and trapping</t>
        </is>
      </c>
      <c r="D1588" t="n">
        <v>1043</v>
      </c>
      <c r="E1588">
        <f>IFERROR(VLOOKUP(B1588,Crosswalk!$A$2:$C$125,3,FALSE),"Unmapped")</f>
        <v/>
      </c>
    </row>
    <row r="1589">
      <c r="A1589" t="n">
        <v>2023</v>
      </c>
      <c r="B1589" t="inlineStr">
        <is>
          <t>BS11500</t>
        </is>
      </c>
      <c r="C1589" t="inlineStr">
        <is>
          <t>Support activities for agriculture and forestry</t>
        </is>
      </c>
      <c r="D1589" t="n">
        <v>1075</v>
      </c>
      <c r="E1589">
        <f>IFERROR(VLOOKUP(B1589,Crosswalk!$A$2:$C$125,3,FALSE),"Unmapped")</f>
        <v/>
      </c>
    </row>
    <row r="1590">
      <c r="A1590" t="n">
        <v>2023</v>
      </c>
      <c r="B1590" t="inlineStr">
        <is>
          <t>BS11B00</t>
        </is>
      </c>
      <c r="C1590" t="inlineStr">
        <is>
          <t>Crop and animal production (except cannabis)</t>
        </is>
      </c>
      <c r="D1590" t="n">
        <v>71047</v>
      </c>
      <c r="E1590">
        <f>IFERROR(VLOOKUP(B1590,Crosswalk!$A$2:$C$125,3,FALSE),"Unmapped")</f>
        <v/>
      </c>
    </row>
    <row r="1591">
      <c r="A1591" t="n">
        <v>2023</v>
      </c>
      <c r="B1591" t="inlineStr">
        <is>
          <t>BS21100</t>
        </is>
      </c>
      <c r="C1591" t="inlineStr">
        <is>
          <t>Oil and gas extraction</t>
        </is>
      </c>
      <c r="D1591" t="n">
        <v>181739</v>
      </c>
      <c r="E1591">
        <f>IFERROR(VLOOKUP(B1591,Crosswalk!$A$2:$C$125,3,FALSE),"Unmapped")</f>
        <v/>
      </c>
    </row>
    <row r="1592">
      <c r="A1592" t="n">
        <v>2023</v>
      </c>
      <c r="B1592" t="inlineStr">
        <is>
          <t>BS21210</t>
        </is>
      </c>
      <c r="C1592" t="inlineStr">
        <is>
          <t>Coal mining</t>
        </is>
      </c>
      <c r="D1592" t="n">
        <v>4859</v>
      </c>
      <c r="E1592">
        <f>IFERROR(VLOOKUP(B1592,Crosswalk!$A$2:$C$125,3,FALSE),"Unmapped")</f>
        <v/>
      </c>
    </row>
    <row r="1593">
      <c r="A1593" t="n">
        <v>2023</v>
      </c>
      <c r="B1593" t="inlineStr">
        <is>
          <t>BS21220</t>
        </is>
      </c>
      <c r="C1593" t="inlineStr">
        <is>
          <t>Metal ore mining</t>
        </is>
      </c>
      <c r="D1593" t="n">
        <v>5457</v>
      </c>
      <c r="E1593">
        <f>IFERROR(VLOOKUP(B1593,Crosswalk!$A$2:$C$125,3,FALSE),"Unmapped")</f>
        <v/>
      </c>
    </row>
    <row r="1594">
      <c r="A1594" t="n">
        <v>2023</v>
      </c>
      <c r="B1594" t="inlineStr">
        <is>
          <t>BS21230</t>
        </is>
      </c>
      <c r="C1594" t="inlineStr">
        <is>
          <t>Non-metallic mineral mining and quarrying</t>
        </is>
      </c>
      <c r="D1594" t="n">
        <v>4237</v>
      </c>
      <c r="E1594">
        <f>IFERROR(VLOOKUP(B1594,Crosswalk!$A$2:$C$125,3,FALSE),"Unmapped")</f>
        <v/>
      </c>
    </row>
    <row r="1595">
      <c r="A1595" t="n">
        <v>2023</v>
      </c>
      <c r="B1595" t="inlineStr">
        <is>
          <t>BS21300</t>
        </is>
      </c>
      <c r="C1595" t="inlineStr">
        <is>
          <t>Support activities for mining and oil and gas extraction</t>
        </is>
      </c>
      <c r="D1595" t="n">
        <v>6445</v>
      </c>
      <c r="E1595">
        <f>IFERROR(VLOOKUP(B1595,Crosswalk!$A$2:$C$125,3,FALSE),"Unmapped")</f>
        <v/>
      </c>
    </row>
    <row r="1596">
      <c r="A1596" t="n">
        <v>2023</v>
      </c>
      <c r="B1596" t="inlineStr">
        <is>
          <t>BS22110</t>
        </is>
      </c>
      <c r="C1596" t="inlineStr">
        <is>
          <t>Electric power generation, transmission and distribution</t>
        </is>
      </c>
      <c r="D1596" t="n">
        <v>59082</v>
      </c>
      <c r="E1596">
        <f>IFERROR(VLOOKUP(B1596,Crosswalk!$A$2:$C$125,3,FALSE),"Unmapped")</f>
        <v/>
      </c>
    </row>
    <row r="1597">
      <c r="A1597" t="n">
        <v>2023</v>
      </c>
      <c r="B1597" t="inlineStr">
        <is>
          <t>BS221A0</t>
        </is>
      </c>
      <c r="C1597" t="inlineStr">
        <is>
          <t>Natural gas distribution, water, sewage and other systems</t>
        </is>
      </c>
      <c r="D1597" t="n">
        <v>2200</v>
      </c>
      <c r="E1597">
        <f>IFERROR(VLOOKUP(B1597,Crosswalk!$A$2:$C$125,3,FALSE),"Unmapped")</f>
        <v/>
      </c>
    </row>
    <row r="1598">
      <c r="A1598" t="n">
        <v>2023</v>
      </c>
      <c r="B1598" t="inlineStr">
        <is>
          <t>BS23A00</t>
        </is>
      </c>
      <c r="C1598" t="inlineStr">
        <is>
          <t>Residential building construction</t>
        </is>
      </c>
      <c r="D1598" t="n">
        <v>2259</v>
      </c>
      <c r="E1598">
        <f>IFERROR(VLOOKUP(B1598,Crosswalk!$A$2:$C$125,3,FALSE),"Unmapped")</f>
        <v/>
      </c>
    </row>
    <row r="1599">
      <c r="A1599" t="n">
        <v>2023</v>
      </c>
      <c r="B1599" t="inlineStr">
        <is>
          <t>BS23B00</t>
        </is>
      </c>
      <c r="C1599" t="inlineStr">
        <is>
          <t>Non-residential building construction</t>
        </is>
      </c>
      <c r="D1599" t="n">
        <v>465</v>
      </c>
      <c r="E1599">
        <f>IFERROR(VLOOKUP(B1599,Crosswalk!$A$2:$C$125,3,FALSE),"Unmapped")</f>
        <v/>
      </c>
    </row>
    <row r="1600">
      <c r="A1600" t="n">
        <v>2023</v>
      </c>
      <c r="B1600" t="inlineStr">
        <is>
          <t>BS23C10</t>
        </is>
      </c>
      <c r="C1600" t="inlineStr">
        <is>
          <t>Transportation engineering construction</t>
        </is>
      </c>
      <c r="D1600" t="n">
        <v>1076</v>
      </c>
      <c r="E1600">
        <f>IFERROR(VLOOKUP(B1600,Crosswalk!$A$2:$C$125,3,FALSE),"Unmapped")</f>
        <v/>
      </c>
    </row>
    <row r="1601">
      <c r="A1601" t="n">
        <v>2023</v>
      </c>
      <c r="B1601" t="inlineStr">
        <is>
          <t>BS23C20</t>
        </is>
      </c>
      <c r="C1601" t="inlineStr">
        <is>
          <t>Oil and gas engineering construction</t>
        </is>
      </c>
      <c r="D1601" t="n">
        <v>1127</v>
      </c>
      <c r="E1601">
        <f>IFERROR(VLOOKUP(B1601,Crosswalk!$A$2:$C$125,3,FALSE),"Unmapped")</f>
        <v/>
      </c>
    </row>
    <row r="1602">
      <c r="A1602" t="n">
        <v>2023</v>
      </c>
      <c r="B1602" t="inlineStr">
        <is>
          <t>BS23C30</t>
        </is>
      </c>
      <c r="C1602" t="inlineStr">
        <is>
          <t>Electric power engineering construction</t>
        </is>
      </c>
      <c r="D1602" t="n">
        <v>622</v>
      </c>
      <c r="E1602">
        <f>IFERROR(VLOOKUP(B1602,Crosswalk!$A$2:$C$125,3,FALSE),"Unmapped")</f>
        <v/>
      </c>
    </row>
    <row r="1603">
      <c r="A1603" t="n">
        <v>2023</v>
      </c>
      <c r="B1603" t="inlineStr">
        <is>
          <t>BS23C40</t>
        </is>
      </c>
      <c r="C1603" t="inlineStr">
        <is>
          <t>Communication engineering construction</t>
        </is>
      </c>
      <c r="D1603" t="n">
        <v>254</v>
      </c>
      <c r="E1603">
        <f>IFERROR(VLOOKUP(B1603,Crosswalk!$A$2:$C$125,3,FALSE),"Unmapped")</f>
        <v/>
      </c>
    </row>
    <row r="1604">
      <c r="A1604" t="n">
        <v>2023</v>
      </c>
      <c r="B1604" t="inlineStr">
        <is>
          <t>BS23C50</t>
        </is>
      </c>
      <c r="C1604" t="inlineStr">
        <is>
          <t>Other engineering construction</t>
        </is>
      </c>
      <c r="D1604" t="n">
        <v>975</v>
      </c>
      <c r="E1604">
        <f>IFERROR(VLOOKUP(B1604,Crosswalk!$A$2:$C$125,3,FALSE),"Unmapped")</f>
        <v/>
      </c>
    </row>
    <row r="1605">
      <c r="A1605" t="n">
        <v>2023</v>
      </c>
      <c r="B1605" t="inlineStr">
        <is>
          <t>BS23D00</t>
        </is>
      </c>
      <c r="C1605" t="inlineStr">
        <is>
          <t>Repair construction</t>
        </is>
      </c>
      <c r="D1605" t="n">
        <v>743</v>
      </c>
      <c r="E1605">
        <f>IFERROR(VLOOKUP(B1605,Crosswalk!$A$2:$C$125,3,FALSE),"Unmapped")</f>
        <v/>
      </c>
    </row>
    <row r="1606">
      <c r="A1606" t="n">
        <v>2023</v>
      </c>
      <c r="B1606" t="inlineStr">
        <is>
          <t>BS23E00</t>
        </is>
      </c>
      <c r="C1606" t="inlineStr">
        <is>
          <t>Other activities of the construction industry</t>
        </is>
      </c>
      <c r="D1606" t="n">
        <v>688</v>
      </c>
      <c r="E1606">
        <f>IFERROR(VLOOKUP(B1606,Crosswalk!$A$2:$C$125,3,FALSE),"Unmapped")</f>
        <v/>
      </c>
    </row>
    <row r="1607">
      <c r="A1607" t="n">
        <v>2023</v>
      </c>
      <c r="B1607" t="inlineStr">
        <is>
          <t>BS31110</t>
        </is>
      </c>
      <c r="C1607" t="inlineStr">
        <is>
          <t>Animal food manufacturing</t>
        </is>
      </c>
      <c r="D1607" t="n">
        <v>458</v>
      </c>
      <c r="E1607">
        <f>IFERROR(VLOOKUP(B1607,Crosswalk!$A$2:$C$125,3,FALSE),"Unmapped")</f>
        <v/>
      </c>
    </row>
    <row r="1608">
      <c r="A1608" t="n">
        <v>2023</v>
      </c>
      <c r="B1608" t="inlineStr">
        <is>
          <t>BS31130</t>
        </is>
      </c>
      <c r="C1608" t="inlineStr">
        <is>
          <t>Sugar and confectionery product manufacturing</t>
        </is>
      </c>
      <c r="D1608" t="n">
        <v>547</v>
      </c>
      <c r="E1608">
        <f>IFERROR(VLOOKUP(B1608,Crosswalk!$A$2:$C$125,3,FALSE),"Unmapped")</f>
        <v/>
      </c>
    </row>
    <row r="1609">
      <c r="A1609" t="n">
        <v>2023</v>
      </c>
      <c r="B1609" t="inlineStr">
        <is>
          <t>BS31140</t>
        </is>
      </c>
      <c r="C1609" t="inlineStr">
        <is>
          <t>Fruit and vegetable preserving and specialty food manufacturing</t>
        </is>
      </c>
      <c r="D1609" t="n">
        <v>559</v>
      </c>
      <c r="E1609">
        <f>IFERROR(VLOOKUP(B1609,Crosswalk!$A$2:$C$125,3,FALSE),"Unmapped")</f>
        <v/>
      </c>
    </row>
    <row r="1610">
      <c r="A1610" t="n">
        <v>2023</v>
      </c>
      <c r="B1610" t="inlineStr">
        <is>
          <t>BS31150</t>
        </is>
      </c>
      <c r="C1610" t="inlineStr">
        <is>
          <t>Dairy product manufacturing</t>
        </is>
      </c>
      <c r="D1610" t="n">
        <v>540</v>
      </c>
      <c r="E1610">
        <f>IFERROR(VLOOKUP(B1610,Crosswalk!$A$2:$C$125,3,FALSE),"Unmapped")</f>
        <v/>
      </c>
    </row>
    <row r="1611">
      <c r="A1611" t="n">
        <v>2023</v>
      </c>
      <c r="B1611" t="inlineStr">
        <is>
          <t>BS31160</t>
        </is>
      </c>
      <c r="C1611" t="inlineStr">
        <is>
          <t>Meat product manufacturing</t>
        </is>
      </c>
      <c r="D1611" t="n">
        <v>1227</v>
      </c>
      <c r="E1611">
        <f>IFERROR(VLOOKUP(B1611,Crosswalk!$A$2:$C$125,3,FALSE),"Unmapped")</f>
        <v/>
      </c>
    </row>
    <row r="1612">
      <c r="A1612" t="n">
        <v>2023</v>
      </c>
      <c r="B1612" t="inlineStr">
        <is>
          <t>BS31170</t>
        </is>
      </c>
      <c r="C1612" t="inlineStr">
        <is>
          <t>Seafood product preparation and packaging</t>
        </is>
      </c>
      <c r="D1612" t="n">
        <v>115</v>
      </c>
      <c r="E1612">
        <f>IFERROR(VLOOKUP(B1612,Crosswalk!$A$2:$C$125,3,FALSE),"Unmapped")</f>
        <v/>
      </c>
    </row>
    <row r="1613">
      <c r="A1613" t="n">
        <v>2023</v>
      </c>
      <c r="B1613" t="inlineStr">
        <is>
          <t>BS311A0</t>
        </is>
      </c>
      <c r="C1613" t="inlineStr">
        <is>
          <t>Miscellaneous food manufacturing</t>
        </is>
      </c>
      <c r="D1613" t="n">
        <v>2205</v>
      </c>
      <c r="E1613">
        <f>IFERROR(VLOOKUP(B1613,Crosswalk!$A$2:$C$125,3,FALSE),"Unmapped")</f>
        <v/>
      </c>
    </row>
    <row r="1614">
      <c r="A1614" t="n">
        <v>2023</v>
      </c>
      <c r="B1614" t="inlineStr">
        <is>
          <t>BS31211</t>
        </is>
      </c>
      <c r="C1614" t="inlineStr">
        <is>
          <t>Soft drink and ice manufacturing</t>
        </is>
      </c>
      <c r="D1614" t="n">
        <v>160</v>
      </c>
      <c r="E1614">
        <f>IFERROR(VLOOKUP(B1614,Crosswalk!$A$2:$C$125,3,FALSE),"Unmapped")</f>
        <v/>
      </c>
    </row>
    <row r="1615">
      <c r="A1615" t="n">
        <v>2023</v>
      </c>
      <c r="B1615" t="inlineStr">
        <is>
          <t>BS31212</t>
        </is>
      </c>
      <c r="C1615" t="inlineStr">
        <is>
          <t>Breweries</t>
        </is>
      </c>
      <c r="D1615" t="n">
        <v>417</v>
      </c>
      <c r="E1615">
        <f>IFERROR(VLOOKUP(B1615,Crosswalk!$A$2:$C$125,3,FALSE),"Unmapped")</f>
        <v/>
      </c>
    </row>
    <row r="1616">
      <c r="A1616" t="n">
        <v>2023</v>
      </c>
      <c r="B1616" t="inlineStr">
        <is>
          <t>BS3121A</t>
        </is>
      </c>
      <c r="C1616" t="inlineStr">
        <is>
          <t>Wineries and distilleries</t>
        </is>
      </c>
      <c r="D1616" t="n">
        <v>244</v>
      </c>
      <c r="E1616">
        <f>IFERROR(VLOOKUP(B1616,Crosswalk!$A$2:$C$125,3,FALSE),"Unmapped")</f>
        <v/>
      </c>
    </row>
    <row r="1617">
      <c r="A1617" t="n">
        <v>2023</v>
      </c>
      <c r="B1617" t="inlineStr">
        <is>
          <t>BS312A0</t>
        </is>
      </c>
      <c r="C1617" t="inlineStr">
        <is>
          <t>Tobacco and cannabis product manufacturing</t>
        </is>
      </c>
      <c r="D1617" t="n">
        <v>49</v>
      </c>
      <c r="E1617">
        <f>IFERROR(VLOOKUP(B1617,Crosswalk!$A$2:$C$125,3,FALSE),"Unmapped")</f>
        <v/>
      </c>
    </row>
    <row r="1618">
      <c r="A1618" t="n">
        <v>2023</v>
      </c>
      <c r="B1618" t="inlineStr">
        <is>
          <t>BS31A00</t>
        </is>
      </c>
      <c r="C1618" t="inlineStr">
        <is>
          <t>Textile and textile product mills</t>
        </is>
      </c>
      <c r="D1618" t="n">
        <v>158</v>
      </c>
      <c r="E1618">
        <f>IFERROR(VLOOKUP(B1618,Crosswalk!$A$2:$C$125,3,FALSE),"Unmapped")</f>
        <v/>
      </c>
    </row>
    <row r="1619">
      <c r="A1619" t="n">
        <v>2023</v>
      </c>
      <c r="B1619" t="inlineStr">
        <is>
          <t>BS31B00</t>
        </is>
      </c>
      <c r="C1619" t="inlineStr">
        <is>
          <t>Clothing and leather and allied product manufacturing</t>
        </is>
      </c>
      <c r="D1619" t="n">
        <v>50</v>
      </c>
      <c r="E1619">
        <f>IFERROR(VLOOKUP(B1619,Crosswalk!$A$2:$C$125,3,FALSE),"Unmapped")</f>
        <v/>
      </c>
    </row>
    <row r="1620">
      <c r="A1620" t="n">
        <v>2023</v>
      </c>
      <c r="B1620" t="inlineStr">
        <is>
          <t>BS32100</t>
        </is>
      </c>
      <c r="C1620" t="inlineStr">
        <is>
          <t>Wood product manufacturing</t>
        </is>
      </c>
      <c r="D1620" t="n">
        <v>10808</v>
      </c>
      <c r="E1620">
        <f>IFERROR(VLOOKUP(B1620,Crosswalk!$A$2:$C$125,3,FALSE),"Unmapped")</f>
        <v/>
      </c>
    </row>
    <row r="1621">
      <c r="A1621" t="n">
        <v>2023</v>
      </c>
      <c r="B1621" t="inlineStr">
        <is>
          <t>BS32210</t>
        </is>
      </c>
      <c r="C1621" t="inlineStr">
        <is>
          <t>Pulp, paper and paperboard mills</t>
        </is>
      </c>
      <c r="D1621" t="n">
        <v>34320</v>
      </c>
      <c r="E1621">
        <f>IFERROR(VLOOKUP(B1621,Crosswalk!$A$2:$C$125,3,FALSE),"Unmapped")</f>
        <v/>
      </c>
    </row>
    <row r="1622">
      <c r="A1622" t="n">
        <v>2023</v>
      </c>
      <c r="B1622" t="inlineStr">
        <is>
          <t>BS32220</t>
        </is>
      </c>
      <c r="C1622" t="inlineStr">
        <is>
          <t>Converted paper product manufacturing</t>
        </is>
      </c>
      <c r="D1622" t="n">
        <v>563</v>
      </c>
      <c r="E1622">
        <f>IFERROR(VLOOKUP(B1622,Crosswalk!$A$2:$C$125,3,FALSE),"Unmapped")</f>
        <v/>
      </c>
    </row>
    <row r="1623">
      <c r="A1623" t="n">
        <v>2023</v>
      </c>
      <c r="B1623" t="inlineStr">
        <is>
          <t>BS32300</t>
        </is>
      </c>
      <c r="C1623" t="inlineStr">
        <is>
          <t>Printing and related support activities</t>
        </is>
      </c>
      <c r="D1623" t="n">
        <v>206</v>
      </c>
      <c r="E1623">
        <f>IFERROR(VLOOKUP(B1623,Crosswalk!$A$2:$C$125,3,FALSE),"Unmapped")</f>
        <v/>
      </c>
    </row>
    <row r="1624">
      <c r="A1624" t="n">
        <v>2023</v>
      </c>
      <c r="B1624" t="inlineStr">
        <is>
          <t>BS32400</t>
        </is>
      </c>
      <c r="C1624" t="inlineStr">
        <is>
          <t>Petroleum and coal product manufacturing</t>
        </is>
      </c>
      <c r="D1624" t="n">
        <v>20799</v>
      </c>
      <c r="E1624">
        <f>IFERROR(VLOOKUP(B1624,Crosswalk!$A$2:$C$125,3,FALSE),"Unmapped")</f>
        <v/>
      </c>
    </row>
    <row r="1625">
      <c r="A1625" t="n">
        <v>2023</v>
      </c>
      <c r="B1625" t="inlineStr">
        <is>
          <t>BS32510</t>
        </is>
      </c>
      <c r="C1625" t="inlineStr">
        <is>
          <t>Basic chemical manufacturing</t>
        </is>
      </c>
      <c r="D1625" t="n">
        <v>11449</v>
      </c>
      <c r="E1625">
        <f>IFERROR(VLOOKUP(B1625,Crosswalk!$A$2:$C$125,3,FALSE),"Unmapped")</f>
        <v/>
      </c>
    </row>
    <row r="1626">
      <c r="A1626" t="n">
        <v>2023</v>
      </c>
      <c r="B1626" t="inlineStr">
        <is>
          <t>BS32530</t>
        </is>
      </c>
      <c r="C1626" t="inlineStr">
        <is>
          <t>Pesticide, fertilizer and other agricultural chemical manufacturing</t>
        </is>
      </c>
      <c r="D1626" t="n">
        <v>5707</v>
      </c>
      <c r="E1626">
        <f>IFERROR(VLOOKUP(B1626,Crosswalk!$A$2:$C$125,3,FALSE),"Unmapped")</f>
        <v/>
      </c>
    </row>
    <row r="1627">
      <c r="A1627" t="n">
        <v>2023</v>
      </c>
      <c r="B1627" t="inlineStr">
        <is>
          <t>BS32540</t>
        </is>
      </c>
      <c r="C1627" t="inlineStr">
        <is>
          <t>Pharmaceutical and medicine manufacturing</t>
        </is>
      </c>
      <c r="D1627" t="n">
        <v>294</v>
      </c>
      <c r="E1627">
        <f>IFERROR(VLOOKUP(B1627,Crosswalk!$A$2:$C$125,3,FALSE),"Unmapped")</f>
        <v/>
      </c>
    </row>
    <row r="1628">
      <c r="A1628" t="n">
        <v>2023</v>
      </c>
      <c r="B1628" t="inlineStr">
        <is>
          <t>BS325C0</t>
        </is>
      </c>
      <c r="C1628" t="inlineStr">
        <is>
          <t>Miscellaneous chemical product manufacturing</t>
        </is>
      </c>
      <c r="D1628" t="n">
        <v>1800</v>
      </c>
      <c r="E1628">
        <f>IFERROR(VLOOKUP(B1628,Crosswalk!$A$2:$C$125,3,FALSE),"Unmapped")</f>
        <v/>
      </c>
    </row>
    <row r="1629">
      <c r="A1629" t="n">
        <v>2023</v>
      </c>
      <c r="B1629" t="inlineStr">
        <is>
          <t>BS32610</t>
        </is>
      </c>
      <c r="C1629" t="inlineStr">
        <is>
          <t>Plastic product manufacturing</t>
        </is>
      </c>
      <c r="D1629" t="n">
        <v>857</v>
      </c>
      <c r="E1629">
        <f>IFERROR(VLOOKUP(B1629,Crosswalk!$A$2:$C$125,3,FALSE),"Unmapped")</f>
        <v/>
      </c>
    </row>
    <row r="1630">
      <c r="A1630" t="n">
        <v>2023</v>
      </c>
      <c r="B1630" t="inlineStr">
        <is>
          <t>BS32620</t>
        </is>
      </c>
      <c r="C1630" t="inlineStr">
        <is>
          <t>Rubber product manufacturing</t>
        </is>
      </c>
      <c r="D1630" t="n">
        <v>205</v>
      </c>
      <c r="E1630">
        <f>IFERROR(VLOOKUP(B1630,Crosswalk!$A$2:$C$125,3,FALSE),"Unmapped")</f>
        <v/>
      </c>
    </row>
    <row r="1631">
      <c r="A1631" t="n">
        <v>2023</v>
      </c>
      <c r="B1631" t="inlineStr">
        <is>
          <t>BS32730</t>
        </is>
      </c>
      <c r="C1631" t="inlineStr">
        <is>
          <t>Cement and concrete product manufacturing</t>
        </is>
      </c>
      <c r="D1631" t="n">
        <v>11322</v>
      </c>
      <c r="E1631">
        <f>IFERROR(VLOOKUP(B1631,Crosswalk!$A$2:$C$125,3,FALSE),"Unmapped")</f>
        <v/>
      </c>
    </row>
    <row r="1632">
      <c r="A1632" t="n">
        <v>2023</v>
      </c>
      <c r="B1632" t="inlineStr">
        <is>
          <t>BS327A0</t>
        </is>
      </c>
      <c r="C1632" t="inlineStr">
        <is>
          <t>Non-metallic mineral product manufacturing (except cement and concrete products)</t>
        </is>
      </c>
      <c r="D1632" t="n">
        <v>2366</v>
      </c>
      <c r="E1632">
        <f>IFERROR(VLOOKUP(B1632,Crosswalk!$A$2:$C$125,3,FALSE),"Unmapped")</f>
        <v/>
      </c>
    </row>
    <row r="1633">
      <c r="A1633" t="n">
        <v>2023</v>
      </c>
      <c r="B1633" t="inlineStr">
        <is>
          <t>BS33100</t>
        </is>
      </c>
      <c r="C1633" t="inlineStr">
        <is>
          <t>Primary metal manufacturing</t>
        </is>
      </c>
      <c r="D1633" t="n">
        <v>24792</v>
      </c>
      <c r="E1633">
        <f>IFERROR(VLOOKUP(B1633,Crosswalk!$A$2:$C$125,3,FALSE),"Unmapped")</f>
        <v/>
      </c>
    </row>
    <row r="1634">
      <c r="A1634" t="n">
        <v>2023</v>
      </c>
      <c r="B1634" t="inlineStr">
        <is>
          <t>BS33200</t>
        </is>
      </c>
      <c r="C1634" t="inlineStr">
        <is>
          <t>Fabricated metal product manufacturing</t>
        </is>
      </c>
      <c r="D1634" t="n">
        <v>1535</v>
      </c>
      <c r="E1634">
        <f>IFERROR(VLOOKUP(B1634,Crosswalk!$A$2:$C$125,3,FALSE),"Unmapped")</f>
        <v/>
      </c>
    </row>
    <row r="1635">
      <c r="A1635" t="n">
        <v>2023</v>
      </c>
      <c r="B1635" t="inlineStr">
        <is>
          <t>BS33300</t>
        </is>
      </c>
      <c r="C1635" t="inlineStr">
        <is>
          <t>Machinery manufacturing</t>
        </is>
      </c>
      <c r="D1635" t="n">
        <v>887</v>
      </c>
      <c r="E1635">
        <f>IFERROR(VLOOKUP(B1635,Crosswalk!$A$2:$C$125,3,FALSE),"Unmapped")</f>
        <v/>
      </c>
    </row>
    <row r="1636">
      <c r="A1636" t="n">
        <v>2023</v>
      </c>
      <c r="B1636" t="inlineStr">
        <is>
          <t>BS33400</t>
        </is>
      </c>
      <c r="C1636" t="inlineStr">
        <is>
          <t>Computer and electronic product manufacturing</t>
        </is>
      </c>
      <c r="D1636" t="n">
        <v>143</v>
      </c>
      <c r="E1636">
        <f>IFERROR(VLOOKUP(B1636,Crosswalk!$A$2:$C$125,3,FALSE),"Unmapped")</f>
        <v/>
      </c>
    </row>
    <row r="1637">
      <c r="A1637" t="n">
        <v>2023</v>
      </c>
      <c r="B1637" t="inlineStr">
        <is>
          <t>BS33500</t>
        </is>
      </c>
      <c r="C1637" t="inlineStr">
        <is>
          <t>Electrical equipment, appliance and component manufacturing</t>
        </is>
      </c>
      <c r="D1637" t="n">
        <v>160</v>
      </c>
      <c r="E1637">
        <f>IFERROR(VLOOKUP(B1637,Crosswalk!$A$2:$C$125,3,FALSE),"Unmapped")</f>
        <v/>
      </c>
    </row>
    <row r="1638">
      <c r="A1638" t="n">
        <v>2023</v>
      </c>
      <c r="B1638" t="inlineStr">
        <is>
          <t>BS33610</t>
        </is>
      </c>
      <c r="C1638" t="inlineStr">
        <is>
          <t>Motor vehicle manufacturing</t>
        </is>
      </c>
      <c r="D1638" t="n">
        <v>599</v>
      </c>
      <c r="E1638">
        <f>IFERROR(VLOOKUP(B1638,Crosswalk!$A$2:$C$125,3,FALSE),"Unmapped")</f>
        <v/>
      </c>
    </row>
    <row r="1639">
      <c r="A1639" t="n">
        <v>2023</v>
      </c>
      <c r="B1639" t="inlineStr">
        <is>
          <t>BS33620</t>
        </is>
      </c>
      <c r="C1639" t="inlineStr">
        <is>
          <t>Motor vehicle body and trailer manufacturing</t>
        </is>
      </c>
      <c r="D1639" t="n">
        <v>89</v>
      </c>
      <c r="E1639">
        <f>IFERROR(VLOOKUP(B1639,Crosswalk!$A$2:$C$125,3,FALSE),"Unmapped")</f>
        <v/>
      </c>
    </row>
    <row r="1640">
      <c r="A1640" t="n">
        <v>2023</v>
      </c>
      <c r="B1640" t="inlineStr">
        <is>
          <t>BS33630</t>
        </is>
      </c>
      <c r="C1640" t="inlineStr">
        <is>
          <t>Motor vehicle parts manufacturing</t>
        </is>
      </c>
      <c r="D1640" t="n">
        <v>370</v>
      </c>
      <c r="E1640">
        <f>IFERROR(VLOOKUP(B1640,Crosswalk!$A$2:$C$125,3,FALSE),"Unmapped")</f>
        <v/>
      </c>
    </row>
    <row r="1641">
      <c r="A1641" t="n">
        <v>2023</v>
      </c>
      <c r="B1641" t="inlineStr">
        <is>
          <t>BS33640</t>
        </is>
      </c>
      <c r="C1641" t="inlineStr">
        <is>
          <t>Aerospace product and parts manufacturing</t>
        </is>
      </c>
      <c r="D1641" t="n">
        <v>262</v>
      </c>
      <c r="E1641">
        <f>IFERROR(VLOOKUP(B1641,Crosswalk!$A$2:$C$125,3,FALSE),"Unmapped")</f>
        <v/>
      </c>
    </row>
    <row r="1642">
      <c r="A1642" t="n">
        <v>2023</v>
      </c>
      <c r="B1642" t="inlineStr">
        <is>
          <t>BS33650</t>
        </is>
      </c>
      <c r="C1642" t="inlineStr">
        <is>
          <t>Railroad rolling stock manufacturing</t>
        </is>
      </c>
      <c r="D1642" t="n">
        <v>15</v>
      </c>
      <c r="E1642">
        <f>IFERROR(VLOOKUP(B1642,Crosswalk!$A$2:$C$125,3,FALSE),"Unmapped")</f>
        <v/>
      </c>
    </row>
    <row r="1643">
      <c r="A1643" t="n">
        <v>2023</v>
      </c>
      <c r="B1643" t="inlineStr">
        <is>
          <t>BS33660</t>
        </is>
      </c>
      <c r="C1643" t="inlineStr">
        <is>
          <t>Ship and boat building</t>
        </is>
      </c>
      <c r="D1643" t="n">
        <v>49</v>
      </c>
      <c r="E1643">
        <f>IFERROR(VLOOKUP(B1643,Crosswalk!$A$2:$C$125,3,FALSE),"Unmapped")</f>
        <v/>
      </c>
    </row>
    <row r="1644">
      <c r="A1644" t="n">
        <v>2023</v>
      </c>
      <c r="B1644" t="inlineStr">
        <is>
          <t>BS33690</t>
        </is>
      </c>
      <c r="C1644" t="inlineStr">
        <is>
          <t>Other transportation equipment manufacturing</t>
        </is>
      </c>
      <c r="D1644" t="n">
        <v>53</v>
      </c>
      <c r="E1644">
        <f>IFERROR(VLOOKUP(B1644,Crosswalk!$A$2:$C$125,3,FALSE),"Unmapped")</f>
        <v/>
      </c>
    </row>
    <row r="1645">
      <c r="A1645" t="n">
        <v>2023</v>
      </c>
      <c r="B1645" t="inlineStr">
        <is>
          <t>BS33700</t>
        </is>
      </c>
      <c r="C1645" t="inlineStr">
        <is>
          <t>Furniture and related product manufacturing</t>
        </is>
      </c>
      <c r="D1645" t="n">
        <v>426</v>
      </c>
      <c r="E1645">
        <f>IFERROR(VLOOKUP(B1645,Crosswalk!$A$2:$C$125,3,FALSE),"Unmapped")</f>
        <v/>
      </c>
    </row>
    <row r="1646">
      <c r="A1646" t="n">
        <v>2023</v>
      </c>
      <c r="B1646" t="inlineStr">
        <is>
          <t>BS33900</t>
        </is>
      </c>
      <c r="C1646" t="inlineStr">
        <is>
          <t>Miscellaneous manufacturing</t>
        </is>
      </c>
      <c r="D1646" t="n">
        <v>345</v>
      </c>
      <c r="E1646">
        <f>IFERROR(VLOOKUP(B1646,Crosswalk!$A$2:$C$125,3,FALSE),"Unmapped")</f>
        <v/>
      </c>
    </row>
    <row r="1647">
      <c r="A1647" t="n">
        <v>2023</v>
      </c>
      <c r="B1647" t="inlineStr">
        <is>
          <t>BS41000</t>
        </is>
      </c>
      <c r="C1647" t="inlineStr">
        <is>
          <t>Wholesale trade</t>
        </is>
      </c>
      <c r="D1647" t="n">
        <v>9661</v>
      </c>
      <c r="E1647">
        <f>IFERROR(VLOOKUP(B1647,Crosswalk!$A$2:$C$125,3,FALSE),"Unmapped")</f>
        <v/>
      </c>
    </row>
    <row r="1648">
      <c r="A1648" t="n">
        <v>2023</v>
      </c>
      <c r="B1648" t="inlineStr">
        <is>
          <t>BS459BL</t>
        </is>
      </c>
      <c r="C1648" t="inlineStr">
        <is>
          <t>Cannabis retailers (licensed)</t>
        </is>
      </c>
      <c r="D1648" t="n">
        <v>75</v>
      </c>
      <c r="E1648">
        <f>IFERROR(VLOOKUP(B1648,Crosswalk!$A$2:$C$125,3,FALSE),"Unmapped")</f>
        <v/>
      </c>
    </row>
    <row r="1649">
      <c r="A1649" t="n">
        <v>2023</v>
      </c>
      <c r="B1649" t="inlineStr">
        <is>
          <t>BS459BU</t>
        </is>
      </c>
      <c r="C1649" t="inlineStr">
        <is>
          <t>Cannabis retailers (unlicensed)</t>
        </is>
      </c>
      <c r="D1649" t="n">
        <v>22</v>
      </c>
      <c r="E1649">
        <f>IFERROR(VLOOKUP(B1649,Crosswalk!$A$2:$C$125,3,FALSE),"Unmapped")</f>
        <v/>
      </c>
    </row>
    <row r="1650">
      <c r="A1650" t="n">
        <v>2023</v>
      </c>
      <c r="B1650" t="inlineStr">
        <is>
          <t>BS48100</t>
        </is>
      </c>
      <c r="C1650" t="inlineStr">
        <is>
          <t>Air transportation</t>
        </is>
      </c>
      <c r="D1650" t="n">
        <v>21274</v>
      </c>
      <c r="E1650">
        <f>IFERROR(VLOOKUP(B1650,Crosswalk!$A$2:$C$125,3,FALSE),"Unmapped")</f>
        <v/>
      </c>
    </row>
    <row r="1651">
      <c r="A1651" t="n">
        <v>2023</v>
      </c>
      <c r="B1651" t="inlineStr">
        <is>
          <t>BS48200</t>
        </is>
      </c>
      <c r="C1651" t="inlineStr">
        <is>
          <t>Rail transportation</t>
        </is>
      </c>
      <c r="D1651" t="n">
        <v>5419</v>
      </c>
      <c r="E1651">
        <f>IFERROR(VLOOKUP(B1651,Crosswalk!$A$2:$C$125,3,FALSE),"Unmapped")</f>
        <v/>
      </c>
    </row>
    <row r="1652">
      <c r="A1652" t="n">
        <v>2023</v>
      </c>
      <c r="B1652" t="inlineStr">
        <is>
          <t>BS48300</t>
        </is>
      </c>
      <c r="C1652" t="inlineStr">
        <is>
          <t>Water transportation</t>
        </is>
      </c>
      <c r="D1652" t="n">
        <v>1877</v>
      </c>
      <c r="E1652">
        <f>IFERROR(VLOOKUP(B1652,Crosswalk!$A$2:$C$125,3,FALSE),"Unmapped")</f>
        <v/>
      </c>
    </row>
    <row r="1653">
      <c r="A1653" t="n">
        <v>2023</v>
      </c>
      <c r="B1653" t="inlineStr">
        <is>
          <t>BS48400</t>
        </is>
      </c>
      <c r="C1653" t="inlineStr">
        <is>
          <t>Truck transportation</t>
        </is>
      </c>
      <c r="D1653" t="n">
        <v>18709</v>
      </c>
      <c r="E1653">
        <f>IFERROR(VLOOKUP(B1653,Crosswalk!$A$2:$C$125,3,FALSE),"Unmapped")</f>
        <v/>
      </c>
    </row>
    <row r="1654">
      <c r="A1654" t="n">
        <v>2023</v>
      </c>
      <c r="B1654" t="inlineStr">
        <is>
          <t>BS48600</t>
        </is>
      </c>
      <c r="C1654" t="inlineStr">
        <is>
          <t>Pipeline transportation</t>
        </is>
      </c>
      <c r="D1654" t="n">
        <v>10110</v>
      </c>
      <c r="E1654">
        <f>IFERROR(VLOOKUP(B1654,Crosswalk!$A$2:$C$125,3,FALSE),"Unmapped")</f>
        <v/>
      </c>
    </row>
    <row r="1655">
      <c r="A1655" t="n">
        <v>2023</v>
      </c>
      <c r="B1655" t="inlineStr">
        <is>
          <t>BS48B00</t>
        </is>
      </c>
      <c r="C1655" t="inlineStr">
        <is>
          <t>Transit, ground passenger and scenic and sightseeing transportation, taxi and limousine service and support activities for transportation</t>
        </is>
      </c>
      <c r="D1655" t="n">
        <v>4190</v>
      </c>
      <c r="E1655">
        <f>IFERROR(VLOOKUP(B1655,Crosswalk!$A$2:$C$125,3,FALSE),"Unmapped")</f>
        <v/>
      </c>
    </row>
    <row r="1656">
      <c r="A1656" t="n">
        <v>2023</v>
      </c>
      <c r="B1656" t="inlineStr">
        <is>
          <t>BS49300</t>
        </is>
      </c>
      <c r="C1656" t="inlineStr">
        <is>
          <t>Warehousing and storage</t>
        </is>
      </c>
      <c r="D1656" t="n">
        <v>331</v>
      </c>
      <c r="E1656">
        <f>IFERROR(VLOOKUP(B1656,Crosswalk!$A$2:$C$125,3,FALSE),"Unmapped")</f>
        <v/>
      </c>
    </row>
    <row r="1657">
      <c r="A1657" t="n">
        <v>2023</v>
      </c>
      <c r="B1657" t="inlineStr">
        <is>
          <t>BS49A00</t>
        </is>
      </c>
      <c r="C1657" t="inlineStr">
        <is>
          <t>Postal service and couriers and messengers</t>
        </is>
      </c>
      <c r="D1657" t="n">
        <v>2571</v>
      </c>
      <c r="E1657">
        <f>IFERROR(VLOOKUP(B1657,Crosswalk!$A$2:$C$125,3,FALSE),"Unmapped")</f>
        <v/>
      </c>
    </row>
    <row r="1658">
      <c r="A1658" t="n">
        <v>2023</v>
      </c>
      <c r="B1658" t="inlineStr">
        <is>
          <t>BS4AA00</t>
        </is>
      </c>
      <c r="C1658" t="inlineStr">
        <is>
          <t>Retail trade (except cannabis)</t>
        </is>
      </c>
      <c r="D1658" t="n">
        <v>7733</v>
      </c>
      <c r="E1658">
        <f>IFERROR(VLOOKUP(B1658,Crosswalk!$A$2:$C$125,3,FALSE),"Unmapped")</f>
        <v/>
      </c>
    </row>
    <row r="1659">
      <c r="A1659" t="n">
        <v>2023</v>
      </c>
      <c r="B1659" t="inlineStr">
        <is>
          <t>BS51200</t>
        </is>
      </c>
      <c r="C1659" t="inlineStr">
        <is>
          <t>Motion picture and sound recording industries</t>
        </is>
      </c>
      <c r="D1659" t="n">
        <v>491</v>
      </c>
      <c r="E1659">
        <f>IFERROR(VLOOKUP(B1659,Crosswalk!$A$2:$C$125,3,FALSE),"Unmapped")</f>
        <v/>
      </c>
    </row>
    <row r="1660">
      <c r="A1660" t="n">
        <v>2023</v>
      </c>
      <c r="B1660" t="inlineStr">
        <is>
          <t>BS51610</t>
        </is>
      </c>
      <c r="C1660" t="inlineStr">
        <is>
          <t>Radio and television broadcasting stations</t>
        </is>
      </c>
      <c r="D1660" t="n">
        <v>10</v>
      </c>
      <c r="E1660">
        <f>IFERROR(VLOOKUP(B1660,Crosswalk!$A$2:$C$125,3,FALSE),"Unmapped")</f>
        <v/>
      </c>
    </row>
    <row r="1661">
      <c r="A1661" t="n">
        <v>2023</v>
      </c>
      <c r="B1661" t="inlineStr">
        <is>
          <t>BS51B00</t>
        </is>
      </c>
      <c r="C1661" t="inlineStr">
        <is>
          <t>Publishing, pay/specialty services, telecommunications and other information services</t>
        </is>
      </c>
      <c r="D1661" t="n">
        <v>610</v>
      </c>
      <c r="E1661">
        <f>IFERROR(VLOOKUP(B1661,Crosswalk!$A$2:$C$125,3,FALSE),"Unmapped")</f>
        <v/>
      </c>
    </row>
    <row r="1662">
      <c r="A1662" t="n">
        <v>2023</v>
      </c>
      <c r="B1662" t="inlineStr">
        <is>
          <t>BS52410</t>
        </is>
      </c>
      <c r="C1662" t="inlineStr">
        <is>
          <t>Insurance carriers</t>
        </is>
      </c>
      <c r="D1662" t="n">
        <v>59</v>
      </c>
      <c r="E1662">
        <f>IFERROR(VLOOKUP(B1662,Crosswalk!$A$2:$C$125,3,FALSE),"Unmapped")</f>
        <v/>
      </c>
    </row>
    <row r="1663">
      <c r="A1663" t="n">
        <v>2023</v>
      </c>
      <c r="B1663" t="inlineStr">
        <is>
          <t>BS52B00</t>
        </is>
      </c>
      <c r="C1663" t="inlineStr">
        <is>
          <t>Depository credit intermediation and monetary authorities</t>
        </is>
      </c>
      <c r="D1663" t="n">
        <v>742</v>
      </c>
      <c r="E1663">
        <f>IFERROR(VLOOKUP(B1663,Crosswalk!$A$2:$C$125,3,FALSE),"Unmapped")</f>
        <v/>
      </c>
    </row>
    <row r="1664">
      <c r="A1664" t="n">
        <v>2023</v>
      </c>
      <c r="B1664" t="inlineStr">
        <is>
          <t>BS53110</t>
        </is>
      </c>
      <c r="C1664" t="inlineStr">
        <is>
          <t>Lessors of real estate</t>
        </is>
      </c>
      <c r="D1664" t="n">
        <v>5828</v>
      </c>
      <c r="E1664">
        <f>IFERROR(VLOOKUP(B1664,Crosswalk!$A$2:$C$125,3,FALSE),"Unmapped")</f>
        <v/>
      </c>
    </row>
    <row r="1665">
      <c r="A1665" t="n">
        <v>2023</v>
      </c>
      <c r="B1665" t="inlineStr">
        <is>
          <t>BS5311A</t>
        </is>
      </c>
      <c r="C1665" t="inlineStr">
        <is>
          <t>Owner-occupied dwellings</t>
        </is>
      </c>
      <c r="D1665" t="n">
        <v>0</v>
      </c>
      <c r="E1665">
        <f>IFERROR(VLOOKUP(B1665,Crosswalk!$A$2:$C$125,3,FALSE),"Unmapped")</f>
        <v/>
      </c>
    </row>
    <row r="1666">
      <c r="A1666" t="n">
        <v>2023</v>
      </c>
      <c r="B1666" t="inlineStr">
        <is>
          <t>BS53B00</t>
        </is>
      </c>
      <c r="C1666" t="inlineStr">
        <is>
          <t>Rental and leasing services and lessors of non-financial intangible assets (except copyrighted works)</t>
        </is>
      </c>
      <c r="D1666" t="n">
        <v>2778</v>
      </c>
      <c r="E1666">
        <f>IFERROR(VLOOKUP(B1666,Crosswalk!$A$2:$C$125,3,FALSE),"Unmapped")</f>
        <v/>
      </c>
    </row>
    <row r="1667">
      <c r="A1667" t="n">
        <v>2023</v>
      </c>
      <c r="B1667" t="inlineStr">
        <is>
          <t>BS54180</t>
        </is>
      </c>
      <c r="C1667" t="inlineStr">
        <is>
          <t>Advertising, public relations and related services</t>
        </is>
      </c>
      <c r="D1667" t="n">
        <v>173</v>
      </c>
      <c r="E1667">
        <f>IFERROR(VLOOKUP(B1667,Crosswalk!$A$2:$C$125,3,FALSE),"Unmapped")</f>
        <v/>
      </c>
    </row>
    <row r="1668">
      <c r="A1668" t="n">
        <v>2023</v>
      </c>
      <c r="B1668" t="inlineStr">
        <is>
          <t>BS541C0</t>
        </is>
      </c>
      <c r="C1668" t="inlineStr">
        <is>
          <t>Legal, accounting and architectural, engineering and related services</t>
        </is>
      </c>
      <c r="D1668" t="n">
        <v>1109</v>
      </c>
      <c r="E1668">
        <f>IFERROR(VLOOKUP(B1668,Crosswalk!$A$2:$C$125,3,FALSE),"Unmapped")</f>
        <v/>
      </c>
    </row>
    <row r="1669">
      <c r="A1669" t="n">
        <v>2023</v>
      </c>
      <c r="B1669" t="inlineStr">
        <is>
          <t>BS541D0</t>
        </is>
      </c>
      <c r="C1669" t="inlineStr">
        <is>
          <t>Computer systems design and other professional, scientific and technical services</t>
        </is>
      </c>
      <c r="D1669" t="n">
        <v>799</v>
      </c>
      <c r="E1669">
        <f>IFERROR(VLOOKUP(B1669,Crosswalk!$A$2:$C$125,3,FALSE),"Unmapped")</f>
        <v/>
      </c>
    </row>
    <row r="1670">
      <c r="A1670" t="n">
        <v>2023</v>
      </c>
      <c r="B1670" t="inlineStr">
        <is>
          <t>BS56100</t>
        </is>
      </c>
      <c r="C1670" t="inlineStr">
        <is>
          <t>Administrative and support services</t>
        </is>
      </c>
      <c r="D1670" t="n">
        <v>2754</v>
      </c>
      <c r="E1670">
        <f>IFERROR(VLOOKUP(B1670,Crosswalk!$A$2:$C$125,3,FALSE),"Unmapped")</f>
        <v/>
      </c>
    </row>
    <row r="1671">
      <c r="A1671" t="n">
        <v>2023</v>
      </c>
      <c r="B1671" t="inlineStr">
        <is>
          <t>BS56200</t>
        </is>
      </c>
      <c r="C1671" t="inlineStr">
        <is>
          <t>Waste management and remediation services</t>
        </is>
      </c>
      <c r="D1671" t="n">
        <v>1628</v>
      </c>
      <c r="E1671">
        <f>IFERROR(VLOOKUP(B1671,Crosswalk!$A$2:$C$125,3,FALSE),"Unmapped")</f>
        <v/>
      </c>
    </row>
    <row r="1672">
      <c r="A1672" t="n">
        <v>2023</v>
      </c>
      <c r="B1672" t="inlineStr">
        <is>
          <t>BS5A000</t>
        </is>
      </c>
      <c r="C1672" t="inlineStr">
        <is>
          <t>Other finance, insurance and real estate services and management of companies and enterprises</t>
        </is>
      </c>
      <c r="D1672" t="n">
        <v>2823</v>
      </c>
      <c r="E1672">
        <f>IFERROR(VLOOKUP(B1672,Crosswalk!$A$2:$C$125,3,FALSE),"Unmapped")</f>
        <v/>
      </c>
    </row>
    <row r="1673">
      <c r="A1673" t="n">
        <v>2023</v>
      </c>
      <c r="B1673" t="inlineStr">
        <is>
          <t>BS61000</t>
        </is>
      </c>
      <c r="C1673" t="inlineStr">
        <is>
          <t>Educational services</t>
        </is>
      </c>
      <c r="D1673" t="n">
        <v>325</v>
      </c>
      <c r="E1673">
        <f>IFERROR(VLOOKUP(B1673,Crosswalk!$A$2:$C$125,3,FALSE),"Unmapped")</f>
        <v/>
      </c>
    </row>
    <row r="1674">
      <c r="A1674" t="n">
        <v>2023</v>
      </c>
      <c r="B1674" t="inlineStr">
        <is>
          <t>BS62000</t>
        </is>
      </c>
      <c r="C1674" t="inlineStr">
        <is>
          <t>Health care and social assistance</t>
        </is>
      </c>
      <c r="D1674" t="n">
        <v>1832</v>
      </c>
      <c r="E1674">
        <f>IFERROR(VLOOKUP(B1674,Crosswalk!$A$2:$C$125,3,FALSE),"Unmapped")</f>
        <v/>
      </c>
    </row>
    <row r="1675">
      <c r="A1675" t="n">
        <v>2023</v>
      </c>
      <c r="B1675" t="inlineStr">
        <is>
          <t>BS71000</t>
        </is>
      </c>
      <c r="C1675" t="inlineStr">
        <is>
          <t>Arts, entertainment and recreation</t>
        </is>
      </c>
      <c r="D1675" t="n">
        <v>191</v>
      </c>
      <c r="E1675">
        <f>IFERROR(VLOOKUP(B1675,Crosswalk!$A$2:$C$125,3,FALSE),"Unmapped")</f>
        <v/>
      </c>
    </row>
    <row r="1676">
      <c r="A1676" t="n">
        <v>2023</v>
      </c>
      <c r="B1676" t="inlineStr">
        <is>
          <t>BS72000</t>
        </is>
      </c>
      <c r="C1676" t="inlineStr">
        <is>
          <t>Accommodation and food services</t>
        </is>
      </c>
      <c r="D1676" t="n">
        <v>1868</v>
      </c>
      <c r="E1676">
        <f>IFERROR(VLOOKUP(B1676,Crosswalk!$A$2:$C$125,3,FALSE),"Unmapped")</f>
        <v/>
      </c>
    </row>
    <row r="1677">
      <c r="A1677" t="n">
        <v>2023</v>
      </c>
      <c r="B1677" t="inlineStr">
        <is>
          <t>BS81100</t>
        </is>
      </c>
      <c r="C1677" t="inlineStr">
        <is>
          <t>Repair and maintenance</t>
        </is>
      </c>
      <c r="D1677" t="n">
        <v>2515</v>
      </c>
      <c r="E1677">
        <f>IFERROR(VLOOKUP(B1677,Crosswalk!$A$2:$C$125,3,FALSE),"Unmapped")</f>
        <v/>
      </c>
    </row>
    <row r="1678">
      <c r="A1678" t="n">
        <v>2023</v>
      </c>
      <c r="B1678" t="inlineStr">
        <is>
          <t>BS81300</t>
        </is>
      </c>
      <c r="C1678" t="inlineStr">
        <is>
          <t>Professional and similar organisations</t>
        </is>
      </c>
      <c r="D1678" t="n">
        <v>11</v>
      </c>
      <c r="E1678">
        <f>IFERROR(VLOOKUP(B1678,Crosswalk!$A$2:$C$125,3,FALSE),"Unmapped")</f>
        <v/>
      </c>
    </row>
    <row r="1679">
      <c r="A1679" t="n">
        <v>2023</v>
      </c>
      <c r="B1679" t="inlineStr">
        <is>
          <t>BS81A00</t>
        </is>
      </c>
      <c r="C1679" t="inlineStr">
        <is>
          <t>Personal services and private households</t>
        </is>
      </c>
      <c r="D1679" t="n">
        <v>588</v>
      </c>
      <c r="E1679">
        <f>IFERROR(VLOOKUP(B1679,Crosswalk!$A$2:$C$125,3,FALSE),"Unmapped")</f>
        <v/>
      </c>
    </row>
    <row r="1680">
      <c r="A1680" t="n">
        <v>2023</v>
      </c>
      <c r="B1680" t="inlineStr">
        <is>
          <t>GS61130</t>
        </is>
      </c>
      <c r="C1680" t="inlineStr">
        <is>
          <t>Universities</t>
        </is>
      </c>
      <c r="D1680" t="n">
        <v>2509</v>
      </c>
      <c r="E1680">
        <f>IFERROR(VLOOKUP(B1680,Crosswalk!$A$2:$C$125,3,FALSE),"Unmapped")</f>
        <v/>
      </c>
    </row>
    <row r="1681">
      <c r="A1681" t="n">
        <v>2023</v>
      </c>
      <c r="B1681" t="inlineStr">
        <is>
          <t>GS611B0</t>
        </is>
      </c>
      <c r="C1681" t="inlineStr">
        <is>
          <t>Educational services (except universities)</t>
        </is>
      </c>
      <c r="D1681" t="n">
        <v>2199</v>
      </c>
      <c r="E1681">
        <f>IFERROR(VLOOKUP(B1681,Crosswalk!$A$2:$C$125,3,FALSE),"Unmapped")</f>
        <v/>
      </c>
    </row>
    <row r="1682">
      <c r="A1682" t="n">
        <v>2023</v>
      </c>
      <c r="B1682" t="inlineStr">
        <is>
          <t>GS62300</t>
        </is>
      </c>
      <c r="C1682" t="inlineStr">
        <is>
          <t>Nursing and residential care facilities</t>
        </is>
      </c>
      <c r="D1682" t="n">
        <v>140</v>
      </c>
      <c r="E1682">
        <f>IFERROR(VLOOKUP(B1682,Crosswalk!$A$2:$C$125,3,FALSE),"Unmapped")</f>
        <v/>
      </c>
    </row>
    <row r="1683">
      <c r="A1683" t="n">
        <v>2023</v>
      </c>
      <c r="B1683" t="inlineStr">
        <is>
          <t>GS62B00</t>
        </is>
      </c>
      <c r="C1683" t="inlineStr">
        <is>
          <t>Health care and social assistance (except nursing and residential care facilities)</t>
        </is>
      </c>
      <c r="D1683" t="n">
        <v>1266</v>
      </c>
      <c r="E1683">
        <f>IFERROR(VLOOKUP(B1683,Crosswalk!$A$2:$C$125,3,FALSE),"Unmapped")</f>
        <v/>
      </c>
    </row>
    <row r="1684">
      <c r="A1684" t="n">
        <v>2023</v>
      </c>
      <c r="B1684" t="inlineStr">
        <is>
          <t>GS91100</t>
        </is>
      </c>
      <c r="C1684" t="inlineStr">
        <is>
          <t>Other federal government services</t>
        </is>
      </c>
      <c r="D1684" t="n">
        <v>2390</v>
      </c>
      <c r="E1684">
        <f>IFERROR(VLOOKUP(B1684,Crosswalk!$A$2:$C$125,3,FALSE),"Unmapped")</f>
        <v/>
      </c>
    </row>
    <row r="1685">
      <c r="A1685" t="n">
        <v>2023</v>
      </c>
      <c r="B1685" t="inlineStr">
        <is>
          <t>GS91200</t>
        </is>
      </c>
      <c r="C1685" t="inlineStr">
        <is>
          <t>Other provincial and territorial government services</t>
        </is>
      </c>
      <c r="D1685" t="n">
        <v>1671</v>
      </c>
      <c r="E1685">
        <f>IFERROR(VLOOKUP(B1685,Crosswalk!$A$2:$C$125,3,FALSE),"Unmapped")</f>
        <v/>
      </c>
    </row>
    <row r="1686">
      <c r="A1686" t="n">
        <v>2023</v>
      </c>
      <c r="B1686" t="inlineStr">
        <is>
          <t>GS91300</t>
        </is>
      </c>
      <c r="C1686" t="inlineStr">
        <is>
          <t>Other municipal government services</t>
        </is>
      </c>
      <c r="D1686" t="n">
        <v>6348</v>
      </c>
      <c r="E1686">
        <f>IFERROR(VLOOKUP(B1686,Crosswalk!$A$2:$C$125,3,FALSE),"Unmapped")</f>
        <v/>
      </c>
    </row>
    <row r="1687">
      <c r="A1687" t="n">
        <v>2023</v>
      </c>
      <c r="B1687" t="inlineStr">
        <is>
          <t>GS91400</t>
        </is>
      </c>
      <c r="C1687" t="inlineStr">
        <is>
          <t>Other Indigenous government services</t>
        </is>
      </c>
      <c r="D1687" t="n">
        <v>1597</v>
      </c>
      <c r="E1687">
        <f>IFERROR(VLOOKUP(B1687,Crosswalk!$A$2:$C$125,3,FALSE),"Unmapped")</f>
        <v/>
      </c>
    </row>
    <row r="1688">
      <c r="A1688" t="n">
        <v>2023</v>
      </c>
      <c r="B1688" t="inlineStr">
        <is>
          <t>NP61000</t>
        </is>
      </c>
      <c r="C1688" t="inlineStr">
        <is>
          <t>Non-profit education services</t>
        </is>
      </c>
      <c r="D1688" t="n">
        <v>362</v>
      </c>
      <c r="E1688">
        <f>IFERROR(VLOOKUP(B1688,Crosswalk!$A$2:$C$125,3,FALSE),"Unmapped")</f>
        <v/>
      </c>
    </row>
    <row r="1689">
      <c r="A1689" t="n">
        <v>2023</v>
      </c>
      <c r="B1689" t="inlineStr">
        <is>
          <t>NP62400</t>
        </is>
      </c>
      <c r="C1689" t="inlineStr">
        <is>
          <t>Non-profit social assistance</t>
        </is>
      </c>
      <c r="D1689" t="n">
        <v>269</v>
      </c>
      <c r="E1689">
        <f>IFERROR(VLOOKUP(B1689,Crosswalk!$A$2:$C$125,3,FALSE),"Unmapped")</f>
        <v/>
      </c>
    </row>
    <row r="1690">
      <c r="A1690" t="n">
        <v>2023</v>
      </c>
      <c r="B1690" t="inlineStr">
        <is>
          <t>NP71000</t>
        </is>
      </c>
      <c r="C1690" t="inlineStr">
        <is>
          <t>Non-profit arts, entertainment and recreation</t>
        </is>
      </c>
      <c r="D1690" t="n">
        <v>193</v>
      </c>
      <c r="E1690">
        <f>IFERROR(VLOOKUP(B1690,Crosswalk!$A$2:$C$125,3,FALSE),"Unmapped")</f>
        <v/>
      </c>
    </row>
    <row r="1691">
      <c r="A1691" t="n">
        <v>2023</v>
      </c>
      <c r="B1691" t="inlineStr">
        <is>
          <t>NP81310</t>
        </is>
      </c>
      <c r="C1691" t="inlineStr">
        <is>
          <t>Religious organizations</t>
        </is>
      </c>
      <c r="D1691" t="n">
        <v>411</v>
      </c>
      <c r="E1691">
        <f>IFERROR(VLOOKUP(B1691,Crosswalk!$A$2:$C$125,3,FALSE),"Unmapped")</f>
        <v/>
      </c>
    </row>
    <row r="1692">
      <c r="A1692" t="n">
        <v>2023</v>
      </c>
      <c r="B1692" t="inlineStr">
        <is>
          <t>NPA0000</t>
        </is>
      </c>
      <c r="C1692" t="inlineStr">
        <is>
          <t>Miscellaneous non-profit institutions serving households</t>
        </is>
      </c>
      <c r="D1692" t="n">
        <v>1203</v>
      </c>
      <c r="E1692">
        <f>IFERROR(VLOOKUP(B1692,Crosswalk!$A$2:$C$125,3,FALSE),"Unmapped")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70" customWidth="1" min="3" max="3"/>
    <col width="18" customWidth="1" min="4" max="4"/>
    <col width="38" customWidth="1" min="5" max="5"/>
  </cols>
  <sheetData>
    <row r="1">
      <c r="A1" s="8" t="inlineStr">
        <is>
          <t>Year</t>
        </is>
      </c>
      <c r="B1" s="8" t="inlineStr">
        <is>
          <t>Code</t>
        </is>
      </c>
      <c r="C1" s="8" t="inlineStr">
        <is>
          <t>Industry</t>
        </is>
      </c>
      <c r="D1" s="8" t="inlineStr">
        <is>
          <t>Gross output ($M current) - table 36-10-0488-01</t>
        </is>
      </c>
      <c r="E1" s="8" t="inlineStr">
        <is>
          <t>Portfolio sector (lookup)</t>
        </is>
      </c>
    </row>
    <row r="2">
      <c r="A2" t="n">
        <v>2009</v>
      </c>
      <c r="B2" t="inlineStr">
        <is>
          <t>BS111CL</t>
        </is>
      </c>
      <c r="C2" t="inlineStr">
        <is>
          <t>Cannabis production (licensed)</t>
        </is>
      </c>
      <c r="D2" t="n">
        <v>4.4</v>
      </c>
      <c r="E2">
        <f>IFERROR(VLOOKUP(B2,Crosswalk!$A$2:$C$125,3,FALSE),"Unmapped")</f>
        <v/>
      </c>
    </row>
    <row r="3">
      <c r="A3" t="n">
        <v>2009</v>
      </c>
      <c r="B3" t="inlineStr">
        <is>
          <t>BS111CU</t>
        </is>
      </c>
      <c r="C3" t="inlineStr">
        <is>
          <t>Cannabis production (unlicensed)</t>
        </is>
      </c>
      <c r="D3" t="n">
        <v>4098.8</v>
      </c>
      <c r="E3">
        <f>IFERROR(VLOOKUP(B3,Crosswalk!$A$2:$C$125,3,FALSE),"Unmapped")</f>
        <v/>
      </c>
    </row>
    <row r="4">
      <c r="A4" t="n">
        <v>2009</v>
      </c>
      <c r="B4" t="inlineStr">
        <is>
          <t>BS11300</t>
        </is>
      </c>
      <c r="C4" t="inlineStr">
        <is>
          <t>Forestry and logging</t>
        </is>
      </c>
      <c r="D4" t="n">
        <v>8540.9</v>
      </c>
      <c r="E4">
        <f>IFERROR(VLOOKUP(B4,Crosswalk!$A$2:$C$125,3,FALSE),"Unmapped")</f>
        <v/>
      </c>
    </row>
    <row r="5">
      <c r="A5" t="n">
        <v>2009</v>
      </c>
      <c r="B5" t="inlineStr">
        <is>
          <t>BS11400</t>
        </is>
      </c>
      <c r="C5" t="inlineStr">
        <is>
          <t>Fishing, hunting and trapping</t>
        </is>
      </c>
      <c r="D5" t="n">
        <v>1725.5</v>
      </c>
      <c r="E5">
        <f>IFERROR(VLOOKUP(B5,Crosswalk!$A$2:$C$125,3,FALSE),"Unmapped")</f>
        <v/>
      </c>
    </row>
    <row r="6">
      <c r="A6" t="n">
        <v>2009</v>
      </c>
      <c r="B6" t="inlineStr">
        <is>
          <t>BS11500</t>
        </is>
      </c>
      <c r="C6" t="inlineStr">
        <is>
          <t>Support activities for agriculture and forestry</t>
        </is>
      </c>
      <c r="D6" t="n">
        <v>2529.9</v>
      </c>
      <c r="E6">
        <f>IFERROR(VLOOKUP(B6,Crosswalk!$A$2:$C$125,3,FALSE),"Unmapped")</f>
        <v/>
      </c>
    </row>
    <row r="7">
      <c r="A7" t="n">
        <v>2009</v>
      </c>
      <c r="B7" t="inlineStr">
        <is>
          <t>BS11B00</t>
        </is>
      </c>
      <c r="C7" t="inlineStr">
        <is>
          <t>Crop and animal production (except cannabis)</t>
        </is>
      </c>
      <c r="D7" t="n">
        <v>49199.1</v>
      </c>
      <c r="E7">
        <f>IFERROR(VLOOKUP(B7,Crosswalk!$A$2:$C$125,3,FALSE),"Unmapped")</f>
        <v/>
      </c>
    </row>
    <row r="8">
      <c r="A8" t="n">
        <v>2009</v>
      </c>
      <c r="B8" t="inlineStr">
        <is>
          <t>BS21100</t>
        </is>
      </c>
      <c r="C8" t="inlineStr">
        <is>
          <t>Oil and gas extraction</t>
        </is>
      </c>
      <c r="D8" t="n">
        <v>96154.89999999999</v>
      </c>
      <c r="E8">
        <f>IFERROR(VLOOKUP(B8,Crosswalk!$A$2:$C$125,3,FALSE),"Unmapped")</f>
        <v/>
      </c>
    </row>
    <row r="9">
      <c r="A9" t="n">
        <v>2009</v>
      </c>
      <c r="B9" t="inlineStr">
        <is>
          <t>BS21210</t>
        </is>
      </c>
      <c r="C9" t="inlineStr">
        <is>
          <t>Coal mining</t>
        </is>
      </c>
      <c r="D9" t="n">
        <v>4200.5</v>
      </c>
      <c r="E9">
        <f>IFERROR(VLOOKUP(B9,Crosswalk!$A$2:$C$125,3,FALSE),"Unmapped")</f>
        <v/>
      </c>
    </row>
    <row r="10">
      <c r="A10" t="n">
        <v>2009</v>
      </c>
      <c r="B10" t="inlineStr">
        <is>
          <t>BS21220</t>
        </is>
      </c>
      <c r="C10" t="inlineStr">
        <is>
          <t>Metal ore mining</t>
        </is>
      </c>
      <c r="D10" t="n">
        <v>14106.9</v>
      </c>
      <c r="E10">
        <f>IFERROR(VLOOKUP(B10,Crosswalk!$A$2:$C$125,3,FALSE),"Unmapped")</f>
        <v/>
      </c>
    </row>
    <row r="11">
      <c r="A11" t="n">
        <v>2009</v>
      </c>
      <c r="B11" t="inlineStr">
        <is>
          <t>BS21230</t>
        </is>
      </c>
      <c r="C11" t="inlineStr">
        <is>
          <t>Non-metallic mineral mining and quarrying</t>
        </is>
      </c>
      <c r="D11" t="n">
        <v>9370.6</v>
      </c>
      <c r="E11">
        <f>IFERROR(VLOOKUP(B11,Crosswalk!$A$2:$C$125,3,FALSE),"Unmapped")</f>
        <v/>
      </c>
    </row>
    <row r="12">
      <c r="A12" t="n">
        <v>2009</v>
      </c>
      <c r="B12" t="inlineStr">
        <is>
          <t>BS21300</t>
        </is>
      </c>
      <c r="C12" t="inlineStr">
        <is>
          <t>Support activities for mining, and oil and gas extraction</t>
        </is>
      </c>
      <c r="D12" t="n">
        <v>18373.2</v>
      </c>
      <c r="E12">
        <f>IFERROR(VLOOKUP(B12,Crosswalk!$A$2:$C$125,3,FALSE),"Unmapped")</f>
        <v/>
      </c>
    </row>
    <row r="13">
      <c r="A13" t="n">
        <v>2009</v>
      </c>
      <c r="B13" t="inlineStr">
        <is>
          <t>BS22110</t>
        </is>
      </c>
      <c r="C13" t="inlineStr">
        <is>
          <t>Electric power generation, transmission and distribution</t>
        </is>
      </c>
      <c r="D13" t="n">
        <v>38590.5</v>
      </c>
      <c r="E13">
        <f>IFERROR(VLOOKUP(B13,Crosswalk!$A$2:$C$125,3,FALSE),"Unmapped")</f>
        <v/>
      </c>
    </row>
    <row r="14">
      <c r="A14" t="n">
        <v>2009</v>
      </c>
      <c r="B14" t="inlineStr">
        <is>
          <t>BS221A0</t>
        </is>
      </c>
      <c r="C14" t="inlineStr">
        <is>
          <t>Natural gas distribution, water, sewage and other systems</t>
        </is>
      </c>
      <c r="D14" t="n">
        <v>5968.6</v>
      </c>
      <c r="E14">
        <f>IFERROR(VLOOKUP(B14,Crosswalk!$A$2:$C$125,3,FALSE),"Unmapped")</f>
        <v/>
      </c>
    </row>
    <row r="15">
      <c r="A15" t="n">
        <v>2009</v>
      </c>
      <c r="B15" t="inlineStr">
        <is>
          <t>BS23A00</t>
        </is>
      </c>
      <c r="C15" t="inlineStr">
        <is>
          <t>Residential building construction</t>
        </is>
      </c>
      <c r="D15" t="n">
        <v>79308.7</v>
      </c>
      <c r="E15">
        <f>IFERROR(VLOOKUP(B15,Crosswalk!$A$2:$C$125,3,FALSE),"Unmapped")</f>
        <v/>
      </c>
    </row>
    <row r="16">
      <c r="A16" t="n">
        <v>2009</v>
      </c>
      <c r="B16" t="inlineStr">
        <is>
          <t>BS23B00</t>
        </is>
      </c>
      <c r="C16" t="inlineStr">
        <is>
          <t>Non-residential building construction</t>
        </is>
      </c>
      <c r="D16" t="n">
        <v>40858.5</v>
      </c>
      <c r="E16">
        <f>IFERROR(VLOOKUP(B16,Crosswalk!$A$2:$C$125,3,FALSE),"Unmapped")</f>
        <v/>
      </c>
    </row>
    <row r="17">
      <c r="A17" t="n">
        <v>2009</v>
      </c>
      <c r="B17" t="inlineStr">
        <is>
          <t>BS23C10</t>
        </is>
      </c>
      <c r="C17" t="inlineStr">
        <is>
          <t>Transportation engineering construction</t>
        </is>
      </c>
      <c r="D17" t="n">
        <v>21111.4</v>
      </c>
      <c r="E17">
        <f>IFERROR(VLOOKUP(B17,Crosswalk!$A$2:$C$125,3,FALSE),"Unmapped")</f>
        <v/>
      </c>
    </row>
    <row r="18">
      <c r="A18" t="n">
        <v>2009</v>
      </c>
      <c r="B18" t="inlineStr">
        <is>
          <t>BS23C20</t>
        </is>
      </c>
      <c r="C18" t="inlineStr">
        <is>
          <t>Oil and gas engineering construction</t>
        </is>
      </c>
      <c r="D18" t="n">
        <v>25602.8</v>
      </c>
      <c r="E18">
        <f>IFERROR(VLOOKUP(B18,Crosswalk!$A$2:$C$125,3,FALSE),"Unmapped")</f>
        <v/>
      </c>
    </row>
    <row r="19">
      <c r="A19" t="n">
        <v>2009</v>
      </c>
      <c r="B19" t="inlineStr">
        <is>
          <t>BS23C30</t>
        </is>
      </c>
      <c r="C19" t="inlineStr">
        <is>
          <t>Electric power engineering construction</t>
        </is>
      </c>
      <c r="D19" t="n">
        <v>12076</v>
      </c>
      <c r="E19">
        <f>IFERROR(VLOOKUP(B19,Crosswalk!$A$2:$C$125,3,FALSE),"Unmapped")</f>
        <v/>
      </c>
    </row>
    <row r="20">
      <c r="A20" t="n">
        <v>2009</v>
      </c>
      <c r="B20" t="inlineStr">
        <is>
          <t>BS23C40</t>
        </is>
      </c>
      <c r="C20" t="inlineStr">
        <is>
          <t>Communication engineering construction</t>
        </is>
      </c>
      <c r="D20" t="n">
        <v>1442.3</v>
      </c>
      <c r="E20">
        <f>IFERROR(VLOOKUP(B20,Crosswalk!$A$2:$C$125,3,FALSE),"Unmapped")</f>
        <v/>
      </c>
    </row>
    <row r="21">
      <c r="A21" t="n">
        <v>2009</v>
      </c>
      <c r="B21" t="inlineStr">
        <is>
          <t>BS23C50</t>
        </is>
      </c>
      <c r="C21" t="inlineStr">
        <is>
          <t>Other engineering construction</t>
        </is>
      </c>
      <c r="D21" t="n">
        <v>16801.8</v>
      </c>
      <c r="E21">
        <f>IFERROR(VLOOKUP(B21,Crosswalk!$A$2:$C$125,3,FALSE),"Unmapped")</f>
        <v/>
      </c>
    </row>
    <row r="22">
      <c r="A22" t="n">
        <v>2009</v>
      </c>
      <c r="B22" t="inlineStr">
        <is>
          <t>BS23D00</t>
        </is>
      </c>
      <c r="C22" t="inlineStr">
        <is>
          <t>Repair construction</t>
        </is>
      </c>
      <c r="D22" t="n">
        <v>32988</v>
      </c>
      <c r="E22">
        <f>IFERROR(VLOOKUP(B22,Crosswalk!$A$2:$C$125,3,FALSE),"Unmapped")</f>
        <v/>
      </c>
    </row>
    <row r="23">
      <c r="A23" t="n">
        <v>2009</v>
      </c>
      <c r="B23" t="inlineStr">
        <is>
          <t>BS23E00</t>
        </is>
      </c>
      <c r="C23" t="inlineStr">
        <is>
          <t>Other activities of the construction industry</t>
        </is>
      </c>
      <c r="D23" t="n">
        <v>2606.3</v>
      </c>
      <c r="E23">
        <f>IFERROR(VLOOKUP(B23,Crosswalk!$A$2:$C$125,3,FALSE),"Unmapped")</f>
        <v/>
      </c>
    </row>
    <row r="24">
      <c r="A24" t="n">
        <v>2009</v>
      </c>
      <c r="B24" t="inlineStr">
        <is>
          <t>BS31110</t>
        </is>
      </c>
      <c r="C24" t="inlineStr">
        <is>
          <t>Animal food manufacturing</t>
        </is>
      </c>
      <c r="D24" t="n">
        <v>6082.5</v>
      </c>
      <c r="E24">
        <f>IFERROR(VLOOKUP(B24,Crosswalk!$A$2:$C$125,3,FALSE),"Unmapped")</f>
        <v/>
      </c>
    </row>
    <row r="25">
      <c r="A25" t="n">
        <v>2009</v>
      </c>
      <c r="B25" t="inlineStr">
        <is>
          <t>BS31130</t>
        </is>
      </c>
      <c r="C25" t="inlineStr">
        <is>
          <t>Sugar and confectionery product manufacturing</t>
        </is>
      </c>
      <c r="D25" t="n">
        <v>4336.2</v>
      </c>
      <c r="E25">
        <f>IFERROR(VLOOKUP(B25,Crosswalk!$A$2:$C$125,3,FALSE),"Unmapped")</f>
        <v/>
      </c>
    </row>
    <row r="26">
      <c r="A26" t="n">
        <v>2009</v>
      </c>
      <c r="B26" t="inlineStr">
        <is>
          <t>BS31140</t>
        </is>
      </c>
      <c r="C26" t="inlineStr">
        <is>
          <t>Fruit and vegetable preserving and specialty food manufacturing</t>
        </is>
      </c>
      <c r="D26" t="n">
        <v>6472.1</v>
      </c>
      <c r="E26">
        <f>IFERROR(VLOOKUP(B26,Crosswalk!$A$2:$C$125,3,FALSE),"Unmapped")</f>
        <v/>
      </c>
    </row>
    <row r="27">
      <c r="A27" t="n">
        <v>2009</v>
      </c>
      <c r="B27" t="inlineStr">
        <is>
          <t>BS31150</t>
        </is>
      </c>
      <c r="C27" t="inlineStr">
        <is>
          <t>Dairy product manufacturing</t>
        </is>
      </c>
      <c r="D27" t="n">
        <v>13277.7</v>
      </c>
      <c r="E27">
        <f>IFERROR(VLOOKUP(B27,Crosswalk!$A$2:$C$125,3,FALSE),"Unmapped")</f>
        <v/>
      </c>
    </row>
    <row r="28">
      <c r="A28" t="n">
        <v>2009</v>
      </c>
      <c r="B28" t="inlineStr">
        <is>
          <t>BS31160</t>
        </is>
      </c>
      <c r="C28" t="inlineStr">
        <is>
          <t>Meat product manufacturing</t>
        </is>
      </c>
      <c r="D28" t="n">
        <v>22460.2</v>
      </c>
      <c r="E28">
        <f>IFERROR(VLOOKUP(B28,Crosswalk!$A$2:$C$125,3,FALSE),"Unmapped")</f>
        <v/>
      </c>
    </row>
    <row r="29">
      <c r="A29" t="n">
        <v>2009</v>
      </c>
      <c r="B29" t="inlineStr">
        <is>
          <t>BS31170</t>
        </is>
      </c>
      <c r="C29" t="inlineStr">
        <is>
          <t>Seafood product preparation and packaging</t>
        </is>
      </c>
      <c r="D29" t="n">
        <v>3574</v>
      </c>
      <c r="E29">
        <f>IFERROR(VLOOKUP(B29,Crosswalk!$A$2:$C$125,3,FALSE),"Unmapped")</f>
        <v/>
      </c>
    </row>
    <row r="30">
      <c r="A30" t="n">
        <v>2009</v>
      </c>
      <c r="B30" t="inlineStr">
        <is>
          <t>BS311A0</t>
        </is>
      </c>
      <c r="C30" t="inlineStr">
        <is>
          <t>Miscellaneous food manufacturing</t>
        </is>
      </c>
      <c r="D30" t="n">
        <v>22538</v>
      </c>
      <c r="E30">
        <f>IFERROR(VLOOKUP(B30,Crosswalk!$A$2:$C$125,3,FALSE),"Unmapped")</f>
        <v/>
      </c>
    </row>
    <row r="31">
      <c r="A31" t="n">
        <v>2009</v>
      </c>
      <c r="B31" t="inlineStr">
        <is>
          <t>BS31211</t>
        </is>
      </c>
      <c r="C31" t="inlineStr">
        <is>
          <t>Soft drink and ice manufacturing</t>
        </is>
      </c>
      <c r="D31" t="n">
        <v>4160.9</v>
      </c>
      <c r="E31">
        <f>IFERROR(VLOOKUP(B31,Crosswalk!$A$2:$C$125,3,FALSE),"Unmapped")</f>
        <v/>
      </c>
    </row>
    <row r="32">
      <c r="A32" t="n">
        <v>2009</v>
      </c>
      <c r="B32" t="inlineStr">
        <is>
          <t>BS31212</t>
        </is>
      </c>
      <c r="C32" t="inlineStr">
        <is>
          <t>Breweries</t>
        </is>
      </c>
      <c r="D32" t="n">
        <v>5180</v>
      </c>
      <c r="E32">
        <f>IFERROR(VLOOKUP(B32,Crosswalk!$A$2:$C$125,3,FALSE),"Unmapped")</f>
        <v/>
      </c>
    </row>
    <row r="33">
      <c r="A33" t="n">
        <v>2009</v>
      </c>
      <c r="B33" t="inlineStr">
        <is>
          <t>BS3121A</t>
        </is>
      </c>
      <c r="C33" t="inlineStr">
        <is>
          <t>Wineries and distilleries</t>
        </is>
      </c>
      <c r="D33" t="n">
        <v>1816.6</v>
      </c>
      <c r="E33">
        <f>IFERROR(VLOOKUP(B33,Crosswalk!$A$2:$C$125,3,FALSE),"Unmapped")</f>
        <v/>
      </c>
    </row>
    <row r="34">
      <c r="A34" t="n">
        <v>2009</v>
      </c>
      <c r="B34" t="inlineStr">
        <is>
          <t>BS312A0</t>
        </is>
      </c>
      <c r="C34" t="inlineStr">
        <is>
          <t>Tobacco and cannabis product manufacturing</t>
        </is>
      </c>
      <c r="D34" t="n">
        <v>1435.1</v>
      </c>
      <c r="E34">
        <f>IFERROR(VLOOKUP(B34,Crosswalk!$A$2:$C$125,3,FALSE),"Unmapped")</f>
        <v/>
      </c>
    </row>
    <row r="35">
      <c r="A35" t="n">
        <v>2009</v>
      </c>
      <c r="B35" t="inlineStr">
        <is>
          <t>BS31A00</t>
        </is>
      </c>
      <c r="C35" t="inlineStr">
        <is>
          <t>Textile and textile product mills</t>
        </is>
      </c>
      <c r="D35" t="n">
        <v>3258.1</v>
      </c>
      <c r="E35">
        <f>IFERROR(VLOOKUP(B35,Crosswalk!$A$2:$C$125,3,FALSE),"Unmapped")</f>
        <v/>
      </c>
    </row>
    <row r="36">
      <c r="A36" t="n">
        <v>2009</v>
      </c>
      <c r="B36" t="inlineStr">
        <is>
          <t>BS31B00</t>
        </is>
      </c>
      <c r="C36" t="inlineStr">
        <is>
          <t>Clothing and leather and allied product manufacturing</t>
        </is>
      </c>
      <c r="D36" t="n">
        <v>3514.3</v>
      </c>
      <c r="E36">
        <f>IFERROR(VLOOKUP(B36,Crosswalk!$A$2:$C$125,3,FALSE),"Unmapped")</f>
        <v/>
      </c>
    </row>
    <row r="37">
      <c r="A37" t="n">
        <v>2009</v>
      </c>
      <c r="B37" t="inlineStr">
        <is>
          <t>BS32100</t>
        </is>
      </c>
      <c r="C37" t="inlineStr">
        <is>
          <t>Wood product manufacturing</t>
        </is>
      </c>
      <c r="D37" t="n">
        <v>19398.5</v>
      </c>
      <c r="E37">
        <f>IFERROR(VLOOKUP(B37,Crosswalk!$A$2:$C$125,3,FALSE),"Unmapped")</f>
        <v/>
      </c>
    </row>
    <row r="38">
      <c r="A38" t="n">
        <v>2009</v>
      </c>
      <c r="B38" t="inlineStr">
        <is>
          <t>BS32210</t>
        </is>
      </c>
      <c r="C38" t="inlineStr">
        <is>
          <t>Pulp, paper and paperboard mills</t>
        </is>
      </c>
      <c r="D38" t="n">
        <v>16811.8</v>
      </c>
      <c r="E38">
        <f>IFERROR(VLOOKUP(B38,Crosswalk!$A$2:$C$125,3,FALSE),"Unmapped")</f>
        <v/>
      </c>
    </row>
    <row r="39">
      <c r="A39" t="n">
        <v>2009</v>
      </c>
      <c r="B39" t="inlineStr">
        <is>
          <t>BS32220</t>
        </is>
      </c>
      <c r="C39" t="inlineStr">
        <is>
          <t>Converted paper product manufacturing</t>
        </is>
      </c>
      <c r="D39" t="n">
        <v>8424</v>
      </c>
      <c r="E39">
        <f>IFERROR(VLOOKUP(B39,Crosswalk!$A$2:$C$125,3,FALSE),"Unmapped")</f>
        <v/>
      </c>
    </row>
    <row r="40">
      <c r="A40" t="n">
        <v>2009</v>
      </c>
      <c r="B40" t="inlineStr">
        <is>
          <t>BS32300</t>
        </is>
      </c>
      <c r="C40" t="inlineStr">
        <is>
          <t>Printing and related support activities</t>
        </is>
      </c>
      <c r="D40" t="n">
        <v>10389.5</v>
      </c>
      <c r="E40">
        <f>IFERROR(VLOOKUP(B40,Crosswalk!$A$2:$C$125,3,FALSE),"Unmapped")</f>
        <v/>
      </c>
    </row>
    <row r="41">
      <c r="A41" t="n">
        <v>2009</v>
      </c>
      <c r="B41" t="inlineStr">
        <is>
          <t>BS32400</t>
        </is>
      </c>
      <c r="C41" t="inlineStr">
        <is>
          <t>Petroleum and coal product manufacturing</t>
        </is>
      </c>
      <c r="D41" t="n">
        <v>61802.5</v>
      </c>
      <c r="E41">
        <f>IFERROR(VLOOKUP(B41,Crosswalk!$A$2:$C$125,3,FALSE),"Unmapped")</f>
        <v/>
      </c>
    </row>
    <row r="42">
      <c r="A42" t="n">
        <v>2009</v>
      </c>
      <c r="B42" t="inlineStr">
        <is>
          <t>BS32510</t>
        </is>
      </c>
      <c r="C42" t="inlineStr">
        <is>
          <t>Basic chemical manufacturing</t>
        </is>
      </c>
      <c r="D42" t="n">
        <v>12194.1</v>
      </c>
      <c r="E42">
        <f>IFERROR(VLOOKUP(B42,Crosswalk!$A$2:$C$125,3,FALSE),"Unmapped")</f>
        <v/>
      </c>
    </row>
    <row r="43">
      <c r="A43" t="n">
        <v>2009</v>
      </c>
      <c r="B43" t="inlineStr">
        <is>
          <t>BS32530</t>
        </is>
      </c>
      <c r="C43" t="inlineStr">
        <is>
          <t>Pesticide, fertilizer and other agricultural chemical manufacturing</t>
        </is>
      </c>
      <c r="D43" t="n">
        <v>4673.9</v>
      </c>
      <c r="E43">
        <f>IFERROR(VLOOKUP(B43,Crosswalk!$A$2:$C$125,3,FALSE),"Unmapped")</f>
        <v/>
      </c>
    </row>
    <row r="44">
      <c r="A44" t="n">
        <v>2009</v>
      </c>
      <c r="B44" t="inlineStr">
        <is>
          <t>BS32540</t>
        </is>
      </c>
      <c r="C44" t="inlineStr">
        <is>
          <t>Pharmaceutical and medicine manufacturing</t>
        </is>
      </c>
      <c r="D44" t="n">
        <v>11831.1</v>
      </c>
      <c r="E44">
        <f>IFERROR(VLOOKUP(B44,Crosswalk!$A$2:$C$125,3,FALSE),"Unmapped")</f>
        <v/>
      </c>
    </row>
    <row r="45">
      <c r="A45" t="n">
        <v>2009</v>
      </c>
      <c r="B45" t="inlineStr">
        <is>
          <t>BS325C0</t>
        </is>
      </c>
      <c r="C45" t="inlineStr">
        <is>
          <t>Miscellaneous chemical product manufacturing</t>
        </is>
      </c>
      <c r="D45" t="n">
        <v>16937.6</v>
      </c>
      <c r="E45">
        <f>IFERROR(VLOOKUP(B45,Crosswalk!$A$2:$C$125,3,FALSE),"Unmapped")</f>
        <v/>
      </c>
    </row>
    <row r="46">
      <c r="A46" t="n">
        <v>2009</v>
      </c>
      <c r="B46" t="inlineStr">
        <is>
          <t>BS32610</t>
        </is>
      </c>
      <c r="C46" t="inlineStr">
        <is>
          <t>Plastic product manufacturing</t>
        </is>
      </c>
      <c r="D46" t="n">
        <v>17234.7</v>
      </c>
      <c r="E46">
        <f>IFERROR(VLOOKUP(B46,Crosswalk!$A$2:$C$125,3,FALSE),"Unmapped")</f>
        <v/>
      </c>
    </row>
    <row r="47">
      <c r="A47" t="n">
        <v>2009</v>
      </c>
      <c r="B47" t="inlineStr">
        <is>
          <t>BS32620</t>
        </is>
      </c>
      <c r="C47" t="inlineStr">
        <is>
          <t>Rubber product manufacturing</t>
        </is>
      </c>
      <c r="D47" t="n">
        <v>4019.5</v>
      </c>
      <c r="E47">
        <f>IFERROR(VLOOKUP(B47,Crosswalk!$A$2:$C$125,3,FALSE),"Unmapped")</f>
        <v/>
      </c>
    </row>
    <row r="48">
      <c r="A48" t="n">
        <v>2009</v>
      </c>
      <c r="B48" t="inlineStr">
        <is>
          <t>BS32730</t>
        </is>
      </c>
      <c r="C48" t="inlineStr">
        <is>
          <t>Cement and concrete product manufacturing</t>
        </is>
      </c>
      <c r="D48" t="n">
        <v>8438.799999999999</v>
      </c>
      <c r="E48">
        <f>IFERROR(VLOOKUP(B48,Crosswalk!$A$2:$C$125,3,FALSE),"Unmapped")</f>
        <v/>
      </c>
    </row>
    <row r="49">
      <c r="A49" t="n">
        <v>2009</v>
      </c>
      <c r="B49" t="inlineStr">
        <is>
          <t>BS327A0</t>
        </is>
      </c>
      <c r="C49" t="inlineStr">
        <is>
          <t>Non-metallic mineral product manufacturing (except cement and concrete products)</t>
        </is>
      </c>
      <c r="D49" t="n">
        <v>4903.2</v>
      </c>
      <c r="E49">
        <f>IFERROR(VLOOKUP(B49,Crosswalk!$A$2:$C$125,3,FALSE),"Unmapped")</f>
        <v/>
      </c>
    </row>
    <row r="50">
      <c r="A50" t="n">
        <v>2009</v>
      </c>
      <c r="B50" t="inlineStr">
        <is>
          <t>BS33100</t>
        </is>
      </c>
      <c r="C50" t="inlineStr">
        <is>
          <t>Primary metal manufacturing</t>
        </is>
      </c>
      <c r="D50" t="n">
        <v>47171.7</v>
      </c>
      <c r="E50">
        <f>IFERROR(VLOOKUP(B50,Crosswalk!$A$2:$C$125,3,FALSE),"Unmapped")</f>
        <v/>
      </c>
    </row>
    <row r="51">
      <c r="A51" t="n">
        <v>2009</v>
      </c>
      <c r="B51" t="inlineStr">
        <is>
          <t>BS33200</t>
        </is>
      </c>
      <c r="C51" t="inlineStr">
        <is>
          <t>Fabricated metal product manufacturing</t>
        </is>
      </c>
      <c r="D51" t="n">
        <v>31302.2</v>
      </c>
      <c r="E51">
        <f>IFERROR(VLOOKUP(B51,Crosswalk!$A$2:$C$125,3,FALSE),"Unmapped")</f>
        <v/>
      </c>
    </row>
    <row r="52">
      <c r="A52" t="n">
        <v>2009</v>
      </c>
      <c r="B52" t="inlineStr">
        <is>
          <t>BS33300</t>
        </is>
      </c>
      <c r="C52" t="inlineStr">
        <is>
          <t>Machinery manufacturing</t>
        </is>
      </c>
      <c r="D52" t="n">
        <v>29558.7</v>
      </c>
      <c r="E52">
        <f>IFERROR(VLOOKUP(B52,Crosswalk!$A$2:$C$125,3,FALSE),"Unmapped")</f>
        <v/>
      </c>
    </row>
    <row r="53">
      <c r="A53" t="n">
        <v>2009</v>
      </c>
      <c r="B53" t="inlineStr">
        <is>
          <t>BS33400</t>
        </is>
      </c>
      <c r="C53" t="inlineStr">
        <is>
          <t>Computer and electronic product manufacturing</t>
        </is>
      </c>
      <c r="D53" t="n">
        <v>17169.4</v>
      </c>
      <c r="E53">
        <f>IFERROR(VLOOKUP(B53,Crosswalk!$A$2:$C$125,3,FALSE),"Unmapped")</f>
        <v/>
      </c>
    </row>
    <row r="54">
      <c r="A54" t="n">
        <v>2009</v>
      </c>
      <c r="B54" t="inlineStr">
        <is>
          <t>BS33500</t>
        </is>
      </c>
      <c r="C54" t="inlineStr">
        <is>
          <t>Electrical equipment, appliance and component manufacturing</t>
        </is>
      </c>
      <c r="D54" t="n">
        <v>10250.9</v>
      </c>
      <c r="E54">
        <f>IFERROR(VLOOKUP(B54,Crosswalk!$A$2:$C$125,3,FALSE),"Unmapped")</f>
        <v/>
      </c>
    </row>
    <row r="55">
      <c r="A55" t="n">
        <v>2009</v>
      </c>
      <c r="B55" t="inlineStr">
        <is>
          <t>BS33610</t>
        </is>
      </c>
      <c r="C55" t="inlineStr">
        <is>
          <t>Motor vehicle manufacturing</t>
        </is>
      </c>
      <c r="D55" t="n">
        <v>35651.8</v>
      </c>
      <c r="E55">
        <f>IFERROR(VLOOKUP(B55,Crosswalk!$A$2:$C$125,3,FALSE),"Unmapped")</f>
        <v/>
      </c>
    </row>
    <row r="56">
      <c r="A56" t="n">
        <v>2009</v>
      </c>
      <c r="B56" t="inlineStr">
        <is>
          <t>BS33620</t>
        </is>
      </c>
      <c r="C56" t="inlineStr">
        <is>
          <t>Motor vehicle body and trailer manufacturing</t>
        </is>
      </c>
      <c r="D56" t="n">
        <v>2036.2</v>
      </c>
      <c r="E56">
        <f>IFERROR(VLOOKUP(B56,Crosswalk!$A$2:$C$125,3,FALSE),"Unmapped")</f>
        <v/>
      </c>
    </row>
    <row r="57">
      <c r="A57" t="n">
        <v>2009</v>
      </c>
      <c r="B57" t="inlineStr">
        <is>
          <t>BS33630</t>
        </is>
      </c>
      <c r="C57" t="inlineStr">
        <is>
          <t>Motor vehicle parts manufacturing</t>
        </is>
      </c>
      <c r="D57" t="n">
        <v>17257.8</v>
      </c>
      <c r="E57">
        <f>IFERROR(VLOOKUP(B57,Crosswalk!$A$2:$C$125,3,FALSE),"Unmapped")</f>
        <v/>
      </c>
    </row>
    <row r="58">
      <c r="A58" t="n">
        <v>2009</v>
      </c>
      <c r="B58" t="inlineStr">
        <is>
          <t>BS33640</t>
        </is>
      </c>
      <c r="C58" t="inlineStr">
        <is>
          <t>Aerospace product and parts manufacturing</t>
        </is>
      </c>
      <c r="D58" t="n">
        <v>16780.3</v>
      </c>
      <c r="E58">
        <f>IFERROR(VLOOKUP(B58,Crosswalk!$A$2:$C$125,3,FALSE),"Unmapped")</f>
        <v/>
      </c>
    </row>
    <row r="59">
      <c r="A59" t="n">
        <v>2009</v>
      </c>
      <c r="B59" t="inlineStr">
        <is>
          <t>BS33650</t>
        </is>
      </c>
      <c r="C59" t="inlineStr">
        <is>
          <t>Railroad rolling stock manufacturing</t>
        </is>
      </c>
      <c r="D59" t="n">
        <v>1696.6</v>
      </c>
      <c r="E59">
        <f>IFERROR(VLOOKUP(B59,Crosswalk!$A$2:$C$125,3,FALSE),"Unmapped")</f>
        <v/>
      </c>
    </row>
    <row r="60">
      <c r="A60" t="n">
        <v>2009</v>
      </c>
      <c r="B60" t="inlineStr">
        <is>
          <t>BS33660</t>
        </is>
      </c>
      <c r="C60" t="inlineStr">
        <is>
          <t>Ship and boat building</t>
        </is>
      </c>
      <c r="D60" t="n">
        <v>1032.2</v>
      </c>
      <c r="E60">
        <f>IFERROR(VLOOKUP(B60,Crosswalk!$A$2:$C$125,3,FALSE),"Unmapped")</f>
        <v/>
      </c>
    </row>
    <row r="61">
      <c r="A61" t="n">
        <v>2009</v>
      </c>
      <c r="B61" t="inlineStr">
        <is>
          <t>BS33690</t>
        </is>
      </c>
      <c r="C61" t="inlineStr">
        <is>
          <t>Other transportation equipment manufacturing</t>
        </is>
      </c>
      <c r="D61" t="n">
        <v>3563.6</v>
      </c>
      <c r="E61">
        <f>IFERROR(VLOOKUP(B61,Crosswalk!$A$2:$C$125,3,FALSE),"Unmapped")</f>
        <v/>
      </c>
    </row>
    <row r="62">
      <c r="A62" t="n">
        <v>2009</v>
      </c>
      <c r="B62" t="inlineStr">
        <is>
          <t>BS33700</t>
        </is>
      </c>
      <c r="C62" t="inlineStr">
        <is>
          <t>Furniture and related product manufacturing</t>
        </is>
      </c>
      <c r="D62" t="n">
        <v>10875.6</v>
      </c>
      <c r="E62">
        <f>IFERROR(VLOOKUP(B62,Crosswalk!$A$2:$C$125,3,FALSE),"Unmapped")</f>
        <v/>
      </c>
    </row>
    <row r="63">
      <c r="A63" t="n">
        <v>2009</v>
      </c>
      <c r="B63" t="inlineStr">
        <is>
          <t>BS33900</t>
        </is>
      </c>
      <c r="C63" t="inlineStr">
        <is>
          <t>Miscellaneous manufacturing</t>
        </is>
      </c>
      <c r="D63" t="n">
        <v>11438.3</v>
      </c>
      <c r="E63">
        <f>IFERROR(VLOOKUP(B63,Crosswalk!$A$2:$C$125,3,FALSE),"Unmapped")</f>
        <v/>
      </c>
    </row>
    <row r="64">
      <c r="A64" t="n">
        <v>2009</v>
      </c>
      <c r="B64" t="inlineStr">
        <is>
          <t>BS41000</t>
        </is>
      </c>
      <c r="C64" t="inlineStr">
        <is>
          <t>Wholesale trade</t>
        </is>
      </c>
      <c r="D64" t="n">
        <v>123181.9</v>
      </c>
      <c r="E64">
        <f>IFERROR(VLOOKUP(B64,Crosswalk!$A$2:$C$125,3,FALSE),"Unmapped")</f>
        <v/>
      </c>
    </row>
    <row r="65">
      <c r="A65" t="n">
        <v>2009</v>
      </c>
      <c r="B65" t="inlineStr">
        <is>
          <t>BS459BU</t>
        </is>
      </c>
      <c r="C65" t="inlineStr">
        <is>
          <t>Cannabis retailers (unlicensed)</t>
        </is>
      </c>
      <c r="D65" t="n">
        <v>1475.9</v>
      </c>
      <c r="E65">
        <f>IFERROR(VLOOKUP(B65,Crosswalk!$A$2:$C$125,3,FALSE),"Unmapped")</f>
        <v/>
      </c>
    </row>
    <row r="66">
      <c r="A66" t="n">
        <v>2009</v>
      </c>
      <c r="B66" t="inlineStr">
        <is>
          <t>BS48100</t>
        </is>
      </c>
      <c r="C66" t="inlineStr">
        <is>
          <t>Air transportation</t>
        </is>
      </c>
      <c r="D66" t="n">
        <v>15682.9</v>
      </c>
      <c r="E66">
        <f>IFERROR(VLOOKUP(B66,Crosswalk!$A$2:$C$125,3,FALSE),"Unmapped")</f>
        <v/>
      </c>
    </row>
    <row r="67">
      <c r="A67" t="n">
        <v>2009</v>
      </c>
      <c r="B67" t="inlineStr">
        <is>
          <t>BS48200</t>
        </is>
      </c>
      <c r="C67" t="inlineStr">
        <is>
          <t>Rail transportation</t>
        </is>
      </c>
      <c r="D67" t="n">
        <v>9095.4</v>
      </c>
      <c r="E67">
        <f>IFERROR(VLOOKUP(B67,Crosswalk!$A$2:$C$125,3,FALSE),"Unmapped")</f>
        <v/>
      </c>
    </row>
    <row r="68">
      <c r="A68" t="n">
        <v>2009</v>
      </c>
      <c r="B68" t="inlineStr">
        <is>
          <t>BS48300</t>
        </is>
      </c>
      <c r="C68" t="inlineStr">
        <is>
          <t>Water transportation</t>
        </is>
      </c>
      <c r="D68" t="n">
        <v>4193.8</v>
      </c>
      <c r="E68">
        <f>IFERROR(VLOOKUP(B68,Crosswalk!$A$2:$C$125,3,FALSE),"Unmapped")</f>
        <v/>
      </c>
    </row>
    <row r="69">
      <c r="A69" t="n">
        <v>2009</v>
      </c>
      <c r="B69" t="inlineStr">
        <is>
          <t>BS48400</t>
        </is>
      </c>
      <c r="C69" t="inlineStr">
        <is>
          <t>Truck transportation</t>
        </is>
      </c>
      <c r="D69" t="n">
        <v>39440.5</v>
      </c>
      <c r="E69">
        <f>IFERROR(VLOOKUP(B69,Crosswalk!$A$2:$C$125,3,FALSE),"Unmapped")</f>
        <v/>
      </c>
    </row>
    <row r="70">
      <c r="A70" t="n">
        <v>2009</v>
      </c>
      <c r="B70" t="inlineStr">
        <is>
          <t>BS48600</t>
        </is>
      </c>
      <c r="C70" t="inlineStr">
        <is>
          <t>Pipeline transportation</t>
        </is>
      </c>
      <c r="D70" t="n">
        <v>7753.1</v>
      </c>
      <c r="E70">
        <f>IFERROR(VLOOKUP(B70,Crosswalk!$A$2:$C$125,3,FALSE),"Unmapped")</f>
        <v/>
      </c>
    </row>
    <row r="71">
      <c r="A71" t="n">
        <v>2009</v>
      </c>
      <c r="B71" t="inlineStr">
        <is>
          <t>BS48B00</t>
        </is>
      </c>
      <c r="C71" t="inlineStr">
        <is>
          <t>Transit, ground passenger and scenic and sightseeing transportation, taxi and limousine service and support activities for transportation</t>
        </is>
      </c>
      <c r="D71" t="n">
        <v>27265.2</v>
      </c>
      <c r="E71">
        <f>IFERROR(VLOOKUP(B71,Crosswalk!$A$2:$C$125,3,FALSE),"Unmapped")</f>
        <v/>
      </c>
    </row>
    <row r="72">
      <c r="A72" t="n">
        <v>2009</v>
      </c>
      <c r="B72" t="inlineStr">
        <is>
          <t>BS49300</t>
        </is>
      </c>
      <c r="C72" t="inlineStr">
        <is>
          <t>Warehousing and storage</t>
        </is>
      </c>
      <c r="D72" t="n">
        <v>3539.1</v>
      </c>
      <c r="E72">
        <f>IFERROR(VLOOKUP(B72,Crosswalk!$A$2:$C$125,3,FALSE),"Unmapped")</f>
        <v/>
      </c>
    </row>
    <row r="73">
      <c r="A73" t="n">
        <v>2009</v>
      </c>
      <c r="B73" t="inlineStr">
        <is>
          <t>BS49A00</t>
        </is>
      </c>
      <c r="C73" t="inlineStr">
        <is>
          <t>Postal service, couriers and messengers</t>
        </is>
      </c>
      <c r="D73" t="n">
        <v>12859</v>
      </c>
      <c r="E73">
        <f>IFERROR(VLOOKUP(B73,Crosswalk!$A$2:$C$125,3,FALSE),"Unmapped")</f>
        <v/>
      </c>
    </row>
    <row r="74">
      <c r="A74" t="n">
        <v>2009</v>
      </c>
      <c r="B74" t="inlineStr">
        <is>
          <t>BS4AA00</t>
        </is>
      </c>
      <c r="C74" t="inlineStr">
        <is>
          <t>Retail trade (except cannabis)</t>
        </is>
      </c>
      <c r="D74" t="n">
        <v>124819.5</v>
      </c>
      <c r="E74">
        <f>IFERROR(VLOOKUP(B74,Crosswalk!$A$2:$C$125,3,FALSE),"Unmapped")</f>
        <v/>
      </c>
    </row>
    <row r="75">
      <c r="A75" t="n">
        <v>2009</v>
      </c>
      <c r="B75" t="inlineStr">
        <is>
          <t>BS51200</t>
        </is>
      </c>
      <c r="C75" t="inlineStr">
        <is>
          <t>Motion picture and sound recording industries</t>
        </is>
      </c>
      <c r="D75" t="n">
        <v>8228.5</v>
      </c>
      <c r="E75">
        <f>IFERROR(VLOOKUP(B75,Crosswalk!$A$2:$C$125,3,FALSE),"Unmapped")</f>
        <v/>
      </c>
    </row>
    <row r="76">
      <c r="A76" t="n">
        <v>2009</v>
      </c>
      <c r="B76" t="inlineStr">
        <is>
          <t>BS51610</t>
        </is>
      </c>
      <c r="C76" t="inlineStr">
        <is>
          <t>Radio and television broadcasting stations</t>
        </is>
      </c>
      <c r="D76" t="n">
        <v>3791.1</v>
      </c>
      <c r="E76">
        <f>IFERROR(VLOOKUP(B76,Crosswalk!$A$2:$C$125,3,FALSE),"Unmapped")</f>
        <v/>
      </c>
    </row>
    <row r="77">
      <c r="A77" t="n">
        <v>2009</v>
      </c>
      <c r="B77" t="inlineStr">
        <is>
          <t>BS51B00</t>
        </is>
      </c>
      <c r="C77" t="inlineStr">
        <is>
          <t>Publishing, pay/specialty services, telecommunications and other information services</t>
        </is>
      </c>
      <c r="D77" t="n">
        <v>75204.89999999999</v>
      </c>
      <c r="E77">
        <f>IFERROR(VLOOKUP(B77,Crosswalk!$A$2:$C$125,3,FALSE),"Unmapped")</f>
        <v/>
      </c>
    </row>
    <row r="78">
      <c r="A78" t="n">
        <v>2009</v>
      </c>
      <c r="B78" t="inlineStr">
        <is>
          <t>BS52410</t>
        </is>
      </c>
      <c r="C78" t="inlineStr">
        <is>
          <t>Insurance carriers</t>
        </is>
      </c>
      <c r="D78" t="n">
        <v>36982.2</v>
      </c>
      <c r="E78">
        <f>IFERROR(VLOOKUP(B78,Crosswalk!$A$2:$C$125,3,FALSE),"Unmapped")</f>
        <v/>
      </c>
    </row>
    <row r="79">
      <c r="A79" t="n">
        <v>2009</v>
      </c>
      <c r="B79" t="inlineStr">
        <is>
          <t>BS52B00</t>
        </is>
      </c>
      <c r="C79" t="inlineStr">
        <is>
          <t>Depository credit intermediation and monetary authorities</t>
        </is>
      </c>
      <c r="D79" t="n">
        <v>64646.5</v>
      </c>
      <c r="E79">
        <f>IFERROR(VLOOKUP(B79,Crosswalk!$A$2:$C$125,3,FALSE),"Unmapped")</f>
        <v/>
      </c>
    </row>
    <row r="80">
      <c r="A80" t="n">
        <v>2009</v>
      </c>
      <c r="B80" t="inlineStr">
        <is>
          <t>BS53110</t>
        </is>
      </c>
      <c r="C80" t="inlineStr">
        <is>
          <t>Lessors of real estate</t>
        </is>
      </c>
      <c r="D80" t="n">
        <v>77702.7</v>
      </c>
      <c r="E80">
        <f>IFERROR(VLOOKUP(B80,Crosswalk!$A$2:$C$125,3,FALSE),"Unmapped")</f>
        <v/>
      </c>
    </row>
    <row r="81">
      <c r="A81" t="n">
        <v>2009</v>
      </c>
      <c r="B81" t="inlineStr">
        <is>
          <t>BS5311A</t>
        </is>
      </c>
      <c r="C81" t="inlineStr">
        <is>
          <t>Owner-occupied dwellings</t>
        </is>
      </c>
      <c r="D81" t="n">
        <v>131104.8</v>
      </c>
      <c r="E81">
        <f>IFERROR(VLOOKUP(B81,Crosswalk!$A$2:$C$125,3,FALSE),"Unmapped")</f>
        <v/>
      </c>
    </row>
    <row r="82">
      <c r="A82" t="n">
        <v>2009</v>
      </c>
      <c r="B82" t="inlineStr">
        <is>
          <t>BS53B00</t>
        </is>
      </c>
      <c r="C82" t="inlineStr">
        <is>
          <t>Rental and leasing services and lessors of non-financial intangible assets (except copyrighted works)</t>
        </is>
      </c>
      <c r="D82" t="n">
        <v>17490.1</v>
      </c>
      <c r="E82">
        <f>IFERROR(VLOOKUP(B82,Crosswalk!$A$2:$C$125,3,FALSE),"Unmapped")</f>
        <v/>
      </c>
    </row>
    <row r="83">
      <c r="A83" t="n">
        <v>2009</v>
      </c>
      <c r="B83" t="inlineStr">
        <is>
          <t>BS54180</t>
        </is>
      </c>
      <c r="C83" t="inlineStr">
        <is>
          <t>Advertising, public relations, and related services</t>
        </is>
      </c>
      <c r="D83" t="n">
        <v>6779.3</v>
      </c>
      <c r="E83">
        <f>IFERROR(VLOOKUP(B83,Crosswalk!$A$2:$C$125,3,FALSE),"Unmapped")</f>
        <v/>
      </c>
    </row>
    <row r="84">
      <c r="A84" t="n">
        <v>2009</v>
      </c>
      <c r="B84" t="inlineStr">
        <is>
          <t>BS541C0</t>
        </is>
      </c>
      <c r="C84" t="inlineStr">
        <is>
          <t>Legal, accounting and architectural, engineering and related services</t>
        </is>
      </c>
      <c r="D84" t="n">
        <v>57898.1</v>
      </c>
      <c r="E84">
        <f>IFERROR(VLOOKUP(B84,Crosswalk!$A$2:$C$125,3,FALSE),"Unmapped")</f>
        <v/>
      </c>
    </row>
    <row r="85">
      <c r="A85" t="n">
        <v>2009</v>
      </c>
      <c r="B85" t="inlineStr">
        <is>
          <t>BS541D0</t>
        </is>
      </c>
      <c r="C85" t="inlineStr">
        <is>
          <t>Computer systems design and other professional, scientific and technical services</t>
        </is>
      </c>
      <c r="D85" t="n">
        <v>64867.6</v>
      </c>
      <c r="E85">
        <f>IFERROR(VLOOKUP(B85,Crosswalk!$A$2:$C$125,3,FALSE),"Unmapped")</f>
        <v/>
      </c>
    </row>
    <row r="86">
      <c r="A86" t="n">
        <v>2009</v>
      </c>
      <c r="B86" t="inlineStr">
        <is>
          <t>BS56100</t>
        </is>
      </c>
      <c r="C86" t="inlineStr">
        <is>
          <t>Administrative and support services</t>
        </is>
      </c>
      <c r="D86" t="n">
        <v>58506</v>
      </c>
      <c r="E86">
        <f>IFERROR(VLOOKUP(B86,Crosswalk!$A$2:$C$125,3,FALSE),"Unmapped")</f>
        <v/>
      </c>
    </row>
    <row r="87">
      <c r="A87" t="n">
        <v>2009</v>
      </c>
      <c r="B87" t="inlineStr">
        <is>
          <t>BS56200</t>
        </is>
      </c>
      <c r="C87" t="inlineStr">
        <is>
          <t>Waste management and remediation services</t>
        </is>
      </c>
      <c r="D87" t="n">
        <v>5753.5</v>
      </c>
      <c r="E87">
        <f>IFERROR(VLOOKUP(B87,Crosswalk!$A$2:$C$125,3,FALSE),"Unmapped")</f>
        <v/>
      </c>
    </row>
    <row r="88">
      <c r="A88" t="n">
        <v>2009</v>
      </c>
      <c r="B88" t="inlineStr">
        <is>
          <t>BS5A000</t>
        </is>
      </c>
      <c r="C88" t="inlineStr">
        <is>
          <t>Other finance, insurance and real estate services and management of companies and enterprises</t>
        </is>
      </c>
      <c r="D88" t="n">
        <v>106247.5</v>
      </c>
      <c r="E88">
        <f>IFERROR(VLOOKUP(B88,Crosswalk!$A$2:$C$125,3,FALSE),"Unmapped")</f>
        <v/>
      </c>
    </row>
    <row r="89">
      <c r="A89" t="n">
        <v>2009</v>
      </c>
      <c r="B89" t="inlineStr">
        <is>
          <t>BS61000</t>
        </is>
      </c>
      <c r="C89" t="inlineStr">
        <is>
          <t>Educational services</t>
        </is>
      </c>
      <c r="D89" t="n">
        <v>4555.3</v>
      </c>
      <c r="E89">
        <f>IFERROR(VLOOKUP(B89,Crosswalk!$A$2:$C$125,3,FALSE),"Unmapped")</f>
        <v/>
      </c>
    </row>
    <row r="90">
      <c r="A90" t="n">
        <v>2009</v>
      </c>
      <c r="B90" t="inlineStr">
        <is>
          <t>BS62000</t>
        </is>
      </c>
      <c r="C90" t="inlineStr">
        <is>
          <t>Health care and social assistance</t>
        </is>
      </c>
      <c r="D90" t="n">
        <v>55074.2</v>
      </c>
      <c r="E90">
        <f>IFERROR(VLOOKUP(B90,Crosswalk!$A$2:$C$125,3,FALSE),"Unmapped")</f>
        <v/>
      </c>
    </row>
    <row r="91">
      <c r="A91" t="n">
        <v>2009</v>
      </c>
      <c r="B91" t="inlineStr">
        <is>
          <t>BS71000</t>
        </is>
      </c>
      <c r="C91" t="inlineStr">
        <is>
          <t>Arts, entertainment and recreation</t>
        </is>
      </c>
      <c r="D91" t="n">
        <v>21367.3</v>
      </c>
      <c r="E91">
        <f>IFERROR(VLOOKUP(B91,Crosswalk!$A$2:$C$125,3,FALSE),"Unmapped")</f>
        <v/>
      </c>
    </row>
    <row r="92">
      <c r="A92" t="n">
        <v>2009</v>
      </c>
      <c r="B92" t="inlineStr">
        <is>
          <t>BS72000</t>
        </is>
      </c>
      <c r="C92" t="inlineStr">
        <is>
          <t>Accommodation and food services</t>
        </is>
      </c>
      <c r="D92" t="n">
        <v>64439.6</v>
      </c>
      <c r="E92">
        <f>IFERROR(VLOOKUP(B92,Crosswalk!$A$2:$C$125,3,FALSE),"Unmapped")</f>
        <v/>
      </c>
    </row>
    <row r="93">
      <c r="A93" t="n">
        <v>2009</v>
      </c>
      <c r="B93" t="inlineStr">
        <is>
          <t>BS81100</t>
        </is>
      </c>
      <c r="C93" t="inlineStr">
        <is>
          <t>Repair and maintenance</t>
        </is>
      </c>
      <c r="D93" t="n">
        <v>18246.3</v>
      </c>
      <c r="E93">
        <f>IFERROR(VLOOKUP(B93,Crosswalk!$A$2:$C$125,3,FALSE),"Unmapped")</f>
        <v/>
      </c>
    </row>
    <row r="94">
      <c r="A94" t="n">
        <v>2009</v>
      </c>
      <c r="B94" t="inlineStr">
        <is>
          <t>BS81300</t>
        </is>
      </c>
      <c r="C94" t="inlineStr">
        <is>
          <t>Business, professional and other membership organizations</t>
        </is>
      </c>
      <c r="D94" t="n">
        <v>3224.1</v>
      </c>
      <c r="E94">
        <f>IFERROR(VLOOKUP(B94,Crosswalk!$A$2:$C$125,3,FALSE),"Unmapped")</f>
        <v/>
      </c>
    </row>
    <row r="95">
      <c r="A95" t="n">
        <v>2009</v>
      </c>
      <c r="B95" t="inlineStr">
        <is>
          <t>BS81A00</t>
        </is>
      </c>
      <c r="C95" t="inlineStr">
        <is>
          <t>Personal services and private households</t>
        </is>
      </c>
      <c r="D95" t="n">
        <v>15860.7</v>
      </c>
      <c r="E95">
        <f>IFERROR(VLOOKUP(B95,Crosswalk!$A$2:$C$125,3,FALSE),"Unmapped")</f>
        <v/>
      </c>
    </row>
    <row r="96">
      <c r="A96" t="n">
        <v>2009</v>
      </c>
      <c r="B96" t="inlineStr">
        <is>
          <t>GS61130</t>
        </is>
      </c>
      <c r="C96" t="inlineStr">
        <is>
          <t>Universities</t>
        </is>
      </c>
      <c r="D96" t="n">
        <v>33537</v>
      </c>
      <c r="E96">
        <f>IFERROR(VLOOKUP(B96,Crosswalk!$A$2:$C$125,3,FALSE),"Unmapped")</f>
        <v/>
      </c>
    </row>
    <row r="97">
      <c r="A97" t="n">
        <v>2009</v>
      </c>
      <c r="B97" t="inlineStr">
        <is>
          <t>GS611B0</t>
        </is>
      </c>
      <c r="C97" t="inlineStr">
        <is>
          <t>Educational services (except universities)</t>
        </is>
      </c>
      <c r="D97" t="n">
        <v>59260</v>
      </c>
      <c r="E97">
        <f>IFERROR(VLOOKUP(B97,Crosswalk!$A$2:$C$125,3,FALSE),"Unmapped")</f>
        <v/>
      </c>
    </row>
    <row r="98">
      <c r="A98" t="n">
        <v>2009</v>
      </c>
      <c r="B98" t="inlineStr">
        <is>
          <t>GS62300</t>
        </is>
      </c>
      <c r="C98" t="inlineStr">
        <is>
          <t>Nursing and residential care facilities</t>
        </is>
      </c>
      <c r="D98" t="n">
        <v>12037.2</v>
      </c>
      <c r="E98">
        <f>IFERROR(VLOOKUP(B98,Crosswalk!$A$2:$C$125,3,FALSE),"Unmapped")</f>
        <v/>
      </c>
    </row>
    <row r="99">
      <c r="A99" t="n">
        <v>2009</v>
      </c>
      <c r="B99" t="inlineStr">
        <is>
          <t>GS62B00</t>
        </is>
      </c>
      <c r="C99" t="inlineStr">
        <is>
          <t>Health care and social assistance (except nursing and residential care facilities)</t>
        </is>
      </c>
      <c r="D99" t="n">
        <v>73932.3</v>
      </c>
      <c r="E99">
        <f>IFERROR(VLOOKUP(B99,Crosswalk!$A$2:$C$125,3,FALSE),"Unmapped")</f>
        <v/>
      </c>
    </row>
    <row r="100">
      <c r="A100" t="n">
        <v>2009</v>
      </c>
      <c r="B100" t="inlineStr">
        <is>
          <t>GS91100</t>
        </is>
      </c>
      <c r="C100" t="inlineStr">
        <is>
          <t>Other federal government services</t>
        </is>
      </c>
      <c r="D100" t="n">
        <v>67381.89999999999</v>
      </c>
      <c r="E100">
        <f>IFERROR(VLOOKUP(B100,Crosswalk!$A$2:$C$125,3,FALSE),"Unmapped")</f>
        <v/>
      </c>
    </row>
    <row r="101">
      <c r="A101" t="n">
        <v>2009</v>
      </c>
      <c r="B101" t="inlineStr">
        <is>
          <t>GS91200</t>
        </is>
      </c>
      <c r="C101" t="inlineStr">
        <is>
          <t>Other provincial and territorial government services</t>
        </is>
      </c>
      <c r="D101" t="n">
        <v>102611.4</v>
      </c>
      <c r="E101">
        <f>IFERROR(VLOOKUP(B101,Crosswalk!$A$2:$C$125,3,FALSE),"Unmapped")</f>
        <v/>
      </c>
    </row>
    <row r="102">
      <c r="A102" t="n">
        <v>2009</v>
      </c>
      <c r="B102" t="inlineStr">
        <is>
          <t>GS91300</t>
        </is>
      </c>
      <c r="C102" t="inlineStr">
        <is>
          <t>Other municipal government services</t>
        </is>
      </c>
      <c r="D102" t="n">
        <v>63498.7</v>
      </c>
      <c r="E102">
        <f>IFERROR(VLOOKUP(B102,Crosswalk!$A$2:$C$125,3,FALSE),"Unmapped")</f>
        <v/>
      </c>
    </row>
    <row r="103">
      <c r="A103" t="n">
        <v>2009</v>
      </c>
      <c r="B103" t="inlineStr">
        <is>
          <t>GS91400</t>
        </is>
      </c>
      <c r="C103" t="inlineStr">
        <is>
          <t>Other Indigenous government services</t>
        </is>
      </c>
      <c r="D103" t="n">
        <v>6386.5</v>
      </c>
      <c r="E103">
        <f>IFERROR(VLOOKUP(B103,Crosswalk!$A$2:$C$125,3,FALSE),"Unmapped")</f>
        <v/>
      </c>
    </row>
    <row r="104">
      <c r="A104" t="n">
        <v>2009</v>
      </c>
      <c r="B104" t="inlineStr">
        <is>
          <t>NP61000</t>
        </is>
      </c>
      <c r="C104" t="inlineStr">
        <is>
          <t>Educational services</t>
        </is>
      </c>
      <c r="D104" t="n">
        <v>4286.9</v>
      </c>
      <c r="E104">
        <f>IFERROR(VLOOKUP(B104,Crosswalk!$A$2:$C$125,3,FALSE),"Unmapped")</f>
        <v/>
      </c>
    </row>
    <row r="105">
      <c r="A105" t="n">
        <v>2009</v>
      </c>
      <c r="B105" t="inlineStr">
        <is>
          <t>NP62400</t>
        </is>
      </c>
      <c r="C105" t="inlineStr">
        <is>
          <t>Social assistance</t>
        </is>
      </c>
      <c r="D105" t="n">
        <v>7172.1</v>
      </c>
      <c r="E105">
        <f>IFERROR(VLOOKUP(B105,Crosswalk!$A$2:$C$125,3,FALSE),"Unmapped")</f>
        <v/>
      </c>
    </row>
    <row r="106">
      <c r="A106" t="n">
        <v>2009</v>
      </c>
      <c r="B106" t="inlineStr">
        <is>
          <t>NP71000</t>
        </is>
      </c>
      <c r="C106" t="inlineStr">
        <is>
          <t>Arts, entertainment and recreation</t>
        </is>
      </c>
      <c r="D106" t="n">
        <v>2025.4</v>
      </c>
      <c r="E106">
        <f>IFERROR(VLOOKUP(B106,Crosswalk!$A$2:$C$125,3,FALSE),"Unmapped")</f>
        <v/>
      </c>
    </row>
    <row r="107">
      <c r="A107" t="n">
        <v>2009</v>
      </c>
      <c r="B107" t="inlineStr">
        <is>
          <t>NP81310</t>
        </is>
      </c>
      <c r="C107" t="inlineStr">
        <is>
          <t>Religious organizations</t>
        </is>
      </c>
      <c r="D107" t="n">
        <v>5104.2</v>
      </c>
      <c r="E107">
        <f>IFERROR(VLOOKUP(B107,Crosswalk!$A$2:$C$125,3,FALSE),"Unmapped")</f>
        <v/>
      </c>
    </row>
    <row r="108">
      <c r="A108" t="n">
        <v>2009</v>
      </c>
      <c r="B108" t="inlineStr">
        <is>
          <t>NPA0000</t>
        </is>
      </c>
      <c r="C108" t="inlineStr">
        <is>
          <t>Miscellaneous non-profit institutions serving households</t>
        </is>
      </c>
      <c r="D108" t="n">
        <v>17366.7</v>
      </c>
      <c r="E108">
        <f>IFERROR(VLOOKUP(B108,Crosswalk!$A$2:$C$125,3,FALSE),"Unmapped")</f>
        <v/>
      </c>
    </row>
    <row r="109">
      <c r="A109" t="n">
        <v>2010</v>
      </c>
      <c r="B109" t="inlineStr">
        <is>
          <t>BS111CL</t>
        </is>
      </c>
      <c r="C109" t="inlineStr">
        <is>
          <t>Cannabis production (licensed)</t>
        </is>
      </c>
      <c r="D109" t="n">
        <v>5.9</v>
      </c>
      <c r="E109">
        <f>IFERROR(VLOOKUP(B109,Crosswalk!$A$2:$C$125,3,FALSE),"Unmapped")</f>
        <v/>
      </c>
    </row>
    <row r="110">
      <c r="A110" t="n">
        <v>2010</v>
      </c>
      <c r="B110" t="inlineStr">
        <is>
          <t>BS111CU</t>
        </is>
      </c>
      <c r="C110" t="inlineStr">
        <is>
          <t>Cannabis production (unlicensed)</t>
        </is>
      </c>
      <c r="D110" t="n">
        <v>4071.4</v>
      </c>
      <c r="E110">
        <f>IFERROR(VLOOKUP(B110,Crosswalk!$A$2:$C$125,3,FALSE),"Unmapped")</f>
        <v/>
      </c>
    </row>
    <row r="111">
      <c r="A111" t="n">
        <v>2010</v>
      </c>
      <c r="B111" t="inlineStr">
        <is>
          <t>BS11300</t>
        </is>
      </c>
      <c r="C111" t="inlineStr">
        <is>
          <t>Forestry and logging</t>
        </is>
      </c>
      <c r="D111" t="n">
        <v>9676.700000000001</v>
      </c>
      <c r="E111">
        <f>IFERROR(VLOOKUP(B111,Crosswalk!$A$2:$C$125,3,FALSE),"Unmapped")</f>
        <v/>
      </c>
    </row>
    <row r="112">
      <c r="A112" t="n">
        <v>2010</v>
      </c>
      <c r="B112" t="inlineStr">
        <is>
          <t>BS11400</t>
        </is>
      </c>
      <c r="C112" t="inlineStr">
        <is>
          <t>Fishing, hunting and trapping</t>
        </is>
      </c>
      <c r="D112" t="n">
        <v>1908.4</v>
      </c>
      <c r="E112">
        <f>IFERROR(VLOOKUP(B112,Crosswalk!$A$2:$C$125,3,FALSE),"Unmapped")</f>
        <v/>
      </c>
    </row>
    <row r="113">
      <c r="A113" t="n">
        <v>2010</v>
      </c>
      <c r="B113" t="inlineStr">
        <is>
          <t>BS11500</t>
        </is>
      </c>
      <c r="C113" t="inlineStr">
        <is>
          <t>Support activities for agriculture and forestry</t>
        </is>
      </c>
      <c r="D113" t="n">
        <v>2646.9</v>
      </c>
      <c r="E113">
        <f>IFERROR(VLOOKUP(B113,Crosswalk!$A$2:$C$125,3,FALSE),"Unmapped")</f>
        <v/>
      </c>
    </row>
    <row r="114">
      <c r="A114" t="n">
        <v>2010</v>
      </c>
      <c r="B114" t="inlineStr">
        <is>
          <t>BS11B00</t>
        </is>
      </c>
      <c r="C114" t="inlineStr">
        <is>
          <t>Crop and animal production (except cannabis)</t>
        </is>
      </c>
      <c r="D114" t="n">
        <v>49142.9</v>
      </c>
      <c r="E114">
        <f>IFERROR(VLOOKUP(B114,Crosswalk!$A$2:$C$125,3,FALSE),"Unmapped")</f>
        <v/>
      </c>
    </row>
    <row r="115">
      <c r="A115" t="n">
        <v>2010</v>
      </c>
      <c r="B115" t="inlineStr">
        <is>
          <t>BS21100</t>
        </is>
      </c>
      <c r="C115" t="inlineStr">
        <is>
          <t>Oil and gas extraction</t>
        </is>
      </c>
      <c r="D115" t="n">
        <v>113707.2</v>
      </c>
      <c r="E115">
        <f>IFERROR(VLOOKUP(B115,Crosswalk!$A$2:$C$125,3,FALSE),"Unmapped")</f>
        <v/>
      </c>
    </row>
    <row r="116">
      <c r="A116" t="n">
        <v>2010</v>
      </c>
      <c r="B116" t="inlineStr">
        <is>
          <t>BS21210</t>
        </is>
      </c>
      <c r="C116" t="inlineStr">
        <is>
          <t>Coal mining</t>
        </is>
      </c>
      <c r="D116" t="n">
        <v>5215.9</v>
      </c>
      <c r="E116">
        <f>IFERROR(VLOOKUP(B116,Crosswalk!$A$2:$C$125,3,FALSE),"Unmapped")</f>
        <v/>
      </c>
    </row>
    <row r="117">
      <c r="A117" t="n">
        <v>2010</v>
      </c>
      <c r="B117" t="inlineStr">
        <is>
          <t>BS21220</t>
        </is>
      </c>
      <c r="C117" t="inlineStr">
        <is>
          <t>Metal ore mining</t>
        </is>
      </c>
      <c r="D117" t="n">
        <v>19530.2</v>
      </c>
      <c r="E117">
        <f>IFERROR(VLOOKUP(B117,Crosswalk!$A$2:$C$125,3,FALSE),"Unmapped")</f>
        <v/>
      </c>
    </row>
    <row r="118">
      <c r="A118" t="n">
        <v>2010</v>
      </c>
      <c r="B118" t="inlineStr">
        <is>
          <t>BS21230</t>
        </is>
      </c>
      <c r="C118" t="inlineStr">
        <is>
          <t>Non-metallic mineral mining and quarrying</t>
        </is>
      </c>
      <c r="D118" t="n">
        <v>12010.7</v>
      </c>
      <c r="E118">
        <f>IFERROR(VLOOKUP(B118,Crosswalk!$A$2:$C$125,3,FALSE),"Unmapped")</f>
        <v/>
      </c>
    </row>
    <row r="119">
      <c r="A119" t="n">
        <v>2010</v>
      </c>
      <c r="B119" t="inlineStr">
        <is>
          <t>BS21300</t>
        </is>
      </c>
      <c r="C119" t="inlineStr">
        <is>
          <t>Support activities for mining, and oil and gas extraction</t>
        </is>
      </c>
      <c r="D119" t="n">
        <v>23055.8</v>
      </c>
      <c r="E119">
        <f>IFERROR(VLOOKUP(B119,Crosswalk!$A$2:$C$125,3,FALSE),"Unmapped")</f>
        <v/>
      </c>
    </row>
    <row r="120">
      <c r="A120" t="n">
        <v>2010</v>
      </c>
      <c r="B120" t="inlineStr">
        <is>
          <t>BS22110</t>
        </is>
      </c>
      <c r="C120" t="inlineStr">
        <is>
          <t>Electric power generation, transmission and distribution</t>
        </is>
      </c>
      <c r="D120" t="n">
        <v>38947.2</v>
      </c>
      <c r="E120">
        <f>IFERROR(VLOOKUP(B120,Crosswalk!$A$2:$C$125,3,FALSE),"Unmapped")</f>
        <v/>
      </c>
    </row>
    <row r="121">
      <c r="A121" t="n">
        <v>2010</v>
      </c>
      <c r="B121" t="inlineStr">
        <is>
          <t>BS221A0</t>
        </is>
      </c>
      <c r="C121" t="inlineStr">
        <is>
          <t>Natural gas distribution, water, sewage and other systems</t>
        </is>
      </c>
      <c r="D121" t="n">
        <v>6083.5</v>
      </c>
      <c r="E121">
        <f>IFERROR(VLOOKUP(B121,Crosswalk!$A$2:$C$125,3,FALSE),"Unmapped")</f>
        <v/>
      </c>
    </row>
    <row r="122">
      <c r="A122" t="n">
        <v>2010</v>
      </c>
      <c r="B122" t="inlineStr">
        <is>
          <t>BS23A00</t>
        </is>
      </c>
      <c r="C122" t="inlineStr">
        <is>
          <t>Residential building construction</t>
        </is>
      </c>
      <c r="D122" t="n">
        <v>87517.8</v>
      </c>
      <c r="E122">
        <f>IFERROR(VLOOKUP(B122,Crosswalk!$A$2:$C$125,3,FALSE),"Unmapped")</f>
        <v/>
      </c>
    </row>
    <row r="123">
      <c r="A123" t="n">
        <v>2010</v>
      </c>
      <c r="B123" t="inlineStr">
        <is>
          <t>BS23B00</t>
        </is>
      </c>
      <c r="C123" t="inlineStr">
        <is>
          <t>Non-residential building construction</t>
        </is>
      </c>
      <c r="D123" t="n">
        <v>42947.6</v>
      </c>
      <c r="E123">
        <f>IFERROR(VLOOKUP(B123,Crosswalk!$A$2:$C$125,3,FALSE),"Unmapped")</f>
        <v/>
      </c>
    </row>
    <row r="124">
      <c r="A124" t="n">
        <v>2010</v>
      </c>
      <c r="B124" t="inlineStr">
        <is>
          <t>BS23C10</t>
        </is>
      </c>
      <c r="C124" t="inlineStr">
        <is>
          <t>Transportation engineering construction</t>
        </is>
      </c>
      <c r="D124" t="n">
        <v>22438.7</v>
      </c>
      <c r="E124">
        <f>IFERROR(VLOOKUP(B124,Crosswalk!$A$2:$C$125,3,FALSE),"Unmapped")</f>
        <v/>
      </c>
    </row>
    <row r="125">
      <c r="A125" t="n">
        <v>2010</v>
      </c>
      <c r="B125" t="inlineStr">
        <is>
          <t>BS23C20</t>
        </is>
      </c>
      <c r="C125" t="inlineStr">
        <is>
          <t>Oil and gas engineering construction</t>
        </is>
      </c>
      <c r="D125" t="n">
        <v>39297.8</v>
      </c>
      <c r="E125">
        <f>IFERROR(VLOOKUP(B125,Crosswalk!$A$2:$C$125,3,FALSE),"Unmapped")</f>
        <v/>
      </c>
    </row>
    <row r="126">
      <c r="A126" t="n">
        <v>2010</v>
      </c>
      <c r="B126" t="inlineStr">
        <is>
          <t>BS23C30</t>
        </is>
      </c>
      <c r="C126" t="inlineStr">
        <is>
          <t>Electric power engineering construction</t>
        </is>
      </c>
      <c r="D126" t="n">
        <v>14211.6</v>
      </c>
      <c r="E126">
        <f>IFERROR(VLOOKUP(B126,Crosswalk!$A$2:$C$125,3,FALSE),"Unmapped")</f>
        <v/>
      </c>
    </row>
    <row r="127">
      <c r="A127" t="n">
        <v>2010</v>
      </c>
      <c r="B127" t="inlineStr">
        <is>
          <t>BS23C40</t>
        </is>
      </c>
      <c r="C127" t="inlineStr">
        <is>
          <t>Communication engineering construction</t>
        </is>
      </c>
      <c r="D127" t="n">
        <v>3076.4</v>
      </c>
      <c r="E127">
        <f>IFERROR(VLOOKUP(B127,Crosswalk!$A$2:$C$125,3,FALSE),"Unmapped")</f>
        <v/>
      </c>
    </row>
    <row r="128">
      <c r="A128" t="n">
        <v>2010</v>
      </c>
      <c r="B128" t="inlineStr">
        <is>
          <t>BS23C50</t>
        </is>
      </c>
      <c r="C128" t="inlineStr">
        <is>
          <t>Other engineering construction</t>
        </is>
      </c>
      <c r="D128" t="n">
        <v>20375.3</v>
      </c>
      <c r="E128">
        <f>IFERROR(VLOOKUP(B128,Crosswalk!$A$2:$C$125,3,FALSE),"Unmapped")</f>
        <v/>
      </c>
    </row>
    <row r="129">
      <c r="A129" t="n">
        <v>2010</v>
      </c>
      <c r="B129" t="inlineStr">
        <is>
          <t>BS23D00</t>
        </is>
      </c>
      <c r="C129" t="inlineStr">
        <is>
          <t>Repair construction</t>
        </is>
      </c>
      <c r="D129" t="n">
        <v>33038.1</v>
      </c>
      <c r="E129">
        <f>IFERROR(VLOOKUP(B129,Crosswalk!$A$2:$C$125,3,FALSE),"Unmapped")</f>
        <v/>
      </c>
    </row>
    <row r="130">
      <c r="A130" t="n">
        <v>2010</v>
      </c>
      <c r="B130" t="inlineStr">
        <is>
          <t>BS23E00</t>
        </is>
      </c>
      <c r="C130" t="inlineStr">
        <is>
          <t>Other activities of the construction industry</t>
        </is>
      </c>
      <c r="D130" t="n">
        <v>2915.2</v>
      </c>
      <c r="E130">
        <f>IFERROR(VLOOKUP(B130,Crosswalk!$A$2:$C$125,3,FALSE),"Unmapped")</f>
        <v/>
      </c>
    </row>
    <row r="131">
      <c r="A131" t="n">
        <v>2010</v>
      </c>
      <c r="B131" t="inlineStr">
        <is>
          <t>BS31110</t>
        </is>
      </c>
      <c r="C131" t="inlineStr">
        <is>
          <t>Animal food manufacturing</t>
        </is>
      </c>
      <c r="D131" t="n">
        <v>5836.1</v>
      </c>
      <c r="E131">
        <f>IFERROR(VLOOKUP(B131,Crosswalk!$A$2:$C$125,3,FALSE),"Unmapped")</f>
        <v/>
      </c>
    </row>
    <row r="132">
      <c r="A132" t="n">
        <v>2010</v>
      </c>
      <c r="B132" t="inlineStr">
        <is>
          <t>BS31130</t>
        </is>
      </c>
      <c r="C132" t="inlineStr">
        <is>
          <t>Sugar and confectionery product manufacturing</t>
        </is>
      </c>
      <c r="D132" t="n">
        <v>4440.6</v>
      </c>
      <c r="E132">
        <f>IFERROR(VLOOKUP(B132,Crosswalk!$A$2:$C$125,3,FALSE),"Unmapped")</f>
        <v/>
      </c>
    </row>
    <row r="133">
      <c r="A133" t="n">
        <v>2010</v>
      </c>
      <c r="B133" t="inlineStr">
        <is>
          <t>BS31140</t>
        </is>
      </c>
      <c r="C133" t="inlineStr">
        <is>
          <t>Fruit and vegetable preserving and specialty food manufacturing</t>
        </is>
      </c>
      <c r="D133" t="n">
        <v>6607.1</v>
      </c>
      <c r="E133">
        <f>IFERROR(VLOOKUP(B133,Crosswalk!$A$2:$C$125,3,FALSE),"Unmapped")</f>
        <v/>
      </c>
    </row>
    <row r="134">
      <c r="A134" t="n">
        <v>2010</v>
      </c>
      <c r="B134" t="inlineStr">
        <is>
          <t>BS31150</t>
        </is>
      </c>
      <c r="C134" t="inlineStr">
        <is>
          <t>Dairy product manufacturing</t>
        </is>
      </c>
      <c r="D134" t="n">
        <v>13565.5</v>
      </c>
      <c r="E134">
        <f>IFERROR(VLOOKUP(B134,Crosswalk!$A$2:$C$125,3,FALSE),"Unmapped")</f>
        <v/>
      </c>
    </row>
    <row r="135">
      <c r="A135" t="n">
        <v>2010</v>
      </c>
      <c r="B135" t="inlineStr">
        <is>
          <t>BS31160</t>
        </is>
      </c>
      <c r="C135" t="inlineStr">
        <is>
          <t>Meat product manufacturing</t>
        </is>
      </c>
      <c r="D135" t="n">
        <v>23726.2</v>
      </c>
      <c r="E135">
        <f>IFERROR(VLOOKUP(B135,Crosswalk!$A$2:$C$125,3,FALSE),"Unmapped")</f>
        <v/>
      </c>
    </row>
    <row r="136">
      <c r="A136" t="n">
        <v>2010</v>
      </c>
      <c r="B136" t="inlineStr">
        <is>
          <t>BS31170</t>
        </is>
      </c>
      <c r="C136" t="inlineStr">
        <is>
          <t>Seafood product preparation and packaging</t>
        </is>
      </c>
      <c r="D136" t="n">
        <v>3871.7</v>
      </c>
      <c r="E136">
        <f>IFERROR(VLOOKUP(B136,Crosswalk!$A$2:$C$125,3,FALSE),"Unmapped")</f>
        <v/>
      </c>
    </row>
    <row r="137">
      <c r="A137" t="n">
        <v>2010</v>
      </c>
      <c r="B137" t="inlineStr">
        <is>
          <t>BS311A0</t>
        </is>
      </c>
      <c r="C137" t="inlineStr">
        <is>
          <t>Miscellaneous food manufacturing</t>
        </is>
      </c>
      <c r="D137" t="n">
        <v>22470.5</v>
      </c>
      <c r="E137">
        <f>IFERROR(VLOOKUP(B137,Crosswalk!$A$2:$C$125,3,FALSE),"Unmapped")</f>
        <v/>
      </c>
    </row>
    <row r="138">
      <c r="A138" t="n">
        <v>2010</v>
      </c>
      <c r="B138" t="inlineStr">
        <is>
          <t>BS31211</t>
        </is>
      </c>
      <c r="C138" t="inlineStr">
        <is>
          <t>Soft drink and ice manufacturing</t>
        </is>
      </c>
      <c r="D138" t="n">
        <v>4203.8</v>
      </c>
      <c r="E138">
        <f>IFERROR(VLOOKUP(B138,Crosswalk!$A$2:$C$125,3,FALSE),"Unmapped")</f>
        <v/>
      </c>
    </row>
    <row r="139">
      <c r="A139" t="n">
        <v>2010</v>
      </c>
      <c r="B139" t="inlineStr">
        <is>
          <t>BS31212</t>
        </is>
      </c>
      <c r="C139" t="inlineStr">
        <is>
          <t>Breweries</t>
        </is>
      </c>
      <c r="D139" t="n">
        <v>5332.4</v>
      </c>
      <c r="E139">
        <f>IFERROR(VLOOKUP(B139,Crosswalk!$A$2:$C$125,3,FALSE),"Unmapped")</f>
        <v/>
      </c>
    </row>
    <row r="140">
      <c r="A140" t="n">
        <v>2010</v>
      </c>
      <c r="B140" t="inlineStr">
        <is>
          <t>BS3121A</t>
        </is>
      </c>
      <c r="C140" t="inlineStr">
        <is>
          <t>Wineries and distilleries</t>
        </is>
      </c>
      <c r="D140" t="n">
        <v>1863.3</v>
      </c>
      <c r="E140">
        <f>IFERROR(VLOOKUP(B140,Crosswalk!$A$2:$C$125,3,FALSE),"Unmapped")</f>
        <v/>
      </c>
    </row>
    <row r="141">
      <c r="A141" t="n">
        <v>2010</v>
      </c>
      <c r="B141" t="inlineStr">
        <is>
          <t>BS312A0</t>
        </is>
      </c>
      <c r="C141" t="inlineStr">
        <is>
          <t>Tobacco and cannabis product manufacturing</t>
        </is>
      </c>
      <c r="D141" t="n">
        <v>1535.9</v>
      </c>
      <c r="E141">
        <f>IFERROR(VLOOKUP(B141,Crosswalk!$A$2:$C$125,3,FALSE),"Unmapped")</f>
        <v/>
      </c>
    </row>
    <row r="142">
      <c r="A142" t="n">
        <v>2010</v>
      </c>
      <c r="B142" t="inlineStr">
        <is>
          <t>BS31A00</t>
        </is>
      </c>
      <c r="C142" t="inlineStr">
        <is>
          <t>Textile and textile product mills</t>
        </is>
      </c>
      <c r="D142" t="n">
        <v>3352.4</v>
      </c>
      <c r="E142">
        <f>IFERROR(VLOOKUP(B142,Crosswalk!$A$2:$C$125,3,FALSE),"Unmapped")</f>
        <v/>
      </c>
    </row>
    <row r="143">
      <c r="A143" t="n">
        <v>2010</v>
      </c>
      <c r="B143" t="inlineStr">
        <is>
          <t>BS31B00</t>
        </is>
      </c>
      <c r="C143" t="inlineStr">
        <is>
          <t>Clothing and leather and allied product manufacturing</t>
        </is>
      </c>
      <c r="D143" t="n">
        <v>3203.5</v>
      </c>
      <c r="E143">
        <f>IFERROR(VLOOKUP(B143,Crosswalk!$A$2:$C$125,3,FALSE),"Unmapped")</f>
        <v/>
      </c>
    </row>
    <row r="144">
      <c r="A144" t="n">
        <v>2010</v>
      </c>
      <c r="B144" t="inlineStr">
        <is>
          <t>BS32100</t>
        </is>
      </c>
      <c r="C144" t="inlineStr">
        <is>
          <t>Wood product manufacturing</t>
        </is>
      </c>
      <c r="D144" t="n">
        <v>21295.3</v>
      </c>
      <c r="E144">
        <f>IFERROR(VLOOKUP(B144,Crosswalk!$A$2:$C$125,3,FALSE),"Unmapped")</f>
        <v/>
      </c>
    </row>
    <row r="145">
      <c r="A145" t="n">
        <v>2010</v>
      </c>
      <c r="B145" t="inlineStr">
        <is>
          <t>BS32210</t>
        </is>
      </c>
      <c r="C145" t="inlineStr">
        <is>
          <t>Pulp, paper and paperboard mills</t>
        </is>
      </c>
      <c r="D145" t="n">
        <v>18570.8</v>
      </c>
      <c r="E145">
        <f>IFERROR(VLOOKUP(B145,Crosswalk!$A$2:$C$125,3,FALSE),"Unmapped")</f>
        <v/>
      </c>
    </row>
    <row r="146">
      <c r="A146" t="n">
        <v>2010</v>
      </c>
      <c r="B146" t="inlineStr">
        <is>
          <t>BS32220</t>
        </is>
      </c>
      <c r="C146" t="inlineStr">
        <is>
          <t>Converted paper product manufacturing</t>
        </is>
      </c>
      <c r="D146" t="n">
        <v>8772</v>
      </c>
      <c r="E146">
        <f>IFERROR(VLOOKUP(B146,Crosswalk!$A$2:$C$125,3,FALSE),"Unmapped")</f>
        <v/>
      </c>
    </row>
    <row r="147">
      <c r="A147" t="n">
        <v>2010</v>
      </c>
      <c r="B147" t="inlineStr">
        <is>
          <t>BS32300</t>
        </is>
      </c>
      <c r="C147" t="inlineStr">
        <is>
          <t>Printing and related support activities</t>
        </is>
      </c>
      <c r="D147" t="n">
        <v>9632.5</v>
      </c>
      <c r="E147">
        <f>IFERROR(VLOOKUP(B147,Crosswalk!$A$2:$C$125,3,FALSE),"Unmapped")</f>
        <v/>
      </c>
    </row>
    <row r="148">
      <c r="A148" t="n">
        <v>2010</v>
      </c>
      <c r="B148" t="inlineStr">
        <is>
          <t>BS32400</t>
        </is>
      </c>
      <c r="C148" t="inlineStr">
        <is>
          <t>Petroleum and coal product manufacturing</t>
        </is>
      </c>
      <c r="D148" t="n">
        <v>71124</v>
      </c>
      <c r="E148">
        <f>IFERROR(VLOOKUP(B148,Crosswalk!$A$2:$C$125,3,FALSE),"Unmapped")</f>
        <v/>
      </c>
    </row>
    <row r="149">
      <c r="A149" t="n">
        <v>2010</v>
      </c>
      <c r="B149" t="inlineStr">
        <is>
          <t>BS32510</t>
        </is>
      </c>
      <c r="C149" t="inlineStr">
        <is>
          <t>Basic chemical manufacturing</t>
        </is>
      </c>
      <c r="D149" t="n">
        <v>15455</v>
      </c>
      <c r="E149">
        <f>IFERROR(VLOOKUP(B149,Crosswalk!$A$2:$C$125,3,FALSE),"Unmapped")</f>
        <v/>
      </c>
    </row>
    <row r="150">
      <c r="A150" t="n">
        <v>2010</v>
      </c>
      <c r="B150" t="inlineStr">
        <is>
          <t>BS32530</t>
        </is>
      </c>
      <c r="C150" t="inlineStr">
        <is>
          <t>Pesticide, fertilizer and other agricultural chemical manufacturing</t>
        </is>
      </c>
      <c r="D150" t="n">
        <v>4273.7</v>
      </c>
      <c r="E150">
        <f>IFERROR(VLOOKUP(B150,Crosswalk!$A$2:$C$125,3,FALSE),"Unmapped")</f>
        <v/>
      </c>
    </row>
    <row r="151">
      <c r="A151" t="n">
        <v>2010</v>
      </c>
      <c r="B151" t="inlineStr">
        <is>
          <t>BS32540</t>
        </is>
      </c>
      <c r="C151" t="inlineStr">
        <is>
          <t>Pharmaceutical and medicine manufacturing</t>
        </is>
      </c>
      <c r="D151" t="n">
        <v>11697.2</v>
      </c>
      <c r="E151">
        <f>IFERROR(VLOOKUP(B151,Crosswalk!$A$2:$C$125,3,FALSE),"Unmapped")</f>
        <v/>
      </c>
    </row>
    <row r="152">
      <c r="A152" t="n">
        <v>2010</v>
      </c>
      <c r="B152" t="inlineStr">
        <is>
          <t>BS325C0</t>
        </is>
      </c>
      <c r="C152" t="inlineStr">
        <is>
          <t>Miscellaneous chemical product manufacturing</t>
        </is>
      </c>
      <c r="D152" t="n">
        <v>17998.2</v>
      </c>
      <c r="E152">
        <f>IFERROR(VLOOKUP(B152,Crosswalk!$A$2:$C$125,3,FALSE),"Unmapped")</f>
        <v/>
      </c>
    </row>
    <row r="153">
      <c r="A153" t="n">
        <v>2010</v>
      </c>
      <c r="B153" t="inlineStr">
        <is>
          <t>BS32610</t>
        </is>
      </c>
      <c r="C153" t="inlineStr">
        <is>
          <t>Plastic product manufacturing</t>
        </is>
      </c>
      <c r="D153" t="n">
        <v>18301.8</v>
      </c>
      <c r="E153">
        <f>IFERROR(VLOOKUP(B153,Crosswalk!$A$2:$C$125,3,FALSE),"Unmapped")</f>
        <v/>
      </c>
    </row>
    <row r="154">
      <c r="A154" t="n">
        <v>2010</v>
      </c>
      <c r="B154" t="inlineStr">
        <is>
          <t>BS32620</t>
        </is>
      </c>
      <c r="C154" t="inlineStr">
        <is>
          <t>Rubber product manufacturing</t>
        </is>
      </c>
      <c r="D154" t="n">
        <v>4565.2</v>
      </c>
      <c r="E154">
        <f>IFERROR(VLOOKUP(B154,Crosswalk!$A$2:$C$125,3,FALSE),"Unmapped")</f>
        <v/>
      </c>
    </row>
    <row r="155">
      <c r="A155" t="n">
        <v>2010</v>
      </c>
      <c r="B155" t="inlineStr">
        <is>
          <t>BS32730</t>
        </is>
      </c>
      <c r="C155" t="inlineStr">
        <is>
          <t>Cement and concrete product manufacturing</t>
        </is>
      </c>
      <c r="D155" t="n">
        <v>9029.9</v>
      </c>
      <c r="E155">
        <f>IFERROR(VLOOKUP(B155,Crosswalk!$A$2:$C$125,3,FALSE),"Unmapped")</f>
        <v/>
      </c>
    </row>
    <row r="156">
      <c r="A156" t="n">
        <v>2010</v>
      </c>
      <c r="B156" t="inlineStr">
        <is>
          <t>BS327A0</t>
        </is>
      </c>
      <c r="C156" t="inlineStr">
        <is>
          <t>Non-metallic mineral product manufacturing (except cement and concrete products)</t>
        </is>
      </c>
      <c r="D156" t="n">
        <v>5041.7</v>
      </c>
      <c r="E156">
        <f>IFERROR(VLOOKUP(B156,Crosswalk!$A$2:$C$125,3,FALSE),"Unmapped")</f>
        <v/>
      </c>
    </row>
    <row r="157">
      <c r="A157" t="n">
        <v>2010</v>
      </c>
      <c r="B157" t="inlineStr">
        <is>
          <t>BS33100</t>
        </is>
      </c>
      <c r="C157" t="inlineStr">
        <is>
          <t>Primary metal manufacturing</t>
        </is>
      </c>
      <c r="D157" t="n">
        <v>60074.6</v>
      </c>
      <c r="E157">
        <f>IFERROR(VLOOKUP(B157,Crosswalk!$A$2:$C$125,3,FALSE),"Unmapped")</f>
        <v/>
      </c>
    </row>
    <row r="158">
      <c r="A158" t="n">
        <v>2010</v>
      </c>
      <c r="B158" t="inlineStr">
        <is>
          <t>BS33200</t>
        </is>
      </c>
      <c r="C158" t="inlineStr">
        <is>
          <t>Fabricated metal product manufacturing</t>
        </is>
      </c>
      <c r="D158" t="n">
        <v>30556.2</v>
      </c>
      <c r="E158">
        <f>IFERROR(VLOOKUP(B158,Crosswalk!$A$2:$C$125,3,FALSE),"Unmapped")</f>
        <v/>
      </c>
    </row>
    <row r="159">
      <c r="A159" t="n">
        <v>2010</v>
      </c>
      <c r="B159" t="inlineStr">
        <is>
          <t>BS33300</t>
        </is>
      </c>
      <c r="C159" t="inlineStr">
        <is>
          <t>Machinery manufacturing</t>
        </is>
      </c>
      <c r="D159" t="n">
        <v>29239.1</v>
      </c>
      <c r="E159">
        <f>IFERROR(VLOOKUP(B159,Crosswalk!$A$2:$C$125,3,FALSE),"Unmapped")</f>
        <v/>
      </c>
    </row>
    <row r="160">
      <c r="A160" t="n">
        <v>2010</v>
      </c>
      <c r="B160" t="inlineStr">
        <is>
          <t>BS33400</t>
        </is>
      </c>
      <c r="C160" t="inlineStr">
        <is>
          <t>Computer and electronic product manufacturing</t>
        </is>
      </c>
      <c r="D160" t="n">
        <v>17190.8</v>
      </c>
      <c r="E160">
        <f>IFERROR(VLOOKUP(B160,Crosswalk!$A$2:$C$125,3,FALSE),"Unmapped")</f>
        <v/>
      </c>
    </row>
    <row r="161">
      <c r="A161" t="n">
        <v>2010</v>
      </c>
      <c r="B161" t="inlineStr">
        <is>
          <t>BS33500</t>
        </is>
      </c>
      <c r="C161" t="inlineStr">
        <is>
          <t>Electrical equipment, appliance and component manufacturing</t>
        </is>
      </c>
      <c r="D161" t="n">
        <v>9917.6</v>
      </c>
      <c r="E161">
        <f>IFERROR(VLOOKUP(B161,Crosswalk!$A$2:$C$125,3,FALSE),"Unmapped")</f>
        <v/>
      </c>
    </row>
    <row r="162">
      <c r="A162" t="n">
        <v>2010</v>
      </c>
      <c r="B162" t="inlineStr">
        <is>
          <t>BS33610</t>
        </is>
      </c>
      <c r="C162" t="inlineStr">
        <is>
          <t>Motor vehicle manufacturing</t>
        </is>
      </c>
      <c r="D162" t="n">
        <v>45663.3</v>
      </c>
      <c r="E162">
        <f>IFERROR(VLOOKUP(B162,Crosswalk!$A$2:$C$125,3,FALSE),"Unmapped")</f>
        <v/>
      </c>
    </row>
    <row r="163">
      <c r="A163" t="n">
        <v>2010</v>
      </c>
      <c r="B163" t="inlineStr">
        <is>
          <t>BS33620</t>
        </is>
      </c>
      <c r="C163" t="inlineStr">
        <is>
          <t>Motor vehicle body and trailer manufacturing</t>
        </is>
      </c>
      <c r="D163" t="n">
        <v>1959.3</v>
      </c>
      <c r="E163">
        <f>IFERROR(VLOOKUP(B163,Crosswalk!$A$2:$C$125,3,FALSE),"Unmapped")</f>
        <v/>
      </c>
    </row>
    <row r="164">
      <c r="A164" t="n">
        <v>2010</v>
      </c>
      <c r="B164" t="inlineStr">
        <is>
          <t>BS33630</t>
        </is>
      </c>
      <c r="C164" t="inlineStr">
        <is>
          <t>Motor vehicle parts manufacturing</t>
        </is>
      </c>
      <c r="D164" t="n">
        <v>20455.7</v>
      </c>
      <c r="E164">
        <f>IFERROR(VLOOKUP(B164,Crosswalk!$A$2:$C$125,3,FALSE),"Unmapped")</f>
        <v/>
      </c>
    </row>
    <row r="165">
      <c r="A165" t="n">
        <v>2010</v>
      </c>
      <c r="B165" t="inlineStr">
        <is>
          <t>BS33640</t>
        </is>
      </c>
      <c r="C165" t="inlineStr">
        <is>
          <t>Aerospace product and parts manufacturing</t>
        </is>
      </c>
      <c r="D165" t="n">
        <v>15964.3</v>
      </c>
      <c r="E165">
        <f>IFERROR(VLOOKUP(B165,Crosswalk!$A$2:$C$125,3,FALSE),"Unmapped")</f>
        <v/>
      </c>
    </row>
    <row r="166">
      <c r="A166" t="n">
        <v>2010</v>
      </c>
      <c r="B166" t="inlineStr">
        <is>
          <t>BS33650</t>
        </is>
      </c>
      <c r="C166" t="inlineStr">
        <is>
          <t>Railroad rolling stock manufacturing</t>
        </is>
      </c>
      <c r="D166" t="n">
        <v>1329.7</v>
      </c>
      <c r="E166">
        <f>IFERROR(VLOOKUP(B166,Crosswalk!$A$2:$C$125,3,FALSE),"Unmapped")</f>
        <v/>
      </c>
    </row>
    <row r="167">
      <c r="A167" t="n">
        <v>2010</v>
      </c>
      <c r="B167" t="inlineStr">
        <is>
          <t>BS33660</t>
        </is>
      </c>
      <c r="C167" t="inlineStr">
        <is>
          <t>Ship and boat building</t>
        </is>
      </c>
      <c r="D167" t="n">
        <v>1066.4</v>
      </c>
      <c r="E167">
        <f>IFERROR(VLOOKUP(B167,Crosswalk!$A$2:$C$125,3,FALSE),"Unmapped")</f>
        <v/>
      </c>
    </row>
    <row r="168">
      <c r="A168" t="n">
        <v>2010</v>
      </c>
      <c r="B168" t="inlineStr">
        <is>
          <t>BS33690</t>
        </is>
      </c>
      <c r="C168" t="inlineStr">
        <is>
          <t>Other transportation equipment manufacturing</t>
        </is>
      </c>
      <c r="D168" t="n">
        <v>3777.6</v>
      </c>
      <c r="E168">
        <f>IFERROR(VLOOKUP(B168,Crosswalk!$A$2:$C$125,3,FALSE),"Unmapped")</f>
        <v/>
      </c>
    </row>
    <row r="169">
      <c r="A169" t="n">
        <v>2010</v>
      </c>
      <c r="B169" t="inlineStr">
        <is>
          <t>BS33700</t>
        </is>
      </c>
      <c r="C169" t="inlineStr">
        <is>
          <t>Furniture and related product manufacturing</t>
        </is>
      </c>
      <c r="D169" t="n">
        <v>10518.5</v>
      </c>
      <c r="E169">
        <f>IFERROR(VLOOKUP(B169,Crosswalk!$A$2:$C$125,3,FALSE),"Unmapped")</f>
        <v/>
      </c>
    </row>
    <row r="170">
      <c r="A170" t="n">
        <v>2010</v>
      </c>
      <c r="B170" t="inlineStr">
        <is>
          <t>BS33900</t>
        </is>
      </c>
      <c r="C170" t="inlineStr">
        <is>
          <t>Miscellaneous manufacturing</t>
        </is>
      </c>
      <c r="D170" t="n">
        <v>12116.5</v>
      </c>
      <c r="E170">
        <f>IFERROR(VLOOKUP(B170,Crosswalk!$A$2:$C$125,3,FALSE),"Unmapped")</f>
        <v/>
      </c>
    </row>
    <row r="171">
      <c r="A171" t="n">
        <v>2010</v>
      </c>
      <c r="B171" t="inlineStr">
        <is>
          <t>BS41000</t>
        </is>
      </c>
      <c r="C171" t="inlineStr">
        <is>
          <t>Wholesale trade</t>
        </is>
      </c>
      <c r="D171" t="n">
        <v>132429.4</v>
      </c>
      <c r="E171">
        <f>IFERROR(VLOOKUP(B171,Crosswalk!$A$2:$C$125,3,FALSE),"Unmapped")</f>
        <v/>
      </c>
    </row>
    <row r="172">
      <c r="A172" t="n">
        <v>2010</v>
      </c>
      <c r="B172" t="inlineStr">
        <is>
          <t>BS459BU</t>
        </is>
      </c>
      <c r="C172" t="inlineStr">
        <is>
          <t>Cannabis retailers (unlicensed)</t>
        </is>
      </c>
      <c r="D172" t="n">
        <v>1466.1</v>
      </c>
      <c r="E172">
        <f>IFERROR(VLOOKUP(B172,Crosswalk!$A$2:$C$125,3,FALSE),"Unmapped")</f>
        <v/>
      </c>
    </row>
    <row r="173">
      <c r="A173" t="n">
        <v>2010</v>
      </c>
      <c r="B173" t="inlineStr">
        <is>
          <t>BS48100</t>
        </is>
      </c>
      <c r="C173" t="inlineStr">
        <is>
          <t>Air transportation</t>
        </is>
      </c>
      <c r="D173" t="n">
        <v>17637.6</v>
      </c>
      <c r="E173">
        <f>IFERROR(VLOOKUP(B173,Crosswalk!$A$2:$C$125,3,FALSE),"Unmapped")</f>
        <v/>
      </c>
    </row>
    <row r="174">
      <c r="A174" t="n">
        <v>2010</v>
      </c>
      <c r="B174" t="inlineStr">
        <is>
          <t>BS48200</t>
        </is>
      </c>
      <c r="C174" t="inlineStr">
        <is>
          <t>Rail transportation</t>
        </is>
      </c>
      <c r="D174" t="n">
        <v>10231.6</v>
      </c>
      <c r="E174">
        <f>IFERROR(VLOOKUP(B174,Crosswalk!$A$2:$C$125,3,FALSE),"Unmapped")</f>
        <v/>
      </c>
    </row>
    <row r="175">
      <c r="A175" t="n">
        <v>2010</v>
      </c>
      <c r="B175" t="inlineStr">
        <is>
          <t>BS48300</t>
        </is>
      </c>
      <c r="C175" t="inlineStr">
        <is>
          <t>Water transportation</t>
        </is>
      </c>
      <c r="D175" t="n">
        <v>4555.2</v>
      </c>
      <c r="E175">
        <f>IFERROR(VLOOKUP(B175,Crosswalk!$A$2:$C$125,3,FALSE),"Unmapped")</f>
        <v/>
      </c>
    </row>
    <row r="176">
      <c r="A176" t="n">
        <v>2010</v>
      </c>
      <c r="B176" t="inlineStr">
        <is>
          <t>BS48400</t>
        </is>
      </c>
      <c r="C176" t="inlineStr">
        <is>
          <t>Truck transportation</t>
        </is>
      </c>
      <c r="D176" t="n">
        <v>40915.1</v>
      </c>
      <c r="E176">
        <f>IFERROR(VLOOKUP(B176,Crosswalk!$A$2:$C$125,3,FALSE),"Unmapped")</f>
        <v/>
      </c>
    </row>
    <row r="177">
      <c r="A177" t="n">
        <v>2010</v>
      </c>
      <c r="B177" t="inlineStr">
        <is>
          <t>BS48600</t>
        </is>
      </c>
      <c r="C177" t="inlineStr">
        <is>
          <t>Pipeline transportation</t>
        </is>
      </c>
      <c r="D177" t="n">
        <v>8270.299999999999</v>
      </c>
      <c r="E177">
        <f>IFERROR(VLOOKUP(B177,Crosswalk!$A$2:$C$125,3,FALSE),"Unmapped")</f>
        <v/>
      </c>
    </row>
    <row r="178">
      <c r="A178" t="n">
        <v>2010</v>
      </c>
      <c r="B178" t="inlineStr">
        <is>
          <t>BS48B00</t>
        </is>
      </c>
      <c r="C178" t="inlineStr">
        <is>
          <t>Transit, ground passenger and scenic and sightseeing transportation, taxi and limousine service and support activities for transportation</t>
        </is>
      </c>
      <c r="D178" t="n">
        <v>29813.3</v>
      </c>
      <c r="E178">
        <f>IFERROR(VLOOKUP(B178,Crosswalk!$A$2:$C$125,3,FALSE),"Unmapped")</f>
        <v/>
      </c>
    </row>
    <row r="179">
      <c r="A179" t="n">
        <v>2010</v>
      </c>
      <c r="B179" t="inlineStr">
        <is>
          <t>BS49300</t>
        </is>
      </c>
      <c r="C179" t="inlineStr">
        <is>
          <t>Warehousing and storage</t>
        </is>
      </c>
      <c r="D179" t="n">
        <v>3530.8</v>
      </c>
      <c r="E179">
        <f>IFERROR(VLOOKUP(B179,Crosswalk!$A$2:$C$125,3,FALSE),"Unmapped")</f>
        <v/>
      </c>
    </row>
    <row r="180">
      <c r="A180" t="n">
        <v>2010</v>
      </c>
      <c r="B180" t="inlineStr">
        <is>
          <t>BS49A00</t>
        </is>
      </c>
      <c r="C180" t="inlineStr">
        <is>
          <t>Postal service, couriers and messengers</t>
        </is>
      </c>
      <c r="D180" t="n">
        <v>13108.8</v>
      </c>
      <c r="E180">
        <f>IFERROR(VLOOKUP(B180,Crosswalk!$A$2:$C$125,3,FALSE),"Unmapped")</f>
        <v/>
      </c>
    </row>
    <row r="181">
      <c r="A181" t="n">
        <v>2010</v>
      </c>
      <c r="B181" t="inlineStr">
        <is>
          <t>BS4AA00</t>
        </is>
      </c>
      <c r="C181" t="inlineStr">
        <is>
          <t>Retail trade (except cannabis)</t>
        </is>
      </c>
      <c r="D181" t="n">
        <v>129227.7</v>
      </c>
      <c r="E181">
        <f>IFERROR(VLOOKUP(B181,Crosswalk!$A$2:$C$125,3,FALSE),"Unmapped")</f>
        <v/>
      </c>
    </row>
    <row r="182">
      <c r="A182" t="n">
        <v>2010</v>
      </c>
      <c r="B182" t="inlineStr">
        <is>
          <t>BS51200</t>
        </is>
      </c>
      <c r="C182" t="inlineStr">
        <is>
          <t>Motion picture and sound recording industries</t>
        </is>
      </c>
      <c r="D182" t="n">
        <v>8407.200000000001</v>
      </c>
      <c r="E182">
        <f>IFERROR(VLOOKUP(B182,Crosswalk!$A$2:$C$125,3,FALSE),"Unmapped")</f>
        <v/>
      </c>
    </row>
    <row r="183">
      <c r="A183" t="n">
        <v>2010</v>
      </c>
      <c r="B183" t="inlineStr">
        <is>
          <t>BS51610</t>
        </is>
      </c>
      <c r="C183" t="inlineStr">
        <is>
          <t>Radio and television broadcasting stations</t>
        </is>
      </c>
      <c r="D183" t="n">
        <v>3943.2</v>
      </c>
      <c r="E183">
        <f>IFERROR(VLOOKUP(B183,Crosswalk!$A$2:$C$125,3,FALSE),"Unmapped")</f>
        <v/>
      </c>
    </row>
    <row r="184">
      <c r="A184" t="n">
        <v>2010</v>
      </c>
      <c r="B184" t="inlineStr">
        <is>
          <t>BS51B00</t>
        </is>
      </c>
      <c r="C184" t="inlineStr">
        <is>
          <t>Publishing, pay/specialty services, telecommunications and other information services</t>
        </is>
      </c>
      <c r="D184" t="n">
        <v>77644.60000000001</v>
      </c>
      <c r="E184">
        <f>IFERROR(VLOOKUP(B184,Crosswalk!$A$2:$C$125,3,FALSE),"Unmapped")</f>
        <v/>
      </c>
    </row>
    <row r="185">
      <c r="A185" t="n">
        <v>2010</v>
      </c>
      <c r="B185" t="inlineStr">
        <is>
          <t>BS52410</t>
        </is>
      </c>
      <c r="C185" t="inlineStr">
        <is>
          <t>Insurance carriers</t>
        </is>
      </c>
      <c r="D185" t="n">
        <v>37969.7</v>
      </c>
      <c r="E185">
        <f>IFERROR(VLOOKUP(B185,Crosswalk!$A$2:$C$125,3,FALSE),"Unmapped")</f>
        <v/>
      </c>
    </row>
    <row r="186">
      <c r="A186" t="n">
        <v>2010</v>
      </c>
      <c r="B186" t="inlineStr">
        <is>
          <t>BS52B00</t>
        </is>
      </c>
      <c r="C186" t="inlineStr">
        <is>
          <t>Depository credit intermediation and monetary authorities</t>
        </is>
      </c>
      <c r="D186" t="n">
        <v>73594</v>
      </c>
      <c r="E186">
        <f>IFERROR(VLOOKUP(B186,Crosswalk!$A$2:$C$125,3,FALSE),"Unmapped")</f>
        <v/>
      </c>
    </row>
    <row r="187">
      <c r="A187" t="n">
        <v>2010</v>
      </c>
      <c r="B187" t="inlineStr">
        <is>
          <t>BS53110</t>
        </is>
      </c>
      <c r="C187" t="inlineStr">
        <is>
          <t>Lessors of real estate</t>
        </is>
      </c>
      <c r="D187" t="n">
        <v>80192.5</v>
      </c>
      <c r="E187">
        <f>IFERROR(VLOOKUP(B187,Crosswalk!$A$2:$C$125,3,FALSE),"Unmapped")</f>
        <v/>
      </c>
    </row>
    <row r="188">
      <c r="A188" t="n">
        <v>2010</v>
      </c>
      <c r="B188" t="inlineStr">
        <is>
          <t>BS5311A</t>
        </is>
      </c>
      <c r="C188" t="inlineStr">
        <is>
          <t>Owner-occupied dwellings</t>
        </is>
      </c>
      <c r="D188" t="n">
        <v>136590.1</v>
      </c>
      <c r="E188">
        <f>IFERROR(VLOOKUP(B188,Crosswalk!$A$2:$C$125,3,FALSE),"Unmapped")</f>
        <v/>
      </c>
    </row>
    <row r="189">
      <c r="A189" t="n">
        <v>2010</v>
      </c>
      <c r="B189" t="inlineStr">
        <is>
          <t>BS53B00</t>
        </is>
      </c>
      <c r="C189" t="inlineStr">
        <is>
          <t>Rental and leasing services and lessors of non-financial intangible assets (except copyrighted works)</t>
        </is>
      </c>
      <c r="D189" t="n">
        <v>17985.2</v>
      </c>
      <c r="E189">
        <f>IFERROR(VLOOKUP(B189,Crosswalk!$A$2:$C$125,3,FALSE),"Unmapped")</f>
        <v/>
      </c>
    </row>
    <row r="190">
      <c r="A190" t="n">
        <v>2010</v>
      </c>
      <c r="B190" t="inlineStr">
        <is>
          <t>BS54180</t>
        </is>
      </c>
      <c r="C190" t="inlineStr">
        <is>
          <t>Advertising, public relations, and related services</t>
        </is>
      </c>
      <c r="D190" t="n">
        <v>6942.6</v>
      </c>
      <c r="E190">
        <f>IFERROR(VLOOKUP(B190,Crosswalk!$A$2:$C$125,3,FALSE),"Unmapped")</f>
        <v/>
      </c>
    </row>
    <row r="191">
      <c r="A191" t="n">
        <v>2010</v>
      </c>
      <c r="B191" t="inlineStr">
        <is>
          <t>BS541C0</t>
        </is>
      </c>
      <c r="C191" t="inlineStr">
        <is>
          <t>Legal, accounting and architectural, engineering and related services</t>
        </is>
      </c>
      <c r="D191" t="n">
        <v>61935.6</v>
      </c>
      <c r="E191">
        <f>IFERROR(VLOOKUP(B191,Crosswalk!$A$2:$C$125,3,FALSE),"Unmapped")</f>
        <v/>
      </c>
    </row>
    <row r="192">
      <c r="A192" t="n">
        <v>2010</v>
      </c>
      <c r="B192" t="inlineStr">
        <is>
          <t>BS541D0</t>
        </is>
      </c>
      <c r="C192" t="inlineStr">
        <is>
          <t>Computer systems design and other professional, scientific and technical services</t>
        </is>
      </c>
      <c r="D192" t="n">
        <v>66192.39999999999</v>
      </c>
      <c r="E192">
        <f>IFERROR(VLOOKUP(B192,Crosswalk!$A$2:$C$125,3,FALSE),"Unmapped")</f>
        <v/>
      </c>
    </row>
    <row r="193">
      <c r="A193" t="n">
        <v>2010</v>
      </c>
      <c r="B193" t="inlineStr">
        <is>
          <t>BS56100</t>
        </is>
      </c>
      <c r="C193" t="inlineStr">
        <is>
          <t>Administrative and support services</t>
        </is>
      </c>
      <c r="D193" t="n">
        <v>61384</v>
      </c>
      <c r="E193">
        <f>IFERROR(VLOOKUP(B193,Crosswalk!$A$2:$C$125,3,FALSE),"Unmapped")</f>
        <v/>
      </c>
    </row>
    <row r="194">
      <c r="A194" t="n">
        <v>2010</v>
      </c>
      <c r="B194" t="inlineStr">
        <is>
          <t>BS56200</t>
        </is>
      </c>
      <c r="C194" t="inlineStr">
        <is>
          <t>Waste management and remediation services</t>
        </is>
      </c>
      <c r="D194" t="n">
        <v>6179.4</v>
      </c>
      <c r="E194">
        <f>IFERROR(VLOOKUP(B194,Crosswalk!$A$2:$C$125,3,FALSE),"Unmapped")</f>
        <v/>
      </c>
    </row>
    <row r="195">
      <c r="A195" t="n">
        <v>2010</v>
      </c>
      <c r="B195" t="inlineStr">
        <is>
          <t>BS5A000</t>
        </is>
      </c>
      <c r="C195" t="inlineStr">
        <is>
          <t>Other finance, insurance and real estate services and management of companies and enterprises</t>
        </is>
      </c>
      <c r="D195" t="n">
        <v>111152.4</v>
      </c>
      <c r="E195">
        <f>IFERROR(VLOOKUP(B195,Crosswalk!$A$2:$C$125,3,FALSE),"Unmapped")</f>
        <v/>
      </c>
    </row>
    <row r="196">
      <c r="A196" t="n">
        <v>2010</v>
      </c>
      <c r="B196" t="inlineStr">
        <is>
          <t>BS61000</t>
        </is>
      </c>
      <c r="C196" t="inlineStr">
        <is>
          <t>Educational services</t>
        </is>
      </c>
      <c r="D196" t="n">
        <v>4911.2</v>
      </c>
      <c r="E196">
        <f>IFERROR(VLOOKUP(B196,Crosswalk!$A$2:$C$125,3,FALSE),"Unmapped")</f>
        <v/>
      </c>
    </row>
    <row r="197">
      <c r="A197" t="n">
        <v>2010</v>
      </c>
      <c r="B197" t="inlineStr">
        <is>
          <t>BS62000</t>
        </is>
      </c>
      <c r="C197" t="inlineStr">
        <is>
          <t>Health care and social assistance</t>
        </is>
      </c>
      <c r="D197" t="n">
        <v>58485.7</v>
      </c>
      <c r="E197">
        <f>IFERROR(VLOOKUP(B197,Crosswalk!$A$2:$C$125,3,FALSE),"Unmapped")</f>
        <v/>
      </c>
    </row>
    <row r="198">
      <c r="A198" t="n">
        <v>2010</v>
      </c>
      <c r="B198" t="inlineStr">
        <is>
          <t>BS71000</t>
        </is>
      </c>
      <c r="C198" t="inlineStr">
        <is>
          <t>Arts, entertainment and recreation</t>
        </is>
      </c>
      <c r="D198" t="n">
        <v>21307.8</v>
      </c>
      <c r="E198">
        <f>IFERROR(VLOOKUP(B198,Crosswalk!$A$2:$C$125,3,FALSE),"Unmapped")</f>
        <v/>
      </c>
    </row>
    <row r="199">
      <c r="A199" t="n">
        <v>2010</v>
      </c>
      <c r="B199" t="inlineStr">
        <is>
          <t>BS72000</t>
        </is>
      </c>
      <c r="C199" t="inlineStr">
        <is>
          <t>Accommodation and food services</t>
        </is>
      </c>
      <c r="D199" t="n">
        <v>67128.8</v>
      </c>
      <c r="E199">
        <f>IFERROR(VLOOKUP(B199,Crosswalk!$A$2:$C$125,3,FALSE),"Unmapped")</f>
        <v/>
      </c>
    </row>
    <row r="200">
      <c r="A200" t="n">
        <v>2010</v>
      </c>
      <c r="B200" t="inlineStr">
        <is>
          <t>BS81100</t>
        </is>
      </c>
      <c r="C200" t="inlineStr">
        <is>
          <t>Repair and maintenance</t>
        </is>
      </c>
      <c r="D200" t="n">
        <v>18979.1</v>
      </c>
      <c r="E200">
        <f>IFERROR(VLOOKUP(B200,Crosswalk!$A$2:$C$125,3,FALSE),"Unmapped")</f>
        <v/>
      </c>
    </row>
    <row r="201">
      <c r="A201" t="n">
        <v>2010</v>
      </c>
      <c r="B201" t="inlineStr">
        <is>
          <t>BS81300</t>
        </is>
      </c>
      <c r="C201" t="inlineStr">
        <is>
          <t>Business, professional and other membership organizations</t>
        </is>
      </c>
      <c r="D201" t="n">
        <v>3499.5</v>
      </c>
      <c r="E201">
        <f>IFERROR(VLOOKUP(B201,Crosswalk!$A$2:$C$125,3,FALSE),"Unmapped")</f>
        <v/>
      </c>
    </row>
    <row r="202">
      <c r="A202" t="n">
        <v>2010</v>
      </c>
      <c r="B202" t="inlineStr">
        <is>
          <t>BS81A00</t>
        </is>
      </c>
      <c r="C202" t="inlineStr">
        <is>
          <t>Personal services and private households</t>
        </is>
      </c>
      <c r="D202" t="n">
        <v>16274.8</v>
      </c>
      <c r="E202">
        <f>IFERROR(VLOOKUP(B202,Crosswalk!$A$2:$C$125,3,FALSE),"Unmapped")</f>
        <v/>
      </c>
    </row>
    <row r="203">
      <c r="A203" t="n">
        <v>2010</v>
      </c>
      <c r="B203" t="inlineStr">
        <is>
          <t>GS61130</t>
        </is>
      </c>
      <c r="C203" t="inlineStr">
        <is>
          <t>Universities</t>
        </is>
      </c>
      <c r="D203" t="n">
        <v>34363.1</v>
      </c>
      <c r="E203">
        <f>IFERROR(VLOOKUP(B203,Crosswalk!$A$2:$C$125,3,FALSE),"Unmapped")</f>
        <v/>
      </c>
    </row>
    <row r="204">
      <c r="A204" t="n">
        <v>2010</v>
      </c>
      <c r="B204" t="inlineStr">
        <is>
          <t>GS611B0</t>
        </is>
      </c>
      <c r="C204" t="inlineStr">
        <is>
          <t>Educational services (except universities)</t>
        </is>
      </c>
      <c r="D204" t="n">
        <v>61190.4</v>
      </c>
      <c r="E204">
        <f>IFERROR(VLOOKUP(B204,Crosswalk!$A$2:$C$125,3,FALSE),"Unmapped")</f>
        <v/>
      </c>
    </row>
    <row r="205">
      <c r="A205" t="n">
        <v>2010</v>
      </c>
      <c r="B205" t="inlineStr">
        <is>
          <t>GS62300</t>
        </is>
      </c>
      <c r="C205" t="inlineStr">
        <is>
          <t>Nursing and residential care facilities</t>
        </is>
      </c>
      <c r="D205" t="n">
        <v>12571.3</v>
      </c>
      <c r="E205">
        <f>IFERROR(VLOOKUP(B205,Crosswalk!$A$2:$C$125,3,FALSE),"Unmapped")</f>
        <v/>
      </c>
    </row>
    <row r="206">
      <c r="A206" t="n">
        <v>2010</v>
      </c>
      <c r="B206" t="inlineStr">
        <is>
          <t>GS62B00</t>
        </is>
      </c>
      <c r="C206" t="inlineStr">
        <is>
          <t>Health care and social assistance (except nursing and residential care facilities)</t>
        </is>
      </c>
      <c r="D206" t="n">
        <v>75964</v>
      </c>
      <c r="E206">
        <f>IFERROR(VLOOKUP(B206,Crosswalk!$A$2:$C$125,3,FALSE),"Unmapped")</f>
        <v/>
      </c>
    </row>
    <row r="207">
      <c r="A207" t="n">
        <v>2010</v>
      </c>
      <c r="B207" t="inlineStr">
        <is>
          <t>GS91100</t>
        </is>
      </c>
      <c r="C207" t="inlineStr">
        <is>
          <t>Other federal government services</t>
        </is>
      </c>
      <c r="D207" t="n">
        <v>70569.7</v>
      </c>
      <c r="E207">
        <f>IFERROR(VLOOKUP(B207,Crosswalk!$A$2:$C$125,3,FALSE),"Unmapped")</f>
        <v/>
      </c>
    </row>
    <row r="208">
      <c r="A208" t="n">
        <v>2010</v>
      </c>
      <c r="B208" t="inlineStr">
        <is>
          <t>GS91200</t>
        </is>
      </c>
      <c r="C208" t="inlineStr">
        <is>
          <t>Other provincial and territorial government services</t>
        </is>
      </c>
      <c r="D208" t="n">
        <v>105770.9</v>
      </c>
      <c r="E208">
        <f>IFERROR(VLOOKUP(B208,Crosswalk!$A$2:$C$125,3,FALSE),"Unmapped")</f>
        <v/>
      </c>
    </row>
    <row r="209">
      <c r="A209" t="n">
        <v>2010</v>
      </c>
      <c r="B209" t="inlineStr">
        <is>
          <t>GS91300</t>
        </is>
      </c>
      <c r="C209" t="inlineStr">
        <is>
          <t>Other municipal government services</t>
        </is>
      </c>
      <c r="D209" t="n">
        <v>66678</v>
      </c>
      <c r="E209">
        <f>IFERROR(VLOOKUP(B209,Crosswalk!$A$2:$C$125,3,FALSE),"Unmapped")</f>
        <v/>
      </c>
    </row>
    <row r="210">
      <c r="A210" t="n">
        <v>2010</v>
      </c>
      <c r="B210" t="inlineStr">
        <is>
          <t>GS91400</t>
        </is>
      </c>
      <c r="C210" t="inlineStr">
        <is>
          <t>Other Indigenous government services</t>
        </is>
      </c>
      <c r="D210" t="n">
        <v>6844.7</v>
      </c>
      <c r="E210">
        <f>IFERROR(VLOOKUP(B210,Crosswalk!$A$2:$C$125,3,FALSE),"Unmapped")</f>
        <v/>
      </c>
    </row>
    <row r="211">
      <c r="A211" t="n">
        <v>2010</v>
      </c>
      <c r="B211" t="inlineStr">
        <is>
          <t>NP61000</t>
        </is>
      </c>
      <c r="C211" t="inlineStr">
        <is>
          <t>Educational services</t>
        </is>
      </c>
      <c r="D211" t="n">
        <v>4242.5</v>
      </c>
      <c r="E211">
        <f>IFERROR(VLOOKUP(B211,Crosswalk!$A$2:$C$125,3,FALSE),"Unmapped")</f>
        <v/>
      </c>
    </row>
    <row r="212">
      <c r="A212" t="n">
        <v>2010</v>
      </c>
      <c r="B212" t="inlineStr">
        <is>
          <t>NP62400</t>
        </is>
      </c>
      <c r="C212" t="inlineStr">
        <is>
          <t>Social assistance</t>
        </is>
      </c>
      <c r="D212" t="n">
        <v>7863.4</v>
      </c>
      <c r="E212">
        <f>IFERROR(VLOOKUP(B212,Crosswalk!$A$2:$C$125,3,FALSE),"Unmapped")</f>
        <v/>
      </c>
    </row>
    <row r="213">
      <c r="A213" t="n">
        <v>2010</v>
      </c>
      <c r="B213" t="inlineStr">
        <is>
          <t>NP71000</t>
        </is>
      </c>
      <c r="C213" t="inlineStr">
        <is>
          <t>Arts, entertainment and recreation</t>
        </is>
      </c>
      <c r="D213" t="n">
        <v>1810</v>
      </c>
      <c r="E213">
        <f>IFERROR(VLOOKUP(B213,Crosswalk!$A$2:$C$125,3,FALSE),"Unmapped")</f>
        <v/>
      </c>
    </row>
    <row r="214">
      <c r="A214" t="n">
        <v>2010</v>
      </c>
      <c r="B214" t="inlineStr">
        <is>
          <t>NP81310</t>
        </is>
      </c>
      <c r="C214" t="inlineStr">
        <is>
          <t>Religious organizations</t>
        </is>
      </c>
      <c r="D214" t="n">
        <v>5223.2</v>
      </c>
      <c r="E214">
        <f>IFERROR(VLOOKUP(B214,Crosswalk!$A$2:$C$125,3,FALSE),"Unmapped")</f>
        <v/>
      </c>
    </row>
    <row r="215">
      <c r="A215" t="n">
        <v>2010</v>
      </c>
      <c r="B215" t="inlineStr">
        <is>
          <t>NPA0000</t>
        </is>
      </c>
      <c r="C215" t="inlineStr">
        <is>
          <t>Miscellaneous non-profit institutions serving households</t>
        </is>
      </c>
      <c r="D215" t="n">
        <v>17591.8</v>
      </c>
      <c r="E215">
        <f>IFERROR(VLOOKUP(B215,Crosswalk!$A$2:$C$125,3,FALSE),"Unmapped")</f>
        <v/>
      </c>
    </row>
    <row r="216">
      <c r="A216" t="n">
        <v>2011</v>
      </c>
      <c r="B216" t="inlineStr">
        <is>
          <t>BS111CL</t>
        </is>
      </c>
      <c r="C216" t="inlineStr">
        <is>
          <t>Cannabis production (licensed)</t>
        </is>
      </c>
      <c r="D216" t="n">
        <v>8.5</v>
      </c>
      <c r="E216">
        <f>IFERROR(VLOOKUP(B216,Crosswalk!$A$2:$C$125,3,FALSE),"Unmapped")</f>
        <v/>
      </c>
    </row>
    <row r="217">
      <c r="A217" t="n">
        <v>2011</v>
      </c>
      <c r="B217" t="inlineStr">
        <is>
          <t>BS111CU</t>
        </is>
      </c>
      <c r="C217" t="inlineStr">
        <is>
          <t>Cannabis production (unlicensed)</t>
        </is>
      </c>
      <c r="D217" t="n">
        <v>4292.8</v>
      </c>
      <c r="E217">
        <f>IFERROR(VLOOKUP(B217,Crosswalk!$A$2:$C$125,3,FALSE),"Unmapped")</f>
        <v/>
      </c>
    </row>
    <row r="218">
      <c r="A218" t="n">
        <v>2011</v>
      </c>
      <c r="B218" t="inlineStr">
        <is>
          <t>BS11300</t>
        </is>
      </c>
      <c r="C218" t="inlineStr">
        <is>
          <t>Forestry and logging</t>
        </is>
      </c>
      <c r="D218" t="n">
        <v>10501.5</v>
      </c>
      <c r="E218">
        <f>IFERROR(VLOOKUP(B218,Crosswalk!$A$2:$C$125,3,FALSE),"Unmapped")</f>
        <v/>
      </c>
    </row>
    <row r="219">
      <c r="A219" t="n">
        <v>2011</v>
      </c>
      <c r="B219" t="inlineStr">
        <is>
          <t>BS11400</t>
        </is>
      </c>
      <c r="C219" t="inlineStr">
        <is>
          <t>Fishing, hunting and trapping</t>
        </is>
      </c>
      <c r="D219" t="n">
        <v>2186.3</v>
      </c>
      <c r="E219">
        <f>IFERROR(VLOOKUP(B219,Crosswalk!$A$2:$C$125,3,FALSE),"Unmapped")</f>
        <v/>
      </c>
    </row>
    <row r="220">
      <c r="A220" t="n">
        <v>2011</v>
      </c>
      <c r="B220" t="inlineStr">
        <is>
          <t>BS11500</t>
        </is>
      </c>
      <c r="C220" t="inlineStr">
        <is>
          <t>Support activities for agriculture and forestry</t>
        </is>
      </c>
      <c r="D220" t="n">
        <v>2681.1</v>
      </c>
      <c r="E220">
        <f>IFERROR(VLOOKUP(B220,Crosswalk!$A$2:$C$125,3,FALSE),"Unmapped")</f>
        <v/>
      </c>
    </row>
    <row r="221">
      <c r="A221" t="n">
        <v>2011</v>
      </c>
      <c r="B221" t="inlineStr">
        <is>
          <t>BS11B00</t>
        </is>
      </c>
      <c r="C221" t="inlineStr">
        <is>
          <t>Crop and animal production (except cannabis)</t>
        </is>
      </c>
      <c r="D221" t="n">
        <v>56496.2</v>
      </c>
      <c r="E221">
        <f>IFERROR(VLOOKUP(B221,Crosswalk!$A$2:$C$125,3,FALSE),"Unmapped")</f>
        <v/>
      </c>
    </row>
    <row r="222">
      <c r="A222" t="n">
        <v>2011</v>
      </c>
      <c r="B222" t="inlineStr">
        <is>
          <t>BS21100</t>
        </is>
      </c>
      <c r="C222" t="inlineStr">
        <is>
          <t>Oil and gas extraction</t>
        </is>
      </c>
      <c r="D222" t="n">
        <v>134008.6</v>
      </c>
      <c r="E222">
        <f>IFERROR(VLOOKUP(B222,Crosswalk!$A$2:$C$125,3,FALSE),"Unmapped")</f>
        <v/>
      </c>
    </row>
    <row r="223">
      <c r="A223" t="n">
        <v>2011</v>
      </c>
      <c r="B223" t="inlineStr">
        <is>
          <t>BS21210</t>
        </is>
      </c>
      <c r="C223" t="inlineStr">
        <is>
          <t>Coal mining</t>
        </is>
      </c>
      <c r="D223" t="n">
        <v>7615.9</v>
      </c>
      <c r="E223">
        <f>IFERROR(VLOOKUP(B223,Crosswalk!$A$2:$C$125,3,FALSE),"Unmapped")</f>
        <v/>
      </c>
    </row>
    <row r="224">
      <c r="A224" t="n">
        <v>2011</v>
      </c>
      <c r="B224" t="inlineStr">
        <is>
          <t>BS21220</t>
        </is>
      </c>
      <c r="C224" t="inlineStr">
        <is>
          <t>Metal ore mining</t>
        </is>
      </c>
      <c r="D224" t="n">
        <v>23928</v>
      </c>
      <c r="E224">
        <f>IFERROR(VLOOKUP(B224,Crosswalk!$A$2:$C$125,3,FALSE),"Unmapped")</f>
        <v/>
      </c>
    </row>
    <row r="225">
      <c r="A225" t="n">
        <v>2011</v>
      </c>
      <c r="B225" t="inlineStr">
        <is>
          <t>BS21230</t>
        </is>
      </c>
      <c r="C225" t="inlineStr">
        <is>
          <t>Non-metallic mineral mining and quarrying</t>
        </is>
      </c>
      <c r="D225" t="n">
        <v>15654.1</v>
      </c>
      <c r="E225">
        <f>IFERROR(VLOOKUP(B225,Crosswalk!$A$2:$C$125,3,FALSE),"Unmapped")</f>
        <v/>
      </c>
    </row>
    <row r="226">
      <c r="A226" t="n">
        <v>2011</v>
      </c>
      <c r="B226" t="inlineStr">
        <is>
          <t>BS21300</t>
        </is>
      </c>
      <c r="C226" t="inlineStr">
        <is>
          <t>Support activities for mining, and oil and gas extraction</t>
        </is>
      </c>
      <c r="D226" t="n">
        <v>28936.1</v>
      </c>
      <c r="E226">
        <f>IFERROR(VLOOKUP(B226,Crosswalk!$A$2:$C$125,3,FALSE),"Unmapped")</f>
        <v/>
      </c>
    </row>
    <row r="227">
      <c r="A227" t="n">
        <v>2011</v>
      </c>
      <c r="B227" t="inlineStr">
        <is>
          <t>BS22110</t>
        </is>
      </c>
      <c r="C227" t="inlineStr">
        <is>
          <t>Electric power generation, transmission and distribution</t>
        </is>
      </c>
      <c r="D227" t="n">
        <v>40556.4</v>
      </c>
      <c r="E227">
        <f>IFERROR(VLOOKUP(B227,Crosswalk!$A$2:$C$125,3,FALSE),"Unmapped")</f>
        <v/>
      </c>
    </row>
    <row r="228">
      <c r="A228" t="n">
        <v>2011</v>
      </c>
      <c r="B228" t="inlineStr">
        <is>
          <t>BS221A0</t>
        </is>
      </c>
      <c r="C228" t="inlineStr">
        <is>
          <t>Natural gas distribution, water, sewage and other systems</t>
        </is>
      </c>
      <c r="D228" t="n">
        <v>6300.6</v>
      </c>
      <c r="E228">
        <f>IFERROR(VLOOKUP(B228,Crosswalk!$A$2:$C$125,3,FALSE),"Unmapped")</f>
        <v/>
      </c>
    </row>
    <row r="229">
      <c r="A229" t="n">
        <v>2011</v>
      </c>
      <c r="B229" t="inlineStr">
        <is>
          <t>BS23A00</t>
        </is>
      </c>
      <c r="C229" t="inlineStr">
        <is>
          <t>Residential building construction</t>
        </is>
      </c>
      <c r="D229" t="n">
        <v>88944</v>
      </c>
      <c r="E229">
        <f>IFERROR(VLOOKUP(B229,Crosswalk!$A$2:$C$125,3,FALSE),"Unmapped")</f>
        <v/>
      </c>
    </row>
    <row r="230">
      <c r="A230" t="n">
        <v>2011</v>
      </c>
      <c r="B230" t="inlineStr">
        <is>
          <t>BS23B00</t>
        </is>
      </c>
      <c r="C230" t="inlineStr">
        <is>
          <t>Non-residential building construction</t>
        </is>
      </c>
      <c r="D230" t="n">
        <v>45383.5</v>
      </c>
      <c r="E230">
        <f>IFERROR(VLOOKUP(B230,Crosswalk!$A$2:$C$125,3,FALSE),"Unmapped")</f>
        <v/>
      </c>
    </row>
    <row r="231">
      <c r="A231" t="n">
        <v>2011</v>
      </c>
      <c r="B231" t="inlineStr">
        <is>
          <t>BS23C10</t>
        </is>
      </c>
      <c r="C231" t="inlineStr">
        <is>
          <t>Transportation engineering construction</t>
        </is>
      </c>
      <c r="D231" t="n">
        <v>21856.4</v>
      </c>
      <c r="E231">
        <f>IFERROR(VLOOKUP(B231,Crosswalk!$A$2:$C$125,3,FALSE),"Unmapped")</f>
        <v/>
      </c>
    </row>
    <row r="232">
      <c r="A232" t="n">
        <v>2011</v>
      </c>
      <c r="B232" t="inlineStr">
        <is>
          <t>BS23C20</t>
        </is>
      </c>
      <c r="C232" t="inlineStr">
        <is>
          <t>Oil and gas engineering construction</t>
        </is>
      </c>
      <c r="D232" t="n">
        <v>51393.2</v>
      </c>
      <c r="E232">
        <f>IFERROR(VLOOKUP(B232,Crosswalk!$A$2:$C$125,3,FALSE),"Unmapped")</f>
        <v/>
      </c>
    </row>
    <row r="233">
      <c r="A233" t="n">
        <v>2011</v>
      </c>
      <c r="B233" t="inlineStr">
        <is>
          <t>BS23C30</t>
        </is>
      </c>
      <c r="C233" t="inlineStr">
        <is>
          <t>Electric power engineering construction</t>
        </is>
      </c>
      <c r="D233" t="n">
        <v>14397.2</v>
      </c>
      <c r="E233">
        <f>IFERROR(VLOOKUP(B233,Crosswalk!$A$2:$C$125,3,FALSE),"Unmapped")</f>
        <v/>
      </c>
    </row>
    <row r="234">
      <c r="A234" t="n">
        <v>2011</v>
      </c>
      <c r="B234" t="inlineStr">
        <is>
          <t>BS23C40</t>
        </is>
      </c>
      <c r="C234" t="inlineStr">
        <is>
          <t>Communication engineering construction</t>
        </is>
      </c>
      <c r="D234" t="n">
        <v>2515.9</v>
      </c>
      <c r="E234">
        <f>IFERROR(VLOOKUP(B234,Crosswalk!$A$2:$C$125,3,FALSE),"Unmapped")</f>
        <v/>
      </c>
    </row>
    <row r="235">
      <c r="A235" t="n">
        <v>2011</v>
      </c>
      <c r="B235" t="inlineStr">
        <is>
          <t>BS23C50</t>
        </is>
      </c>
      <c r="C235" t="inlineStr">
        <is>
          <t>Other engineering construction</t>
        </is>
      </c>
      <c r="D235" t="n">
        <v>20357.1</v>
      </c>
      <c r="E235">
        <f>IFERROR(VLOOKUP(B235,Crosswalk!$A$2:$C$125,3,FALSE),"Unmapped")</f>
        <v/>
      </c>
    </row>
    <row r="236">
      <c r="A236" t="n">
        <v>2011</v>
      </c>
      <c r="B236" t="inlineStr">
        <is>
          <t>BS23D00</t>
        </is>
      </c>
      <c r="C236" t="inlineStr">
        <is>
          <t>Repair construction</t>
        </is>
      </c>
      <c r="D236" t="n">
        <v>34211.3</v>
      </c>
      <c r="E236">
        <f>IFERROR(VLOOKUP(B236,Crosswalk!$A$2:$C$125,3,FALSE),"Unmapped")</f>
        <v/>
      </c>
    </row>
    <row r="237">
      <c r="A237" t="n">
        <v>2011</v>
      </c>
      <c r="B237" t="inlineStr">
        <is>
          <t>BS23E00</t>
        </is>
      </c>
      <c r="C237" t="inlineStr">
        <is>
          <t>Other activities of the construction industry</t>
        </is>
      </c>
      <c r="D237" t="n">
        <v>3282.7</v>
      </c>
      <c r="E237">
        <f>IFERROR(VLOOKUP(B237,Crosswalk!$A$2:$C$125,3,FALSE),"Unmapped")</f>
        <v/>
      </c>
    </row>
    <row r="238">
      <c r="A238" t="n">
        <v>2011</v>
      </c>
      <c r="B238" t="inlineStr">
        <is>
          <t>BS31110</t>
        </is>
      </c>
      <c r="C238" t="inlineStr">
        <is>
          <t>Animal food manufacturing</t>
        </is>
      </c>
      <c r="D238" t="n">
        <v>6429.9</v>
      </c>
      <c r="E238">
        <f>IFERROR(VLOOKUP(B238,Crosswalk!$A$2:$C$125,3,FALSE),"Unmapped")</f>
        <v/>
      </c>
    </row>
    <row r="239">
      <c r="A239" t="n">
        <v>2011</v>
      </c>
      <c r="B239" t="inlineStr">
        <is>
          <t>BS31130</t>
        </is>
      </c>
      <c r="C239" t="inlineStr">
        <is>
          <t>Sugar and confectionery product manufacturing</t>
        </is>
      </c>
      <c r="D239" t="n">
        <v>4488</v>
      </c>
      <c r="E239">
        <f>IFERROR(VLOOKUP(B239,Crosswalk!$A$2:$C$125,3,FALSE),"Unmapped")</f>
        <v/>
      </c>
    </row>
    <row r="240">
      <c r="A240" t="n">
        <v>2011</v>
      </c>
      <c r="B240" t="inlineStr">
        <is>
          <t>BS31140</t>
        </is>
      </c>
      <c r="C240" t="inlineStr">
        <is>
          <t>Fruit and vegetable preserving and specialty food manufacturing</t>
        </is>
      </c>
      <c r="D240" t="n">
        <v>6511.8</v>
      </c>
      <c r="E240">
        <f>IFERROR(VLOOKUP(B240,Crosswalk!$A$2:$C$125,3,FALSE),"Unmapped")</f>
        <v/>
      </c>
    </row>
    <row r="241">
      <c r="A241" t="n">
        <v>2011</v>
      </c>
      <c r="B241" t="inlineStr">
        <is>
          <t>BS31150</t>
        </is>
      </c>
      <c r="C241" t="inlineStr">
        <is>
          <t>Dairy product manufacturing</t>
        </is>
      </c>
      <c r="D241" t="n">
        <v>13731.3</v>
      </c>
      <c r="E241">
        <f>IFERROR(VLOOKUP(B241,Crosswalk!$A$2:$C$125,3,FALSE),"Unmapped")</f>
        <v/>
      </c>
    </row>
    <row r="242">
      <c r="A242" t="n">
        <v>2011</v>
      </c>
      <c r="B242" t="inlineStr">
        <is>
          <t>BS31160</t>
        </is>
      </c>
      <c r="C242" t="inlineStr">
        <is>
          <t>Meat product manufacturing</t>
        </is>
      </c>
      <c r="D242" t="n">
        <v>23508.9</v>
      </c>
      <c r="E242">
        <f>IFERROR(VLOOKUP(B242,Crosswalk!$A$2:$C$125,3,FALSE),"Unmapped")</f>
        <v/>
      </c>
    </row>
    <row r="243">
      <c r="A243" t="n">
        <v>2011</v>
      </c>
      <c r="B243" t="inlineStr">
        <is>
          <t>BS31170</t>
        </is>
      </c>
      <c r="C243" t="inlineStr">
        <is>
          <t>Seafood product preparation and packaging</t>
        </is>
      </c>
      <c r="D243" t="n">
        <v>4281.9</v>
      </c>
      <c r="E243">
        <f>IFERROR(VLOOKUP(B243,Crosswalk!$A$2:$C$125,3,FALSE),"Unmapped")</f>
        <v/>
      </c>
    </row>
    <row r="244">
      <c r="A244" t="n">
        <v>2011</v>
      </c>
      <c r="B244" t="inlineStr">
        <is>
          <t>BS311A0</t>
        </is>
      </c>
      <c r="C244" t="inlineStr">
        <is>
          <t>Miscellaneous food manufacturing</t>
        </is>
      </c>
      <c r="D244" t="n">
        <v>25219.7</v>
      </c>
      <c r="E244">
        <f>IFERROR(VLOOKUP(B244,Crosswalk!$A$2:$C$125,3,FALSE),"Unmapped")</f>
        <v/>
      </c>
    </row>
    <row r="245">
      <c r="A245" t="n">
        <v>2011</v>
      </c>
      <c r="B245" t="inlineStr">
        <is>
          <t>BS31211</t>
        </is>
      </c>
      <c r="C245" t="inlineStr">
        <is>
          <t>Soft drink and ice manufacturing</t>
        </is>
      </c>
      <c r="D245" t="n">
        <v>4285.9</v>
      </c>
      <c r="E245">
        <f>IFERROR(VLOOKUP(B245,Crosswalk!$A$2:$C$125,3,FALSE),"Unmapped")</f>
        <v/>
      </c>
    </row>
    <row r="246">
      <c r="A246" t="n">
        <v>2011</v>
      </c>
      <c r="B246" t="inlineStr">
        <is>
          <t>BS31212</t>
        </is>
      </c>
      <c r="C246" t="inlineStr">
        <is>
          <t>Breweries</t>
        </is>
      </c>
      <c r="D246" t="n">
        <v>5483.5</v>
      </c>
      <c r="E246">
        <f>IFERROR(VLOOKUP(B246,Crosswalk!$A$2:$C$125,3,FALSE),"Unmapped")</f>
        <v/>
      </c>
    </row>
    <row r="247">
      <c r="A247" t="n">
        <v>2011</v>
      </c>
      <c r="B247" t="inlineStr">
        <is>
          <t>BS3121A</t>
        </is>
      </c>
      <c r="C247" t="inlineStr">
        <is>
          <t>Wineries and distilleries</t>
        </is>
      </c>
      <c r="D247" t="n">
        <v>1973.3</v>
      </c>
      <c r="E247">
        <f>IFERROR(VLOOKUP(B247,Crosswalk!$A$2:$C$125,3,FALSE),"Unmapped")</f>
        <v/>
      </c>
    </row>
    <row r="248">
      <c r="A248" t="n">
        <v>2011</v>
      </c>
      <c r="B248" t="inlineStr">
        <is>
          <t>BS312A0</t>
        </is>
      </c>
      <c r="C248" t="inlineStr">
        <is>
          <t>Tobacco and cannabis product manufacturing</t>
        </is>
      </c>
      <c r="D248" t="n">
        <v>1631.6</v>
      </c>
      <c r="E248">
        <f>IFERROR(VLOOKUP(B248,Crosswalk!$A$2:$C$125,3,FALSE),"Unmapped")</f>
        <v/>
      </c>
    </row>
    <row r="249">
      <c r="A249" t="n">
        <v>2011</v>
      </c>
      <c r="B249" t="inlineStr">
        <is>
          <t>BS31A00</t>
        </is>
      </c>
      <c r="C249" t="inlineStr">
        <is>
          <t>Textile and textile product mills</t>
        </is>
      </c>
      <c r="D249" t="n">
        <v>3270.5</v>
      </c>
      <c r="E249">
        <f>IFERROR(VLOOKUP(B249,Crosswalk!$A$2:$C$125,3,FALSE),"Unmapped")</f>
        <v/>
      </c>
    </row>
    <row r="250">
      <c r="A250" t="n">
        <v>2011</v>
      </c>
      <c r="B250" t="inlineStr">
        <is>
          <t>BS31B00</t>
        </is>
      </c>
      <c r="C250" t="inlineStr">
        <is>
          <t>Clothing and leather and allied product manufacturing</t>
        </is>
      </c>
      <c r="D250" t="n">
        <v>3175.7</v>
      </c>
      <c r="E250">
        <f>IFERROR(VLOOKUP(B250,Crosswalk!$A$2:$C$125,3,FALSE),"Unmapped")</f>
        <v/>
      </c>
    </row>
    <row r="251">
      <c r="A251" t="n">
        <v>2011</v>
      </c>
      <c r="B251" t="inlineStr">
        <is>
          <t>BS32100</t>
        </is>
      </c>
      <c r="C251" t="inlineStr">
        <is>
          <t>Wood product manufacturing</t>
        </is>
      </c>
      <c r="D251" t="n">
        <v>20944.6</v>
      </c>
      <c r="E251">
        <f>IFERROR(VLOOKUP(B251,Crosswalk!$A$2:$C$125,3,FALSE),"Unmapped")</f>
        <v/>
      </c>
    </row>
    <row r="252">
      <c r="A252" t="n">
        <v>2011</v>
      </c>
      <c r="B252" t="inlineStr">
        <is>
          <t>BS32210</t>
        </is>
      </c>
      <c r="C252" t="inlineStr">
        <is>
          <t>Pulp, paper and paperboard mills</t>
        </is>
      </c>
      <c r="D252" t="n">
        <v>18029.7</v>
      </c>
      <c r="E252">
        <f>IFERROR(VLOOKUP(B252,Crosswalk!$A$2:$C$125,3,FALSE),"Unmapped")</f>
        <v/>
      </c>
    </row>
    <row r="253">
      <c r="A253" t="n">
        <v>2011</v>
      </c>
      <c r="B253" t="inlineStr">
        <is>
          <t>BS32220</t>
        </is>
      </c>
      <c r="C253" t="inlineStr">
        <is>
          <t>Converted paper product manufacturing</t>
        </is>
      </c>
      <c r="D253" t="n">
        <v>8715.700000000001</v>
      </c>
      <c r="E253">
        <f>IFERROR(VLOOKUP(B253,Crosswalk!$A$2:$C$125,3,FALSE),"Unmapped")</f>
        <v/>
      </c>
    </row>
    <row r="254">
      <c r="A254" t="n">
        <v>2011</v>
      </c>
      <c r="B254" t="inlineStr">
        <is>
          <t>BS32300</t>
        </is>
      </c>
      <c r="C254" t="inlineStr">
        <is>
          <t>Printing and related support activities</t>
        </is>
      </c>
      <c r="D254" t="n">
        <v>9434.700000000001</v>
      </c>
      <c r="E254">
        <f>IFERROR(VLOOKUP(B254,Crosswalk!$A$2:$C$125,3,FALSE),"Unmapped")</f>
        <v/>
      </c>
    </row>
    <row r="255">
      <c r="A255" t="n">
        <v>2011</v>
      </c>
      <c r="B255" t="inlineStr">
        <is>
          <t>BS32400</t>
        </is>
      </c>
      <c r="C255" t="inlineStr">
        <is>
          <t>Petroleum and coal product manufacturing</t>
        </is>
      </c>
      <c r="D255" t="n">
        <v>83124.89999999999</v>
      </c>
      <c r="E255">
        <f>IFERROR(VLOOKUP(B255,Crosswalk!$A$2:$C$125,3,FALSE),"Unmapped")</f>
        <v/>
      </c>
    </row>
    <row r="256">
      <c r="A256" t="n">
        <v>2011</v>
      </c>
      <c r="B256" t="inlineStr">
        <is>
          <t>BS32510</t>
        </is>
      </c>
      <c r="C256" t="inlineStr">
        <is>
          <t>Basic chemical manufacturing</t>
        </is>
      </c>
      <c r="D256" t="n">
        <v>17593.1</v>
      </c>
      <c r="E256">
        <f>IFERROR(VLOOKUP(B256,Crosswalk!$A$2:$C$125,3,FALSE),"Unmapped")</f>
        <v/>
      </c>
    </row>
    <row r="257">
      <c r="A257" t="n">
        <v>2011</v>
      </c>
      <c r="B257" t="inlineStr">
        <is>
          <t>BS32530</t>
        </is>
      </c>
      <c r="C257" t="inlineStr">
        <is>
          <t>Pesticide, fertilizer and other agricultural chemical manufacturing</t>
        </is>
      </c>
      <c r="D257" t="n">
        <v>5062</v>
      </c>
      <c r="E257">
        <f>IFERROR(VLOOKUP(B257,Crosswalk!$A$2:$C$125,3,FALSE),"Unmapped")</f>
        <v/>
      </c>
    </row>
    <row r="258">
      <c r="A258" t="n">
        <v>2011</v>
      </c>
      <c r="B258" t="inlineStr">
        <is>
          <t>BS32540</t>
        </is>
      </c>
      <c r="C258" t="inlineStr">
        <is>
          <t>Pharmaceutical and medicine manufacturing</t>
        </is>
      </c>
      <c r="D258" t="n">
        <v>10450.1</v>
      </c>
      <c r="E258">
        <f>IFERROR(VLOOKUP(B258,Crosswalk!$A$2:$C$125,3,FALSE),"Unmapped")</f>
        <v/>
      </c>
    </row>
    <row r="259">
      <c r="A259" t="n">
        <v>2011</v>
      </c>
      <c r="B259" t="inlineStr">
        <is>
          <t>BS325C0</t>
        </is>
      </c>
      <c r="C259" t="inlineStr">
        <is>
          <t>Miscellaneous chemical product manufacturing</t>
        </is>
      </c>
      <c r="D259" t="n">
        <v>19271.2</v>
      </c>
      <c r="E259">
        <f>IFERROR(VLOOKUP(B259,Crosswalk!$A$2:$C$125,3,FALSE),"Unmapped")</f>
        <v/>
      </c>
    </row>
    <row r="260">
      <c r="A260" t="n">
        <v>2011</v>
      </c>
      <c r="B260" t="inlineStr">
        <is>
          <t>BS32610</t>
        </is>
      </c>
      <c r="C260" t="inlineStr">
        <is>
          <t>Plastic product manufacturing</t>
        </is>
      </c>
      <c r="D260" t="n">
        <v>18962.6</v>
      </c>
      <c r="E260">
        <f>IFERROR(VLOOKUP(B260,Crosswalk!$A$2:$C$125,3,FALSE),"Unmapped")</f>
        <v/>
      </c>
    </row>
    <row r="261">
      <c r="A261" t="n">
        <v>2011</v>
      </c>
      <c r="B261" t="inlineStr">
        <is>
          <t>BS32620</t>
        </is>
      </c>
      <c r="C261" t="inlineStr">
        <is>
          <t>Rubber product manufacturing</t>
        </is>
      </c>
      <c r="D261" t="n">
        <v>5180</v>
      </c>
      <c r="E261">
        <f>IFERROR(VLOOKUP(B261,Crosswalk!$A$2:$C$125,3,FALSE),"Unmapped")</f>
        <v/>
      </c>
    </row>
    <row r="262">
      <c r="A262" t="n">
        <v>2011</v>
      </c>
      <c r="B262" t="inlineStr">
        <is>
          <t>BS32730</t>
        </is>
      </c>
      <c r="C262" t="inlineStr">
        <is>
          <t>Cement and concrete product manufacturing</t>
        </is>
      </c>
      <c r="D262" t="n">
        <v>9149.799999999999</v>
      </c>
      <c r="E262">
        <f>IFERROR(VLOOKUP(B262,Crosswalk!$A$2:$C$125,3,FALSE),"Unmapped")</f>
        <v/>
      </c>
    </row>
    <row r="263">
      <c r="A263" t="n">
        <v>2011</v>
      </c>
      <c r="B263" t="inlineStr">
        <is>
          <t>BS327A0</t>
        </is>
      </c>
      <c r="C263" t="inlineStr">
        <is>
          <t>Non-metallic mineral product manufacturing (except cement and concrete products)</t>
        </is>
      </c>
      <c r="D263" t="n">
        <v>5003.1</v>
      </c>
      <c r="E263">
        <f>IFERROR(VLOOKUP(B263,Crosswalk!$A$2:$C$125,3,FALSE),"Unmapped")</f>
        <v/>
      </c>
    </row>
    <row r="264">
      <c r="A264" t="n">
        <v>2011</v>
      </c>
      <c r="B264" t="inlineStr">
        <is>
          <t>BS33100</t>
        </is>
      </c>
      <c r="C264" t="inlineStr">
        <is>
          <t>Primary metal manufacturing</t>
        </is>
      </c>
      <c r="D264" t="n">
        <v>71419.39999999999</v>
      </c>
      <c r="E264">
        <f>IFERROR(VLOOKUP(B264,Crosswalk!$A$2:$C$125,3,FALSE),"Unmapped")</f>
        <v/>
      </c>
    </row>
    <row r="265">
      <c r="A265" t="n">
        <v>2011</v>
      </c>
      <c r="B265" t="inlineStr">
        <is>
          <t>BS33200</t>
        </is>
      </c>
      <c r="C265" t="inlineStr">
        <is>
          <t>Fabricated metal product manufacturing</t>
        </is>
      </c>
      <c r="D265" t="n">
        <v>33103.6</v>
      </c>
      <c r="E265">
        <f>IFERROR(VLOOKUP(B265,Crosswalk!$A$2:$C$125,3,FALSE),"Unmapped")</f>
        <v/>
      </c>
    </row>
    <row r="266">
      <c r="A266" t="n">
        <v>2011</v>
      </c>
      <c r="B266" t="inlineStr">
        <is>
          <t>BS33300</t>
        </is>
      </c>
      <c r="C266" t="inlineStr">
        <is>
          <t>Machinery manufacturing</t>
        </is>
      </c>
      <c r="D266" t="n">
        <v>35395.4</v>
      </c>
      <c r="E266">
        <f>IFERROR(VLOOKUP(B266,Crosswalk!$A$2:$C$125,3,FALSE),"Unmapped")</f>
        <v/>
      </c>
    </row>
    <row r="267">
      <c r="A267" t="n">
        <v>2011</v>
      </c>
      <c r="B267" t="inlineStr">
        <is>
          <t>BS33400</t>
        </is>
      </c>
      <c r="C267" t="inlineStr">
        <is>
          <t>Computer and electronic product manufacturing</t>
        </is>
      </c>
      <c r="D267" t="n">
        <v>16801.7</v>
      </c>
      <c r="E267">
        <f>IFERROR(VLOOKUP(B267,Crosswalk!$A$2:$C$125,3,FALSE),"Unmapped")</f>
        <v/>
      </c>
    </row>
    <row r="268">
      <c r="A268" t="n">
        <v>2011</v>
      </c>
      <c r="B268" t="inlineStr">
        <is>
          <t>BS33500</t>
        </is>
      </c>
      <c r="C268" t="inlineStr">
        <is>
          <t>Electrical equipment, appliance and component manufacturing</t>
        </is>
      </c>
      <c r="D268" t="n">
        <v>10727.9</v>
      </c>
      <c r="E268">
        <f>IFERROR(VLOOKUP(B268,Crosswalk!$A$2:$C$125,3,FALSE),"Unmapped")</f>
        <v/>
      </c>
    </row>
    <row r="269">
      <c r="A269" t="n">
        <v>2011</v>
      </c>
      <c r="B269" t="inlineStr">
        <is>
          <t>BS33610</t>
        </is>
      </c>
      <c r="C269" t="inlineStr">
        <is>
          <t>Motor vehicle manufacturing</t>
        </is>
      </c>
      <c r="D269" t="n">
        <v>47095.6</v>
      </c>
      <c r="E269">
        <f>IFERROR(VLOOKUP(B269,Crosswalk!$A$2:$C$125,3,FALSE),"Unmapped")</f>
        <v/>
      </c>
    </row>
    <row r="270">
      <c r="A270" t="n">
        <v>2011</v>
      </c>
      <c r="B270" t="inlineStr">
        <is>
          <t>BS33620</t>
        </is>
      </c>
      <c r="C270" t="inlineStr">
        <is>
          <t>Motor vehicle body and trailer manufacturing</t>
        </is>
      </c>
      <c r="D270" t="n">
        <v>2385.3</v>
      </c>
      <c r="E270">
        <f>IFERROR(VLOOKUP(B270,Crosswalk!$A$2:$C$125,3,FALSE),"Unmapped")</f>
        <v/>
      </c>
    </row>
    <row r="271">
      <c r="A271" t="n">
        <v>2011</v>
      </c>
      <c r="B271" t="inlineStr">
        <is>
          <t>BS33630</t>
        </is>
      </c>
      <c r="C271" t="inlineStr">
        <is>
          <t>Motor vehicle parts manufacturing</t>
        </is>
      </c>
      <c r="D271" t="n">
        <v>21966.6</v>
      </c>
      <c r="E271">
        <f>IFERROR(VLOOKUP(B271,Crosswalk!$A$2:$C$125,3,FALSE),"Unmapped")</f>
        <v/>
      </c>
    </row>
    <row r="272">
      <c r="A272" t="n">
        <v>2011</v>
      </c>
      <c r="B272" t="inlineStr">
        <is>
          <t>BS33640</t>
        </is>
      </c>
      <c r="C272" t="inlineStr">
        <is>
          <t>Aerospace product and parts manufacturing</t>
        </is>
      </c>
      <c r="D272" t="n">
        <v>16692.6</v>
      </c>
      <c r="E272">
        <f>IFERROR(VLOOKUP(B272,Crosswalk!$A$2:$C$125,3,FALSE),"Unmapped")</f>
        <v/>
      </c>
    </row>
    <row r="273">
      <c r="A273" t="n">
        <v>2011</v>
      </c>
      <c r="B273" t="inlineStr">
        <is>
          <t>BS33650</t>
        </is>
      </c>
      <c r="C273" t="inlineStr">
        <is>
          <t>Railroad rolling stock manufacturing</t>
        </is>
      </c>
      <c r="D273" t="n">
        <v>1760.6</v>
      </c>
      <c r="E273">
        <f>IFERROR(VLOOKUP(B273,Crosswalk!$A$2:$C$125,3,FALSE),"Unmapped")</f>
        <v/>
      </c>
    </row>
    <row r="274">
      <c r="A274" t="n">
        <v>2011</v>
      </c>
      <c r="B274" t="inlineStr">
        <is>
          <t>BS33660</t>
        </is>
      </c>
      <c r="C274" t="inlineStr">
        <is>
          <t>Ship and boat building</t>
        </is>
      </c>
      <c r="D274" t="n">
        <v>1138.3</v>
      </c>
      <c r="E274">
        <f>IFERROR(VLOOKUP(B274,Crosswalk!$A$2:$C$125,3,FALSE),"Unmapped")</f>
        <v/>
      </c>
    </row>
    <row r="275">
      <c r="A275" t="n">
        <v>2011</v>
      </c>
      <c r="B275" t="inlineStr">
        <is>
          <t>BS33690</t>
        </is>
      </c>
      <c r="C275" t="inlineStr">
        <is>
          <t>Other transportation equipment manufacturing</t>
        </is>
      </c>
      <c r="D275" t="n">
        <v>4311.6</v>
      </c>
      <c r="E275">
        <f>IFERROR(VLOOKUP(B275,Crosswalk!$A$2:$C$125,3,FALSE),"Unmapped")</f>
        <v/>
      </c>
    </row>
    <row r="276">
      <c r="A276" t="n">
        <v>2011</v>
      </c>
      <c r="B276" t="inlineStr">
        <is>
          <t>BS33700</t>
        </is>
      </c>
      <c r="C276" t="inlineStr">
        <is>
          <t>Furniture and related product manufacturing</t>
        </is>
      </c>
      <c r="D276" t="n">
        <v>10383.2</v>
      </c>
      <c r="E276">
        <f>IFERROR(VLOOKUP(B276,Crosswalk!$A$2:$C$125,3,FALSE),"Unmapped")</f>
        <v/>
      </c>
    </row>
    <row r="277">
      <c r="A277" t="n">
        <v>2011</v>
      </c>
      <c r="B277" t="inlineStr">
        <is>
          <t>BS33900</t>
        </is>
      </c>
      <c r="C277" t="inlineStr">
        <is>
          <t>Miscellaneous manufacturing</t>
        </is>
      </c>
      <c r="D277" t="n">
        <v>13369.7</v>
      </c>
      <c r="E277">
        <f>IFERROR(VLOOKUP(B277,Crosswalk!$A$2:$C$125,3,FALSE),"Unmapped")</f>
        <v/>
      </c>
    </row>
    <row r="278">
      <c r="A278" t="n">
        <v>2011</v>
      </c>
      <c r="B278" t="inlineStr">
        <is>
          <t>BS41000</t>
        </is>
      </c>
      <c r="C278" t="inlineStr">
        <is>
          <t>Wholesale trade</t>
        </is>
      </c>
      <c r="D278" t="n">
        <v>140568.6</v>
      </c>
      <c r="E278">
        <f>IFERROR(VLOOKUP(B278,Crosswalk!$A$2:$C$125,3,FALSE),"Unmapped")</f>
        <v/>
      </c>
    </row>
    <row r="279">
      <c r="A279" t="n">
        <v>2011</v>
      </c>
      <c r="B279" t="inlineStr">
        <is>
          <t>BS459BU</t>
        </is>
      </c>
      <c r="C279" t="inlineStr">
        <is>
          <t>Cannabis retailers (unlicensed)</t>
        </is>
      </c>
      <c r="D279" t="n">
        <v>1545.3</v>
      </c>
      <c r="E279">
        <f>IFERROR(VLOOKUP(B279,Crosswalk!$A$2:$C$125,3,FALSE),"Unmapped")</f>
        <v/>
      </c>
    </row>
    <row r="280">
      <c r="A280" t="n">
        <v>2011</v>
      </c>
      <c r="B280" t="inlineStr">
        <is>
          <t>BS48100</t>
        </is>
      </c>
      <c r="C280" t="inlineStr">
        <is>
          <t>Air transportation</t>
        </is>
      </c>
      <c r="D280" t="n">
        <v>19351.6</v>
      </c>
      <c r="E280">
        <f>IFERROR(VLOOKUP(B280,Crosswalk!$A$2:$C$125,3,FALSE),"Unmapped")</f>
        <v/>
      </c>
    </row>
    <row r="281">
      <c r="A281" t="n">
        <v>2011</v>
      </c>
      <c r="B281" t="inlineStr">
        <is>
          <t>BS48200</t>
        </is>
      </c>
      <c r="C281" t="inlineStr">
        <is>
          <t>Rail transportation</t>
        </is>
      </c>
      <c r="D281" t="n">
        <v>11067.1</v>
      </c>
      <c r="E281">
        <f>IFERROR(VLOOKUP(B281,Crosswalk!$A$2:$C$125,3,FALSE),"Unmapped")</f>
        <v/>
      </c>
    </row>
    <row r="282">
      <c r="A282" t="n">
        <v>2011</v>
      </c>
      <c r="B282" t="inlineStr">
        <is>
          <t>BS48300</t>
        </is>
      </c>
      <c r="C282" t="inlineStr">
        <is>
          <t>Water transportation</t>
        </is>
      </c>
      <c r="D282" t="n">
        <v>4737.1</v>
      </c>
      <c r="E282">
        <f>IFERROR(VLOOKUP(B282,Crosswalk!$A$2:$C$125,3,FALSE),"Unmapped")</f>
        <v/>
      </c>
    </row>
    <row r="283">
      <c r="A283" t="n">
        <v>2011</v>
      </c>
      <c r="B283" t="inlineStr">
        <is>
          <t>BS48400</t>
        </is>
      </c>
      <c r="C283" t="inlineStr">
        <is>
          <t>Truck transportation</t>
        </is>
      </c>
      <c r="D283" t="n">
        <v>43384.4</v>
      </c>
      <c r="E283">
        <f>IFERROR(VLOOKUP(B283,Crosswalk!$A$2:$C$125,3,FALSE),"Unmapped")</f>
        <v/>
      </c>
    </row>
    <row r="284">
      <c r="A284" t="n">
        <v>2011</v>
      </c>
      <c r="B284" t="inlineStr">
        <is>
          <t>BS48600</t>
        </is>
      </c>
      <c r="C284" t="inlineStr">
        <is>
          <t>Pipeline transportation</t>
        </is>
      </c>
      <c r="D284" t="n">
        <v>9384</v>
      </c>
      <c r="E284">
        <f>IFERROR(VLOOKUP(B284,Crosswalk!$A$2:$C$125,3,FALSE),"Unmapped")</f>
        <v/>
      </c>
    </row>
    <row r="285">
      <c r="A285" t="n">
        <v>2011</v>
      </c>
      <c r="B285" t="inlineStr">
        <is>
          <t>BS48B00</t>
        </is>
      </c>
      <c r="C285" t="inlineStr">
        <is>
          <t>Transit, ground passenger and scenic and sightseeing transportation, taxi and limousine service and support activities for transportation</t>
        </is>
      </c>
      <c r="D285" t="n">
        <v>31531.1</v>
      </c>
      <c r="E285">
        <f>IFERROR(VLOOKUP(B285,Crosswalk!$A$2:$C$125,3,FALSE),"Unmapped")</f>
        <v/>
      </c>
    </row>
    <row r="286">
      <c r="A286" t="n">
        <v>2011</v>
      </c>
      <c r="B286" t="inlineStr">
        <is>
          <t>BS49300</t>
        </is>
      </c>
      <c r="C286" t="inlineStr">
        <is>
          <t>Warehousing and storage</t>
        </is>
      </c>
      <c r="D286" t="n">
        <v>3793.7</v>
      </c>
      <c r="E286">
        <f>IFERROR(VLOOKUP(B286,Crosswalk!$A$2:$C$125,3,FALSE),"Unmapped")</f>
        <v/>
      </c>
    </row>
    <row r="287">
      <c r="A287" t="n">
        <v>2011</v>
      </c>
      <c r="B287" t="inlineStr">
        <is>
          <t>BS49A00</t>
        </is>
      </c>
      <c r="C287" t="inlineStr">
        <is>
          <t>Postal service, couriers and messengers</t>
        </is>
      </c>
      <c r="D287" t="n">
        <v>13179.9</v>
      </c>
      <c r="E287">
        <f>IFERROR(VLOOKUP(B287,Crosswalk!$A$2:$C$125,3,FALSE),"Unmapped")</f>
        <v/>
      </c>
    </row>
    <row r="288">
      <c r="A288" t="n">
        <v>2011</v>
      </c>
      <c r="B288" t="inlineStr">
        <is>
          <t>BS4AA00</t>
        </is>
      </c>
      <c r="C288" t="inlineStr">
        <is>
          <t>Retail trade (except cannabis)</t>
        </is>
      </c>
      <c r="D288" t="n">
        <v>133744.1</v>
      </c>
      <c r="E288">
        <f>IFERROR(VLOOKUP(B288,Crosswalk!$A$2:$C$125,3,FALSE),"Unmapped")</f>
        <v/>
      </c>
    </row>
    <row r="289">
      <c r="A289" t="n">
        <v>2011</v>
      </c>
      <c r="B289" t="inlineStr">
        <is>
          <t>BS51200</t>
        </is>
      </c>
      <c r="C289" t="inlineStr">
        <is>
          <t>Motion picture and sound recording industries</t>
        </is>
      </c>
      <c r="D289" t="n">
        <v>8569.1</v>
      </c>
      <c r="E289">
        <f>IFERROR(VLOOKUP(B289,Crosswalk!$A$2:$C$125,3,FALSE),"Unmapped")</f>
        <v/>
      </c>
    </row>
    <row r="290">
      <c r="A290" t="n">
        <v>2011</v>
      </c>
      <c r="B290" t="inlineStr">
        <is>
          <t>BS51610</t>
        </is>
      </c>
      <c r="C290" t="inlineStr">
        <is>
          <t>Radio and television broadcasting stations</t>
        </is>
      </c>
      <c r="D290" t="n">
        <v>3976.1</v>
      </c>
      <c r="E290">
        <f>IFERROR(VLOOKUP(B290,Crosswalk!$A$2:$C$125,3,FALSE),"Unmapped")</f>
        <v/>
      </c>
    </row>
    <row r="291">
      <c r="A291" t="n">
        <v>2011</v>
      </c>
      <c r="B291" t="inlineStr">
        <is>
          <t>BS51B00</t>
        </is>
      </c>
      <c r="C291" t="inlineStr">
        <is>
          <t>Publishing, pay/specialty services, telecommunications and other information services</t>
        </is>
      </c>
      <c r="D291" t="n">
        <v>80132.5</v>
      </c>
      <c r="E291">
        <f>IFERROR(VLOOKUP(B291,Crosswalk!$A$2:$C$125,3,FALSE),"Unmapped")</f>
        <v/>
      </c>
    </row>
    <row r="292">
      <c r="A292" t="n">
        <v>2011</v>
      </c>
      <c r="B292" t="inlineStr">
        <is>
          <t>BS52410</t>
        </is>
      </c>
      <c r="C292" t="inlineStr">
        <is>
          <t>Insurance carriers</t>
        </is>
      </c>
      <c r="D292" t="n">
        <v>39367.6</v>
      </c>
      <c r="E292">
        <f>IFERROR(VLOOKUP(B292,Crosswalk!$A$2:$C$125,3,FALSE),"Unmapped")</f>
        <v/>
      </c>
    </row>
    <row r="293">
      <c r="A293" t="n">
        <v>2011</v>
      </c>
      <c r="B293" t="inlineStr">
        <is>
          <t>BS52B00</t>
        </is>
      </c>
      <c r="C293" t="inlineStr">
        <is>
          <t>Depository credit intermediation and monetary authorities</t>
        </is>
      </c>
      <c r="D293" t="n">
        <v>80283.89999999999</v>
      </c>
      <c r="E293">
        <f>IFERROR(VLOOKUP(B293,Crosswalk!$A$2:$C$125,3,FALSE),"Unmapped")</f>
        <v/>
      </c>
    </row>
    <row r="294">
      <c r="A294" t="n">
        <v>2011</v>
      </c>
      <c r="B294" t="inlineStr">
        <is>
          <t>BS53110</t>
        </is>
      </c>
      <c r="C294" t="inlineStr">
        <is>
          <t>Lessors of real estate</t>
        </is>
      </c>
      <c r="D294" t="n">
        <v>83008.10000000001</v>
      </c>
      <c r="E294">
        <f>IFERROR(VLOOKUP(B294,Crosswalk!$A$2:$C$125,3,FALSE),"Unmapped")</f>
        <v/>
      </c>
    </row>
    <row r="295">
      <c r="A295" t="n">
        <v>2011</v>
      </c>
      <c r="B295" t="inlineStr">
        <is>
          <t>BS5311A</t>
        </is>
      </c>
      <c r="C295" t="inlineStr">
        <is>
          <t>Owner-occupied dwellings</t>
        </is>
      </c>
      <c r="D295" t="n">
        <v>142728.9</v>
      </c>
      <c r="E295">
        <f>IFERROR(VLOOKUP(B295,Crosswalk!$A$2:$C$125,3,FALSE),"Unmapped")</f>
        <v/>
      </c>
    </row>
    <row r="296">
      <c r="A296" t="n">
        <v>2011</v>
      </c>
      <c r="B296" t="inlineStr">
        <is>
          <t>BS53B00</t>
        </is>
      </c>
      <c r="C296" t="inlineStr">
        <is>
          <t>Rental and leasing services and lessors of non-financial intangible assets (except copyrighted works)</t>
        </is>
      </c>
      <c r="D296" t="n">
        <v>19355.9</v>
      </c>
      <c r="E296">
        <f>IFERROR(VLOOKUP(B296,Crosswalk!$A$2:$C$125,3,FALSE),"Unmapped")</f>
        <v/>
      </c>
    </row>
    <row r="297">
      <c r="A297" t="n">
        <v>2011</v>
      </c>
      <c r="B297" t="inlineStr">
        <is>
          <t>BS54180</t>
        </is>
      </c>
      <c r="C297" t="inlineStr">
        <is>
          <t>Advertising, public relations, and related services</t>
        </is>
      </c>
      <c r="D297" t="n">
        <v>6908.9</v>
      </c>
      <c r="E297">
        <f>IFERROR(VLOOKUP(B297,Crosswalk!$A$2:$C$125,3,FALSE),"Unmapped")</f>
        <v/>
      </c>
    </row>
    <row r="298">
      <c r="A298" t="n">
        <v>2011</v>
      </c>
      <c r="B298" t="inlineStr">
        <is>
          <t>BS541C0</t>
        </is>
      </c>
      <c r="C298" t="inlineStr">
        <is>
          <t>Legal, accounting and architectural, engineering and related services</t>
        </is>
      </c>
      <c r="D298" t="n">
        <v>67168.5</v>
      </c>
      <c r="E298">
        <f>IFERROR(VLOOKUP(B298,Crosswalk!$A$2:$C$125,3,FALSE),"Unmapped")</f>
        <v/>
      </c>
    </row>
    <row r="299">
      <c r="A299" t="n">
        <v>2011</v>
      </c>
      <c r="B299" t="inlineStr">
        <is>
          <t>BS541D0</t>
        </is>
      </c>
      <c r="C299" t="inlineStr">
        <is>
          <t>Computer systems design and other professional, scientific and technical services</t>
        </is>
      </c>
      <c r="D299" t="n">
        <v>69215.89999999999</v>
      </c>
      <c r="E299">
        <f>IFERROR(VLOOKUP(B299,Crosswalk!$A$2:$C$125,3,FALSE),"Unmapped")</f>
        <v/>
      </c>
    </row>
    <row r="300">
      <c r="A300" t="n">
        <v>2011</v>
      </c>
      <c r="B300" t="inlineStr">
        <is>
          <t>BS56100</t>
        </is>
      </c>
      <c r="C300" t="inlineStr">
        <is>
          <t>Administrative and support services</t>
        </is>
      </c>
      <c r="D300" t="n">
        <v>63392.8</v>
      </c>
      <c r="E300">
        <f>IFERROR(VLOOKUP(B300,Crosswalk!$A$2:$C$125,3,FALSE),"Unmapped")</f>
        <v/>
      </c>
    </row>
    <row r="301">
      <c r="A301" t="n">
        <v>2011</v>
      </c>
      <c r="B301" t="inlineStr">
        <is>
          <t>BS56200</t>
        </is>
      </c>
      <c r="C301" t="inlineStr">
        <is>
          <t>Waste management and remediation services</t>
        </is>
      </c>
      <c r="D301" t="n">
        <v>6846.4</v>
      </c>
      <c r="E301">
        <f>IFERROR(VLOOKUP(B301,Crosswalk!$A$2:$C$125,3,FALSE),"Unmapped")</f>
        <v/>
      </c>
    </row>
    <row r="302">
      <c r="A302" t="n">
        <v>2011</v>
      </c>
      <c r="B302" t="inlineStr">
        <is>
          <t>BS5A000</t>
        </is>
      </c>
      <c r="C302" t="inlineStr">
        <is>
          <t>Other finance, insurance and real estate services and management of companies and enterprises</t>
        </is>
      </c>
      <c r="D302" t="n">
        <v>114854.9</v>
      </c>
      <c r="E302">
        <f>IFERROR(VLOOKUP(B302,Crosswalk!$A$2:$C$125,3,FALSE),"Unmapped")</f>
        <v/>
      </c>
    </row>
    <row r="303">
      <c r="A303" t="n">
        <v>2011</v>
      </c>
      <c r="B303" t="inlineStr">
        <is>
          <t>BS61000</t>
        </is>
      </c>
      <c r="C303" t="inlineStr">
        <is>
          <t>Educational services</t>
        </is>
      </c>
      <c r="D303" t="n">
        <v>5220.6</v>
      </c>
      <c r="E303">
        <f>IFERROR(VLOOKUP(B303,Crosswalk!$A$2:$C$125,3,FALSE),"Unmapped")</f>
        <v/>
      </c>
    </row>
    <row r="304">
      <c r="A304" t="n">
        <v>2011</v>
      </c>
      <c r="B304" t="inlineStr">
        <is>
          <t>BS62000</t>
        </is>
      </c>
      <c r="C304" t="inlineStr">
        <is>
          <t>Health care and social assistance</t>
        </is>
      </c>
      <c r="D304" t="n">
        <v>61908.5</v>
      </c>
      <c r="E304">
        <f>IFERROR(VLOOKUP(B304,Crosswalk!$A$2:$C$125,3,FALSE),"Unmapped")</f>
        <v/>
      </c>
    </row>
    <row r="305">
      <c r="A305" t="n">
        <v>2011</v>
      </c>
      <c r="B305" t="inlineStr">
        <is>
          <t>BS71000</t>
        </is>
      </c>
      <c r="C305" t="inlineStr">
        <is>
          <t>Arts, entertainment and recreation</t>
        </is>
      </c>
      <c r="D305" t="n">
        <v>21453.9</v>
      </c>
      <c r="E305">
        <f>IFERROR(VLOOKUP(B305,Crosswalk!$A$2:$C$125,3,FALSE),"Unmapped")</f>
        <v/>
      </c>
    </row>
    <row r="306">
      <c r="A306" t="n">
        <v>2011</v>
      </c>
      <c r="B306" t="inlineStr">
        <is>
          <t>BS72000</t>
        </is>
      </c>
      <c r="C306" t="inlineStr">
        <is>
          <t>Accommodation and food services</t>
        </is>
      </c>
      <c r="D306" t="n">
        <v>69181.39999999999</v>
      </c>
      <c r="E306">
        <f>IFERROR(VLOOKUP(B306,Crosswalk!$A$2:$C$125,3,FALSE),"Unmapped")</f>
        <v/>
      </c>
    </row>
    <row r="307">
      <c r="A307" t="n">
        <v>2011</v>
      </c>
      <c r="B307" t="inlineStr">
        <is>
          <t>BS81100</t>
        </is>
      </c>
      <c r="C307" t="inlineStr">
        <is>
          <t>Repair and maintenance</t>
        </is>
      </c>
      <c r="D307" t="n">
        <v>20209.5</v>
      </c>
      <c r="E307">
        <f>IFERROR(VLOOKUP(B307,Crosswalk!$A$2:$C$125,3,FALSE),"Unmapped")</f>
        <v/>
      </c>
    </row>
    <row r="308">
      <c r="A308" t="n">
        <v>2011</v>
      </c>
      <c r="B308" t="inlineStr">
        <is>
          <t>BS81300</t>
        </is>
      </c>
      <c r="C308" t="inlineStr">
        <is>
          <t>Business, professional and other membership organizations</t>
        </is>
      </c>
      <c r="D308" t="n">
        <v>3686.5</v>
      </c>
      <c r="E308">
        <f>IFERROR(VLOOKUP(B308,Crosswalk!$A$2:$C$125,3,FALSE),"Unmapped")</f>
        <v/>
      </c>
    </row>
    <row r="309">
      <c r="A309" t="n">
        <v>2011</v>
      </c>
      <c r="B309" t="inlineStr">
        <is>
          <t>BS81A00</t>
        </is>
      </c>
      <c r="C309" t="inlineStr">
        <is>
          <t>Personal services and private households</t>
        </is>
      </c>
      <c r="D309" t="n">
        <v>16688.3</v>
      </c>
      <c r="E309">
        <f>IFERROR(VLOOKUP(B309,Crosswalk!$A$2:$C$125,3,FALSE),"Unmapped")</f>
        <v/>
      </c>
    </row>
    <row r="310">
      <c r="A310" t="n">
        <v>2011</v>
      </c>
      <c r="B310" t="inlineStr">
        <is>
          <t>GS61130</t>
        </is>
      </c>
      <c r="C310" t="inlineStr">
        <is>
          <t>Universities</t>
        </is>
      </c>
      <c r="D310" t="n">
        <v>36039.8</v>
      </c>
      <c r="E310">
        <f>IFERROR(VLOOKUP(B310,Crosswalk!$A$2:$C$125,3,FALSE),"Unmapped")</f>
        <v/>
      </c>
    </row>
    <row r="311">
      <c r="A311" t="n">
        <v>2011</v>
      </c>
      <c r="B311" t="inlineStr">
        <is>
          <t>GS611B0</t>
        </is>
      </c>
      <c r="C311" t="inlineStr">
        <is>
          <t>Educational services (except universities)</t>
        </is>
      </c>
      <c r="D311" t="n">
        <v>63638.9</v>
      </c>
      <c r="E311">
        <f>IFERROR(VLOOKUP(B311,Crosswalk!$A$2:$C$125,3,FALSE),"Unmapped")</f>
        <v/>
      </c>
    </row>
    <row r="312">
      <c r="A312" t="n">
        <v>2011</v>
      </c>
      <c r="B312" t="inlineStr">
        <is>
          <t>GS62300</t>
        </is>
      </c>
      <c r="C312" t="inlineStr">
        <is>
          <t>Nursing and residential care facilities</t>
        </is>
      </c>
      <c r="D312" t="n">
        <v>13324.6</v>
      </c>
      <c r="E312">
        <f>IFERROR(VLOOKUP(B312,Crosswalk!$A$2:$C$125,3,FALSE),"Unmapped")</f>
        <v/>
      </c>
    </row>
    <row r="313">
      <c r="A313" t="n">
        <v>2011</v>
      </c>
      <c r="B313" t="inlineStr">
        <is>
          <t>GS62B00</t>
        </is>
      </c>
      <c r="C313" t="inlineStr">
        <is>
          <t>Health care and social assistance (except nursing and residential care facilities)</t>
        </is>
      </c>
      <c r="D313" t="n">
        <v>79920.3</v>
      </c>
      <c r="E313">
        <f>IFERROR(VLOOKUP(B313,Crosswalk!$A$2:$C$125,3,FALSE),"Unmapped")</f>
        <v/>
      </c>
    </row>
    <row r="314">
      <c r="A314" t="n">
        <v>2011</v>
      </c>
      <c r="B314" t="inlineStr">
        <is>
          <t>GS91100</t>
        </is>
      </c>
      <c r="C314" t="inlineStr">
        <is>
          <t>Other federal government services</t>
        </is>
      </c>
      <c r="D314" t="n">
        <v>73851.10000000001</v>
      </c>
      <c r="E314">
        <f>IFERROR(VLOOKUP(B314,Crosswalk!$A$2:$C$125,3,FALSE),"Unmapped")</f>
        <v/>
      </c>
    </row>
    <row r="315">
      <c r="A315" t="n">
        <v>2011</v>
      </c>
      <c r="B315" t="inlineStr">
        <is>
          <t>GS91200</t>
        </is>
      </c>
      <c r="C315" t="inlineStr">
        <is>
          <t>Other provincial and territorial government services</t>
        </is>
      </c>
      <c r="D315" t="n">
        <v>110517.9</v>
      </c>
      <c r="E315">
        <f>IFERROR(VLOOKUP(B315,Crosswalk!$A$2:$C$125,3,FALSE),"Unmapped")</f>
        <v/>
      </c>
    </row>
    <row r="316">
      <c r="A316" t="n">
        <v>2011</v>
      </c>
      <c r="B316" t="inlineStr">
        <is>
          <t>GS91300</t>
        </is>
      </c>
      <c r="C316" t="inlineStr">
        <is>
          <t>Other municipal government services</t>
        </is>
      </c>
      <c r="D316" t="n">
        <v>70432.10000000001</v>
      </c>
      <c r="E316">
        <f>IFERROR(VLOOKUP(B316,Crosswalk!$A$2:$C$125,3,FALSE),"Unmapped")</f>
        <v/>
      </c>
    </row>
    <row r="317">
      <c r="A317" t="n">
        <v>2011</v>
      </c>
      <c r="B317" t="inlineStr">
        <is>
          <t>GS91400</t>
        </is>
      </c>
      <c r="C317" t="inlineStr">
        <is>
          <t>Other Indigenous government services</t>
        </is>
      </c>
      <c r="D317" t="n">
        <v>6970</v>
      </c>
      <c r="E317">
        <f>IFERROR(VLOOKUP(B317,Crosswalk!$A$2:$C$125,3,FALSE),"Unmapped")</f>
        <v/>
      </c>
    </row>
    <row r="318">
      <c r="A318" t="n">
        <v>2011</v>
      </c>
      <c r="B318" t="inlineStr">
        <is>
          <t>NP61000</t>
        </is>
      </c>
      <c r="C318" t="inlineStr">
        <is>
          <t>Educational services</t>
        </is>
      </c>
      <c r="D318" t="n">
        <v>4491</v>
      </c>
      <c r="E318">
        <f>IFERROR(VLOOKUP(B318,Crosswalk!$A$2:$C$125,3,FALSE),"Unmapped")</f>
        <v/>
      </c>
    </row>
    <row r="319">
      <c r="A319" t="n">
        <v>2011</v>
      </c>
      <c r="B319" t="inlineStr">
        <is>
          <t>NP62400</t>
        </is>
      </c>
      <c r="C319" t="inlineStr">
        <is>
          <t>Social assistance</t>
        </is>
      </c>
      <c r="D319" t="n">
        <v>8181.8</v>
      </c>
      <c r="E319">
        <f>IFERROR(VLOOKUP(B319,Crosswalk!$A$2:$C$125,3,FALSE),"Unmapped")</f>
        <v/>
      </c>
    </row>
    <row r="320">
      <c r="A320" t="n">
        <v>2011</v>
      </c>
      <c r="B320" t="inlineStr">
        <is>
          <t>NP71000</t>
        </is>
      </c>
      <c r="C320" t="inlineStr">
        <is>
          <t>Arts, entertainment and recreation</t>
        </is>
      </c>
      <c r="D320" t="n">
        <v>1877.2</v>
      </c>
      <c r="E320">
        <f>IFERROR(VLOOKUP(B320,Crosswalk!$A$2:$C$125,3,FALSE),"Unmapped")</f>
        <v/>
      </c>
    </row>
    <row r="321">
      <c r="A321" t="n">
        <v>2011</v>
      </c>
      <c r="B321" t="inlineStr">
        <is>
          <t>NP81310</t>
        </is>
      </c>
      <c r="C321" t="inlineStr">
        <is>
          <t>Religious organizations</t>
        </is>
      </c>
      <c r="D321" t="n">
        <v>5274.7</v>
      </c>
      <c r="E321">
        <f>IFERROR(VLOOKUP(B321,Crosswalk!$A$2:$C$125,3,FALSE),"Unmapped")</f>
        <v/>
      </c>
    </row>
    <row r="322">
      <c r="A322" t="n">
        <v>2011</v>
      </c>
      <c r="B322" t="inlineStr">
        <is>
          <t>NPA0000</t>
        </is>
      </c>
      <c r="C322" t="inlineStr">
        <is>
          <t>Miscellaneous non-profit institutions serving households</t>
        </is>
      </c>
      <c r="D322" t="n">
        <v>19549.4</v>
      </c>
      <c r="E322">
        <f>IFERROR(VLOOKUP(B322,Crosswalk!$A$2:$C$125,3,FALSE),"Unmapped")</f>
        <v/>
      </c>
    </row>
    <row r="323">
      <c r="A323" t="n">
        <v>2012</v>
      </c>
      <c r="B323" t="inlineStr">
        <is>
          <t>BS111CL</t>
        </is>
      </c>
      <c r="C323" t="inlineStr">
        <is>
          <t>Cannabis production (licensed)</t>
        </is>
      </c>
      <c r="D323" t="n">
        <v>12.4</v>
      </c>
      <c r="E323">
        <f>IFERROR(VLOOKUP(B323,Crosswalk!$A$2:$C$125,3,FALSE),"Unmapped")</f>
        <v/>
      </c>
    </row>
    <row r="324">
      <c r="A324" t="n">
        <v>2012</v>
      </c>
      <c r="B324" t="inlineStr">
        <is>
          <t>BS111CU</t>
        </is>
      </c>
      <c r="C324" t="inlineStr">
        <is>
          <t>Cannabis production (unlicensed)</t>
        </is>
      </c>
      <c r="D324" t="n">
        <v>4613.8</v>
      </c>
      <c r="E324">
        <f>IFERROR(VLOOKUP(B324,Crosswalk!$A$2:$C$125,3,FALSE),"Unmapped")</f>
        <v/>
      </c>
    </row>
    <row r="325">
      <c r="A325" t="n">
        <v>2012</v>
      </c>
      <c r="B325" t="inlineStr">
        <is>
          <t>BS11300</t>
        </is>
      </c>
      <c r="C325" t="inlineStr">
        <is>
          <t>Forestry and logging</t>
        </is>
      </c>
      <c r="D325" t="n">
        <v>10566.2</v>
      </c>
      <c r="E325">
        <f>IFERROR(VLOOKUP(B325,Crosswalk!$A$2:$C$125,3,FALSE),"Unmapped")</f>
        <v/>
      </c>
    </row>
    <row r="326">
      <c r="A326" t="n">
        <v>2012</v>
      </c>
      <c r="B326" t="inlineStr">
        <is>
          <t>BS11400</t>
        </is>
      </c>
      <c r="C326" t="inlineStr">
        <is>
          <t>Fishing, hunting and trapping</t>
        </is>
      </c>
      <c r="D326" t="n">
        <v>2267</v>
      </c>
      <c r="E326">
        <f>IFERROR(VLOOKUP(B326,Crosswalk!$A$2:$C$125,3,FALSE),"Unmapped")</f>
        <v/>
      </c>
    </row>
    <row r="327">
      <c r="A327" t="n">
        <v>2012</v>
      </c>
      <c r="B327" t="inlineStr">
        <is>
          <t>BS11500</t>
        </is>
      </c>
      <c r="C327" t="inlineStr">
        <is>
          <t>Support activities for agriculture and forestry</t>
        </is>
      </c>
      <c r="D327" t="n">
        <v>2712.3</v>
      </c>
      <c r="E327">
        <f>IFERROR(VLOOKUP(B327,Crosswalk!$A$2:$C$125,3,FALSE),"Unmapped")</f>
        <v/>
      </c>
    </row>
    <row r="328">
      <c r="A328" t="n">
        <v>2012</v>
      </c>
      <c r="B328" t="inlineStr">
        <is>
          <t>BS11B00</t>
        </is>
      </c>
      <c r="C328" t="inlineStr">
        <is>
          <t>Crop and animal production (except cannabis)</t>
        </is>
      </c>
      <c r="D328" t="n">
        <v>61890.9</v>
      </c>
      <c r="E328">
        <f>IFERROR(VLOOKUP(B328,Crosswalk!$A$2:$C$125,3,FALSE),"Unmapped")</f>
        <v/>
      </c>
    </row>
    <row r="329">
      <c r="A329" t="n">
        <v>2012</v>
      </c>
      <c r="B329" t="inlineStr">
        <is>
          <t>BS21100</t>
        </is>
      </c>
      <c r="C329" t="inlineStr">
        <is>
          <t>Oil and gas extraction</t>
        </is>
      </c>
      <c r="D329" t="n">
        <v>127759.2</v>
      </c>
      <c r="E329">
        <f>IFERROR(VLOOKUP(B329,Crosswalk!$A$2:$C$125,3,FALSE),"Unmapped")</f>
        <v/>
      </c>
    </row>
    <row r="330">
      <c r="A330" t="n">
        <v>2012</v>
      </c>
      <c r="B330" t="inlineStr">
        <is>
          <t>BS21210</t>
        </is>
      </c>
      <c r="C330" t="inlineStr">
        <is>
          <t>Coal mining</t>
        </is>
      </c>
      <c r="D330" t="n">
        <v>5850.3</v>
      </c>
      <c r="E330">
        <f>IFERROR(VLOOKUP(B330,Crosswalk!$A$2:$C$125,3,FALSE),"Unmapped")</f>
        <v/>
      </c>
    </row>
    <row r="331">
      <c r="A331" t="n">
        <v>2012</v>
      </c>
      <c r="B331" t="inlineStr">
        <is>
          <t>BS21220</t>
        </is>
      </c>
      <c r="C331" t="inlineStr">
        <is>
          <t>Metal ore mining</t>
        </is>
      </c>
      <c r="D331" t="n">
        <v>22503.4</v>
      </c>
      <c r="E331">
        <f>IFERROR(VLOOKUP(B331,Crosswalk!$A$2:$C$125,3,FALSE),"Unmapped")</f>
        <v/>
      </c>
    </row>
    <row r="332">
      <c r="A332" t="n">
        <v>2012</v>
      </c>
      <c r="B332" t="inlineStr">
        <is>
          <t>BS21230</t>
        </is>
      </c>
      <c r="C332" t="inlineStr">
        <is>
          <t>Non-metallic mineral mining and quarrying</t>
        </is>
      </c>
      <c r="D332" t="n">
        <v>13873.4</v>
      </c>
      <c r="E332">
        <f>IFERROR(VLOOKUP(B332,Crosswalk!$A$2:$C$125,3,FALSE),"Unmapped")</f>
        <v/>
      </c>
    </row>
    <row r="333">
      <c r="A333" t="n">
        <v>2012</v>
      </c>
      <c r="B333" t="inlineStr">
        <is>
          <t>BS21300</t>
        </is>
      </c>
      <c r="C333" t="inlineStr">
        <is>
          <t>Support activities for mining, and oil and gas extraction</t>
        </is>
      </c>
      <c r="D333" t="n">
        <v>31429.2</v>
      </c>
      <c r="E333">
        <f>IFERROR(VLOOKUP(B333,Crosswalk!$A$2:$C$125,3,FALSE),"Unmapped")</f>
        <v/>
      </c>
    </row>
    <row r="334">
      <c r="A334" t="n">
        <v>2012</v>
      </c>
      <c r="B334" t="inlineStr">
        <is>
          <t>BS22110</t>
        </is>
      </c>
      <c r="C334" t="inlineStr">
        <is>
          <t>Electric power generation, transmission and distribution</t>
        </is>
      </c>
      <c r="D334" t="n">
        <v>40704.4</v>
      </c>
      <c r="E334">
        <f>IFERROR(VLOOKUP(B334,Crosswalk!$A$2:$C$125,3,FALSE),"Unmapped")</f>
        <v/>
      </c>
    </row>
    <row r="335">
      <c r="A335" t="n">
        <v>2012</v>
      </c>
      <c r="B335" t="inlineStr">
        <is>
          <t>BS221A0</t>
        </is>
      </c>
      <c r="C335" t="inlineStr">
        <is>
          <t>Natural gas distribution, water, sewage and other systems</t>
        </is>
      </c>
      <c r="D335" t="n">
        <v>6417.2</v>
      </c>
      <c r="E335">
        <f>IFERROR(VLOOKUP(B335,Crosswalk!$A$2:$C$125,3,FALSE),"Unmapped")</f>
        <v/>
      </c>
    </row>
    <row r="336">
      <c r="A336" t="n">
        <v>2012</v>
      </c>
      <c r="B336" t="inlineStr">
        <is>
          <t>BS23A00</t>
        </is>
      </c>
      <c r="C336" t="inlineStr">
        <is>
          <t>Residential building construction</t>
        </is>
      </c>
      <c r="D336" t="n">
        <v>97779.8</v>
      </c>
      <c r="E336">
        <f>IFERROR(VLOOKUP(B336,Crosswalk!$A$2:$C$125,3,FALSE),"Unmapped")</f>
        <v/>
      </c>
    </row>
    <row r="337">
      <c r="A337" t="n">
        <v>2012</v>
      </c>
      <c r="B337" t="inlineStr">
        <is>
          <t>BS23B00</t>
        </is>
      </c>
      <c r="C337" t="inlineStr">
        <is>
          <t>Non-residential building construction</t>
        </is>
      </c>
      <c r="D337" t="n">
        <v>47375.5</v>
      </c>
      <c r="E337">
        <f>IFERROR(VLOOKUP(B337,Crosswalk!$A$2:$C$125,3,FALSE),"Unmapped")</f>
        <v/>
      </c>
    </row>
    <row r="338">
      <c r="A338" t="n">
        <v>2012</v>
      </c>
      <c r="B338" t="inlineStr">
        <is>
          <t>BS23C10</t>
        </is>
      </c>
      <c r="C338" t="inlineStr">
        <is>
          <t>Transportation engineering construction</t>
        </is>
      </c>
      <c r="D338" t="n">
        <v>24295.4</v>
      </c>
      <c r="E338">
        <f>IFERROR(VLOOKUP(B338,Crosswalk!$A$2:$C$125,3,FALSE),"Unmapped")</f>
        <v/>
      </c>
    </row>
    <row r="339">
      <c r="A339" t="n">
        <v>2012</v>
      </c>
      <c r="B339" t="inlineStr">
        <is>
          <t>BS23C20</t>
        </is>
      </c>
      <c r="C339" t="inlineStr">
        <is>
          <t>Oil and gas engineering construction</t>
        </is>
      </c>
      <c r="D339" t="n">
        <v>59285.6</v>
      </c>
      <c r="E339">
        <f>IFERROR(VLOOKUP(B339,Crosswalk!$A$2:$C$125,3,FALSE),"Unmapped")</f>
        <v/>
      </c>
    </row>
    <row r="340">
      <c r="A340" t="n">
        <v>2012</v>
      </c>
      <c r="B340" t="inlineStr">
        <is>
          <t>BS23C30</t>
        </is>
      </c>
      <c r="C340" t="inlineStr">
        <is>
          <t>Electric power engineering construction</t>
        </is>
      </c>
      <c r="D340" t="n">
        <v>15279.1</v>
      </c>
      <c r="E340">
        <f>IFERROR(VLOOKUP(B340,Crosswalk!$A$2:$C$125,3,FALSE),"Unmapped")</f>
        <v/>
      </c>
    </row>
    <row r="341">
      <c r="A341" t="n">
        <v>2012</v>
      </c>
      <c r="B341" t="inlineStr">
        <is>
          <t>BS23C40</t>
        </is>
      </c>
      <c r="C341" t="inlineStr">
        <is>
          <t>Communication engineering construction</t>
        </is>
      </c>
      <c r="D341" t="n">
        <v>2215.5</v>
      </c>
      <c r="E341">
        <f>IFERROR(VLOOKUP(B341,Crosswalk!$A$2:$C$125,3,FALSE),"Unmapped")</f>
        <v/>
      </c>
    </row>
    <row r="342">
      <c r="A342" t="n">
        <v>2012</v>
      </c>
      <c r="B342" t="inlineStr">
        <is>
          <t>BS23C50</t>
        </is>
      </c>
      <c r="C342" t="inlineStr">
        <is>
          <t>Other engineering construction</t>
        </is>
      </c>
      <c r="D342" t="n">
        <v>23772.1</v>
      </c>
      <c r="E342">
        <f>IFERROR(VLOOKUP(B342,Crosswalk!$A$2:$C$125,3,FALSE),"Unmapped")</f>
        <v/>
      </c>
    </row>
    <row r="343">
      <c r="A343" t="n">
        <v>2012</v>
      </c>
      <c r="B343" t="inlineStr">
        <is>
          <t>BS23D00</t>
        </is>
      </c>
      <c r="C343" t="inlineStr">
        <is>
          <t>Repair construction</t>
        </is>
      </c>
      <c r="D343" t="n">
        <v>35524.3</v>
      </c>
      <c r="E343">
        <f>IFERROR(VLOOKUP(B343,Crosswalk!$A$2:$C$125,3,FALSE),"Unmapped")</f>
        <v/>
      </c>
    </row>
    <row r="344">
      <c r="A344" t="n">
        <v>2012</v>
      </c>
      <c r="B344" t="inlineStr">
        <is>
          <t>BS23E00</t>
        </is>
      </c>
      <c r="C344" t="inlineStr">
        <is>
          <t>Other activities of the construction industry</t>
        </is>
      </c>
      <c r="D344" t="n">
        <v>3568.2</v>
      </c>
      <c r="E344">
        <f>IFERROR(VLOOKUP(B344,Crosswalk!$A$2:$C$125,3,FALSE),"Unmapped")</f>
        <v/>
      </c>
    </row>
    <row r="345">
      <c r="A345" t="n">
        <v>2012</v>
      </c>
      <c r="B345" t="inlineStr">
        <is>
          <t>BS31110</t>
        </is>
      </c>
      <c r="C345" t="inlineStr">
        <is>
          <t>Animal food manufacturing</t>
        </is>
      </c>
      <c r="D345" t="n">
        <v>7009.5</v>
      </c>
      <c r="E345">
        <f>IFERROR(VLOOKUP(B345,Crosswalk!$A$2:$C$125,3,FALSE),"Unmapped")</f>
        <v/>
      </c>
    </row>
    <row r="346">
      <c r="A346" t="n">
        <v>2012</v>
      </c>
      <c r="B346" t="inlineStr">
        <is>
          <t>BS31130</t>
        </is>
      </c>
      <c r="C346" t="inlineStr">
        <is>
          <t>Sugar and confectionery product manufacturing</t>
        </is>
      </c>
      <c r="D346" t="n">
        <v>4465.8</v>
      </c>
      <c r="E346">
        <f>IFERROR(VLOOKUP(B346,Crosswalk!$A$2:$C$125,3,FALSE),"Unmapped")</f>
        <v/>
      </c>
    </row>
    <row r="347">
      <c r="A347" t="n">
        <v>2012</v>
      </c>
      <c r="B347" t="inlineStr">
        <is>
          <t>BS31140</t>
        </is>
      </c>
      <c r="C347" t="inlineStr">
        <is>
          <t>Fruit and vegetable preserving and specialty food manufacturing</t>
        </is>
      </c>
      <c r="D347" t="n">
        <v>6664.7</v>
      </c>
      <c r="E347">
        <f>IFERROR(VLOOKUP(B347,Crosswalk!$A$2:$C$125,3,FALSE),"Unmapped")</f>
        <v/>
      </c>
    </row>
    <row r="348">
      <c r="A348" t="n">
        <v>2012</v>
      </c>
      <c r="B348" t="inlineStr">
        <is>
          <t>BS31150</t>
        </is>
      </c>
      <c r="C348" t="inlineStr">
        <is>
          <t>Dairy product manufacturing</t>
        </is>
      </c>
      <c r="D348" t="n">
        <v>14392.4</v>
      </c>
      <c r="E348">
        <f>IFERROR(VLOOKUP(B348,Crosswalk!$A$2:$C$125,3,FALSE),"Unmapped")</f>
        <v/>
      </c>
    </row>
    <row r="349">
      <c r="A349" t="n">
        <v>2012</v>
      </c>
      <c r="B349" t="inlineStr">
        <is>
          <t>BS31160</t>
        </is>
      </c>
      <c r="C349" t="inlineStr">
        <is>
          <t>Meat product manufacturing</t>
        </is>
      </c>
      <c r="D349" t="n">
        <v>22940.8</v>
      </c>
      <c r="E349">
        <f>IFERROR(VLOOKUP(B349,Crosswalk!$A$2:$C$125,3,FALSE),"Unmapped")</f>
        <v/>
      </c>
    </row>
    <row r="350">
      <c r="A350" t="n">
        <v>2012</v>
      </c>
      <c r="B350" t="inlineStr">
        <is>
          <t>BS31170</t>
        </is>
      </c>
      <c r="C350" t="inlineStr">
        <is>
          <t>Seafood product preparation and packaging</t>
        </is>
      </c>
      <c r="D350" t="n">
        <v>4422.9</v>
      </c>
      <c r="E350">
        <f>IFERROR(VLOOKUP(B350,Crosswalk!$A$2:$C$125,3,FALSE),"Unmapped")</f>
        <v/>
      </c>
    </row>
    <row r="351">
      <c r="A351" t="n">
        <v>2012</v>
      </c>
      <c r="B351" t="inlineStr">
        <is>
          <t>BS311A0</t>
        </is>
      </c>
      <c r="C351" t="inlineStr">
        <is>
          <t>Miscellaneous food manufacturing</t>
        </is>
      </c>
      <c r="D351" t="n">
        <v>27294.6</v>
      </c>
      <c r="E351">
        <f>IFERROR(VLOOKUP(B351,Crosswalk!$A$2:$C$125,3,FALSE),"Unmapped")</f>
        <v/>
      </c>
    </row>
    <row r="352">
      <c r="A352" t="n">
        <v>2012</v>
      </c>
      <c r="B352" t="inlineStr">
        <is>
          <t>BS31211</t>
        </is>
      </c>
      <c r="C352" t="inlineStr">
        <is>
          <t>Soft drink and ice manufacturing</t>
        </is>
      </c>
      <c r="D352" t="n">
        <v>4673.8</v>
      </c>
      <c r="E352">
        <f>IFERROR(VLOOKUP(B352,Crosswalk!$A$2:$C$125,3,FALSE),"Unmapped")</f>
        <v/>
      </c>
    </row>
    <row r="353">
      <c r="A353" t="n">
        <v>2012</v>
      </c>
      <c r="B353" t="inlineStr">
        <is>
          <t>BS31212</t>
        </is>
      </c>
      <c r="C353" t="inlineStr">
        <is>
          <t>Breweries</t>
        </is>
      </c>
      <c r="D353" t="n">
        <v>5624.1</v>
      </c>
      <c r="E353">
        <f>IFERROR(VLOOKUP(B353,Crosswalk!$A$2:$C$125,3,FALSE),"Unmapped")</f>
        <v/>
      </c>
    </row>
    <row r="354">
      <c r="A354" t="n">
        <v>2012</v>
      </c>
      <c r="B354" t="inlineStr">
        <is>
          <t>BS3121A</t>
        </is>
      </c>
      <c r="C354" t="inlineStr">
        <is>
          <t>Wineries and distilleries</t>
        </is>
      </c>
      <c r="D354" t="n">
        <v>2066.5</v>
      </c>
      <c r="E354">
        <f>IFERROR(VLOOKUP(B354,Crosswalk!$A$2:$C$125,3,FALSE),"Unmapped")</f>
        <v/>
      </c>
    </row>
    <row r="355">
      <c r="A355" t="n">
        <v>2012</v>
      </c>
      <c r="B355" t="inlineStr">
        <is>
          <t>BS312A0</t>
        </is>
      </c>
      <c r="C355" t="inlineStr">
        <is>
          <t>Tobacco and cannabis product manufacturing</t>
        </is>
      </c>
      <c r="D355" t="n">
        <v>1745.3</v>
      </c>
      <c r="E355">
        <f>IFERROR(VLOOKUP(B355,Crosswalk!$A$2:$C$125,3,FALSE),"Unmapped")</f>
        <v/>
      </c>
    </row>
    <row r="356">
      <c r="A356" t="n">
        <v>2012</v>
      </c>
      <c r="B356" t="inlineStr">
        <is>
          <t>BS31A00</t>
        </is>
      </c>
      <c r="C356" t="inlineStr">
        <is>
          <t>Textile and textile product mills</t>
        </is>
      </c>
      <c r="D356" t="n">
        <v>3297.4</v>
      </c>
      <c r="E356">
        <f>IFERROR(VLOOKUP(B356,Crosswalk!$A$2:$C$125,3,FALSE),"Unmapped")</f>
        <v/>
      </c>
    </row>
    <row r="357">
      <c r="A357" t="n">
        <v>2012</v>
      </c>
      <c r="B357" t="inlineStr">
        <is>
          <t>BS31B00</t>
        </is>
      </c>
      <c r="C357" t="inlineStr">
        <is>
          <t>Clothing and leather and allied product manufacturing</t>
        </is>
      </c>
      <c r="D357" t="n">
        <v>2844.1</v>
      </c>
      <c r="E357">
        <f>IFERROR(VLOOKUP(B357,Crosswalk!$A$2:$C$125,3,FALSE),"Unmapped")</f>
        <v/>
      </c>
    </row>
    <row r="358">
      <c r="A358" t="n">
        <v>2012</v>
      </c>
      <c r="B358" t="inlineStr">
        <is>
          <t>BS32100</t>
        </is>
      </c>
      <c r="C358" t="inlineStr">
        <is>
          <t>Wood product manufacturing</t>
        </is>
      </c>
      <c r="D358" t="n">
        <v>22556.5</v>
      </c>
      <c r="E358">
        <f>IFERROR(VLOOKUP(B358,Crosswalk!$A$2:$C$125,3,FALSE),"Unmapped")</f>
        <v/>
      </c>
    </row>
    <row r="359">
      <c r="A359" t="n">
        <v>2012</v>
      </c>
      <c r="B359" t="inlineStr">
        <is>
          <t>BS32210</t>
        </is>
      </c>
      <c r="C359" t="inlineStr">
        <is>
          <t>Pulp, paper and paperboard mills</t>
        </is>
      </c>
      <c r="D359" t="n">
        <v>16276.3</v>
      </c>
      <c r="E359">
        <f>IFERROR(VLOOKUP(B359,Crosswalk!$A$2:$C$125,3,FALSE),"Unmapped")</f>
        <v/>
      </c>
    </row>
    <row r="360">
      <c r="A360" t="n">
        <v>2012</v>
      </c>
      <c r="B360" t="inlineStr">
        <is>
          <t>BS32220</t>
        </is>
      </c>
      <c r="C360" t="inlineStr">
        <is>
          <t>Converted paper product manufacturing</t>
        </is>
      </c>
      <c r="D360" t="n">
        <v>8910.1</v>
      </c>
      <c r="E360">
        <f>IFERROR(VLOOKUP(B360,Crosswalk!$A$2:$C$125,3,FALSE),"Unmapped")</f>
        <v/>
      </c>
    </row>
    <row r="361">
      <c r="A361" t="n">
        <v>2012</v>
      </c>
      <c r="B361" t="inlineStr">
        <is>
          <t>BS32300</t>
        </is>
      </c>
      <c r="C361" t="inlineStr">
        <is>
          <t>Printing and related support activities</t>
        </is>
      </c>
      <c r="D361" t="n">
        <v>9386.700000000001</v>
      </c>
      <c r="E361">
        <f>IFERROR(VLOOKUP(B361,Crosswalk!$A$2:$C$125,3,FALSE),"Unmapped")</f>
        <v/>
      </c>
    </row>
    <row r="362">
      <c r="A362" t="n">
        <v>2012</v>
      </c>
      <c r="B362" t="inlineStr">
        <is>
          <t>BS32400</t>
        </is>
      </c>
      <c r="C362" t="inlineStr">
        <is>
          <t>Petroleum and coal product manufacturing</t>
        </is>
      </c>
      <c r="D362" t="n">
        <v>87397.7</v>
      </c>
      <c r="E362">
        <f>IFERROR(VLOOKUP(B362,Crosswalk!$A$2:$C$125,3,FALSE),"Unmapped")</f>
        <v/>
      </c>
    </row>
    <row r="363">
      <c r="A363" t="n">
        <v>2012</v>
      </c>
      <c r="B363" t="inlineStr">
        <is>
          <t>BS32510</t>
        </is>
      </c>
      <c r="C363" t="inlineStr">
        <is>
          <t>Basic chemical manufacturing</t>
        </is>
      </c>
      <c r="D363" t="n">
        <v>17118</v>
      </c>
      <c r="E363">
        <f>IFERROR(VLOOKUP(B363,Crosswalk!$A$2:$C$125,3,FALSE),"Unmapped")</f>
        <v/>
      </c>
    </row>
    <row r="364">
      <c r="A364" t="n">
        <v>2012</v>
      </c>
      <c r="B364" t="inlineStr">
        <is>
          <t>BS32530</t>
        </is>
      </c>
      <c r="C364" t="inlineStr">
        <is>
          <t>Pesticide, fertilizer and other agricultural chemical manufacturing</t>
        </is>
      </c>
      <c r="D364" t="n">
        <v>5257.7</v>
      </c>
      <c r="E364">
        <f>IFERROR(VLOOKUP(B364,Crosswalk!$A$2:$C$125,3,FALSE),"Unmapped")</f>
        <v/>
      </c>
    </row>
    <row r="365">
      <c r="A365" t="n">
        <v>2012</v>
      </c>
      <c r="B365" t="inlineStr">
        <is>
          <t>BS32540</t>
        </is>
      </c>
      <c r="C365" t="inlineStr">
        <is>
          <t>Pharmaceutical and medicine manufacturing</t>
        </is>
      </c>
      <c r="D365" t="n">
        <v>11295.7</v>
      </c>
      <c r="E365">
        <f>IFERROR(VLOOKUP(B365,Crosswalk!$A$2:$C$125,3,FALSE),"Unmapped")</f>
        <v/>
      </c>
    </row>
    <row r="366">
      <c r="A366" t="n">
        <v>2012</v>
      </c>
      <c r="B366" t="inlineStr">
        <is>
          <t>BS325C0</t>
        </is>
      </c>
      <c r="C366" t="inlineStr">
        <is>
          <t>Miscellaneous chemical product manufacturing</t>
        </is>
      </c>
      <c r="D366" t="n">
        <v>19920.2</v>
      </c>
      <c r="E366">
        <f>IFERROR(VLOOKUP(B366,Crosswalk!$A$2:$C$125,3,FALSE),"Unmapped")</f>
        <v/>
      </c>
    </row>
    <row r="367">
      <c r="A367" t="n">
        <v>2012</v>
      </c>
      <c r="B367" t="inlineStr">
        <is>
          <t>BS32610</t>
        </is>
      </c>
      <c r="C367" t="inlineStr">
        <is>
          <t>Plastic product manufacturing</t>
        </is>
      </c>
      <c r="D367" t="n">
        <v>19939</v>
      </c>
      <c r="E367">
        <f>IFERROR(VLOOKUP(B367,Crosswalk!$A$2:$C$125,3,FALSE),"Unmapped")</f>
        <v/>
      </c>
    </row>
    <row r="368">
      <c r="A368" t="n">
        <v>2012</v>
      </c>
      <c r="B368" t="inlineStr">
        <is>
          <t>BS32620</t>
        </is>
      </c>
      <c r="C368" t="inlineStr">
        <is>
          <t>Rubber product manufacturing</t>
        </is>
      </c>
      <c r="D368" t="n">
        <v>5275.4</v>
      </c>
      <c r="E368">
        <f>IFERROR(VLOOKUP(B368,Crosswalk!$A$2:$C$125,3,FALSE),"Unmapped")</f>
        <v/>
      </c>
    </row>
    <row r="369">
      <c r="A369" t="n">
        <v>2012</v>
      </c>
      <c r="B369" t="inlineStr">
        <is>
          <t>BS32730</t>
        </is>
      </c>
      <c r="C369" t="inlineStr">
        <is>
          <t>Cement and concrete product manufacturing</t>
        </is>
      </c>
      <c r="D369" t="n">
        <v>9784.9</v>
      </c>
      <c r="E369">
        <f>IFERROR(VLOOKUP(B369,Crosswalk!$A$2:$C$125,3,FALSE),"Unmapped")</f>
        <v/>
      </c>
    </row>
    <row r="370">
      <c r="A370" t="n">
        <v>2012</v>
      </c>
      <c r="B370" t="inlineStr">
        <is>
          <t>BS327A0</t>
        </is>
      </c>
      <c r="C370" t="inlineStr">
        <is>
          <t>Non-metallic mineral product manufacturing (except cement and concrete products)</t>
        </is>
      </c>
      <c r="D370" t="n">
        <v>5145.2</v>
      </c>
      <c r="E370">
        <f>IFERROR(VLOOKUP(B370,Crosswalk!$A$2:$C$125,3,FALSE),"Unmapped")</f>
        <v/>
      </c>
    </row>
    <row r="371">
      <c r="A371" t="n">
        <v>2012</v>
      </c>
      <c r="B371" t="inlineStr">
        <is>
          <t>BS33100</t>
        </is>
      </c>
      <c r="C371" t="inlineStr">
        <is>
          <t>Primary metal manufacturing</t>
        </is>
      </c>
      <c r="D371" t="n">
        <v>66799.10000000001</v>
      </c>
      <c r="E371">
        <f>IFERROR(VLOOKUP(B371,Crosswalk!$A$2:$C$125,3,FALSE),"Unmapped")</f>
        <v/>
      </c>
    </row>
    <row r="372">
      <c r="A372" t="n">
        <v>2012</v>
      </c>
      <c r="B372" t="inlineStr">
        <is>
          <t>BS33200</t>
        </is>
      </c>
      <c r="C372" t="inlineStr">
        <is>
          <t>Fabricated metal product manufacturing</t>
        </is>
      </c>
      <c r="D372" t="n">
        <v>35265.7</v>
      </c>
      <c r="E372">
        <f>IFERROR(VLOOKUP(B372,Crosswalk!$A$2:$C$125,3,FALSE),"Unmapped")</f>
        <v/>
      </c>
    </row>
    <row r="373">
      <c r="A373" t="n">
        <v>2012</v>
      </c>
      <c r="B373" t="inlineStr">
        <is>
          <t>BS33300</t>
        </is>
      </c>
      <c r="C373" t="inlineStr">
        <is>
          <t>Machinery manufacturing</t>
        </is>
      </c>
      <c r="D373" t="n">
        <v>38051.7</v>
      </c>
      <c r="E373">
        <f>IFERROR(VLOOKUP(B373,Crosswalk!$A$2:$C$125,3,FALSE),"Unmapped")</f>
        <v/>
      </c>
    </row>
    <row r="374">
      <c r="A374" t="n">
        <v>2012</v>
      </c>
      <c r="B374" t="inlineStr">
        <is>
          <t>BS33400</t>
        </is>
      </c>
      <c r="C374" t="inlineStr">
        <is>
          <t>Computer and electronic product manufacturing</t>
        </is>
      </c>
      <c r="D374" t="n">
        <v>15417.8</v>
      </c>
      <c r="E374">
        <f>IFERROR(VLOOKUP(B374,Crosswalk!$A$2:$C$125,3,FALSE),"Unmapped")</f>
        <v/>
      </c>
    </row>
    <row r="375">
      <c r="A375" t="n">
        <v>2012</v>
      </c>
      <c r="B375" t="inlineStr">
        <is>
          <t>BS33500</t>
        </is>
      </c>
      <c r="C375" t="inlineStr">
        <is>
          <t>Electrical equipment, appliance and component manufacturing</t>
        </is>
      </c>
      <c r="D375" t="n">
        <v>10879.4</v>
      </c>
      <c r="E375">
        <f>IFERROR(VLOOKUP(B375,Crosswalk!$A$2:$C$125,3,FALSE),"Unmapped")</f>
        <v/>
      </c>
    </row>
    <row r="376">
      <c r="A376" t="n">
        <v>2012</v>
      </c>
      <c r="B376" t="inlineStr">
        <is>
          <t>BS33610</t>
        </is>
      </c>
      <c r="C376" t="inlineStr">
        <is>
          <t>Motor vehicle manufacturing</t>
        </is>
      </c>
      <c r="D376" t="n">
        <v>54207</v>
      </c>
      <c r="E376">
        <f>IFERROR(VLOOKUP(B376,Crosswalk!$A$2:$C$125,3,FALSE),"Unmapped")</f>
        <v/>
      </c>
    </row>
    <row r="377">
      <c r="A377" t="n">
        <v>2012</v>
      </c>
      <c r="B377" t="inlineStr">
        <is>
          <t>BS33620</t>
        </is>
      </c>
      <c r="C377" t="inlineStr">
        <is>
          <t>Motor vehicle body and trailer manufacturing</t>
        </is>
      </c>
      <c r="D377" t="n">
        <v>2746.1</v>
      </c>
      <c r="E377">
        <f>IFERROR(VLOOKUP(B377,Crosswalk!$A$2:$C$125,3,FALSE),"Unmapped")</f>
        <v/>
      </c>
    </row>
    <row r="378">
      <c r="A378" t="n">
        <v>2012</v>
      </c>
      <c r="B378" t="inlineStr">
        <is>
          <t>BS33630</t>
        </is>
      </c>
      <c r="C378" t="inlineStr">
        <is>
          <t>Motor vehicle parts manufacturing</t>
        </is>
      </c>
      <c r="D378" t="n">
        <v>24860.4</v>
      </c>
      <c r="E378">
        <f>IFERROR(VLOOKUP(B378,Crosswalk!$A$2:$C$125,3,FALSE),"Unmapped")</f>
        <v/>
      </c>
    </row>
    <row r="379">
      <c r="A379" t="n">
        <v>2012</v>
      </c>
      <c r="B379" t="inlineStr">
        <is>
          <t>BS33640</t>
        </is>
      </c>
      <c r="C379" t="inlineStr">
        <is>
          <t>Aerospace product and parts manufacturing</t>
        </is>
      </c>
      <c r="D379" t="n">
        <v>17844.8</v>
      </c>
      <c r="E379">
        <f>IFERROR(VLOOKUP(B379,Crosswalk!$A$2:$C$125,3,FALSE),"Unmapped")</f>
        <v/>
      </c>
    </row>
    <row r="380">
      <c r="A380" t="n">
        <v>2012</v>
      </c>
      <c r="B380" t="inlineStr">
        <is>
          <t>BS33650</t>
        </is>
      </c>
      <c r="C380" t="inlineStr">
        <is>
          <t>Railroad rolling stock manufacturing</t>
        </is>
      </c>
      <c r="D380" t="n">
        <v>1658.1</v>
      </c>
      <c r="E380">
        <f>IFERROR(VLOOKUP(B380,Crosswalk!$A$2:$C$125,3,FALSE),"Unmapped")</f>
        <v/>
      </c>
    </row>
    <row r="381">
      <c r="A381" t="n">
        <v>2012</v>
      </c>
      <c r="B381" t="inlineStr">
        <is>
          <t>BS33660</t>
        </is>
      </c>
      <c r="C381" t="inlineStr">
        <is>
          <t>Ship and boat building</t>
        </is>
      </c>
      <c r="D381" t="n">
        <v>1266.7</v>
      </c>
      <c r="E381">
        <f>IFERROR(VLOOKUP(B381,Crosswalk!$A$2:$C$125,3,FALSE),"Unmapped")</f>
        <v/>
      </c>
    </row>
    <row r="382">
      <c r="A382" t="n">
        <v>2012</v>
      </c>
      <c r="B382" t="inlineStr">
        <is>
          <t>BS33690</t>
        </is>
      </c>
      <c r="C382" t="inlineStr">
        <is>
          <t>Other transportation equipment manufacturing</t>
        </is>
      </c>
      <c r="D382" t="n">
        <v>4323.3</v>
      </c>
      <c r="E382">
        <f>IFERROR(VLOOKUP(B382,Crosswalk!$A$2:$C$125,3,FALSE),"Unmapped")</f>
        <v/>
      </c>
    </row>
    <row r="383">
      <c r="A383" t="n">
        <v>2012</v>
      </c>
      <c r="B383" t="inlineStr">
        <is>
          <t>BS33700</t>
        </is>
      </c>
      <c r="C383" t="inlineStr">
        <is>
          <t>Furniture and related product manufacturing</t>
        </is>
      </c>
      <c r="D383" t="n">
        <v>10341</v>
      </c>
      <c r="E383">
        <f>IFERROR(VLOOKUP(B383,Crosswalk!$A$2:$C$125,3,FALSE),"Unmapped")</f>
        <v/>
      </c>
    </row>
    <row r="384">
      <c r="A384" t="n">
        <v>2012</v>
      </c>
      <c r="B384" t="inlineStr">
        <is>
          <t>BS33900</t>
        </is>
      </c>
      <c r="C384" t="inlineStr">
        <is>
          <t>Miscellaneous manufacturing</t>
        </is>
      </c>
      <c r="D384" t="n">
        <v>13383.6</v>
      </c>
      <c r="E384">
        <f>IFERROR(VLOOKUP(B384,Crosswalk!$A$2:$C$125,3,FALSE),"Unmapped")</f>
        <v/>
      </c>
    </row>
    <row r="385">
      <c r="A385" t="n">
        <v>2012</v>
      </c>
      <c r="B385" t="inlineStr">
        <is>
          <t>BS41000</t>
        </is>
      </c>
      <c r="C385" t="inlineStr">
        <is>
          <t>Wholesale trade</t>
        </is>
      </c>
      <c r="D385" t="n">
        <v>146471.8</v>
      </c>
      <c r="E385">
        <f>IFERROR(VLOOKUP(B385,Crosswalk!$A$2:$C$125,3,FALSE),"Unmapped")</f>
        <v/>
      </c>
    </row>
    <row r="386">
      <c r="A386" t="n">
        <v>2012</v>
      </c>
      <c r="B386" t="inlineStr">
        <is>
          <t>BS459BU</t>
        </is>
      </c>
      <c r="C386" t="inlineStr">
        <is>
          <t>Cannabis retailers (unlicensed)</t>
        </is>
      </c>
      <c r="D386" t="n">
        <v>1659.7</v>
      </c>
      <c r="E386">
        <f>IFERROR(VLOOKUP(B386,Crosswalk!$A$2:$C$125,3,FALSE),"Unmapped")</f>
        <v/>
      </c>
    </row>
    <row r="387">
      <c r="A387" t="n">
        <v>2012</v>
      </c>
      <c r="B387" t="inlineStr">
        <is>
          <t>BS48100</t>
        </is>
      </c>
      <c r="C387" t="inlineStr">
        <is>
          <t>Air transportation</t>
        </is>
      </c>
      <c r="D387" t="n">
        <v>20553.2</v>
      </c>
      <c r="E387">
        <f>IFERROR(VLOOKUP(B387,Crosswalk!$A$2:$C$125,3,FALSE),"Unmapped")</f>
        <v/>
      </c>
    </row>
    <row r="388">
      <c r="A388" t="n">
        <v>2012</v>
      </c>
      <c r="B388" t="inlineStr">
        <is>
          <t>BS48200</t>
        </is>
      </c>
      <c r="C388" t="inlineStr">
        <is>
          <t>Rail transportation</t>
        </is>
      </c>
      <c r="D388" t="n">
        <v>11300.8</v>
      </c>
      <c r="E388">
        <f>IFERROR(VLOOKUP(B388,Crosswalk!$A$2:$C$125,3,FALSE),"Unmapped")</f>
        <v/>
      </c>
    </row>
    <row r="389">
      <c r="A389" t="n">
        <v>2012</v>
      </c>
      <c r="B389" t="inlineStr">
        <is>
          <t>BS48300</t>
        </is>
      </c>
      <c r="C389" t="inlineStr">
        <is>
          <t>Water transportation</t>
        </is>
      </c>
      <c r="D389" t="n">
        <v>4979.1</v>
      </c>
      <c r="E389">
        <f>IFERROR(VLOOKUP(B389,Crosswalk!$A$2:$C$125,3,FALSE),"Unmapped")</f>
        <v/>
      </c>
    </row>
    <row r="390">
      <c r="A390" t="n">
        <v>2012</v>
      </c>
      <c r="B390" t="inlineStr">
        <is>
          <t>BS48400</t>
        </is>
      </c>
      <c r="C390" t="inlineStr">
        <is>
          <t>Truck transportation</t>
        </is>
      </c>
      <c r="D390" t="n">
        <v>45359.3</v>
      </c>
      <c r="E390">
        <f>IFERROR(VLOOKUP(B390,Crosswalk!$A$2:$C$125,3,FALSE),"Unmapped")</f>
        <v/>
      </c>
    </row>
    <row r="391">
      <c r="A391" t="n">
        <v>2012</v>
      </c>
      <c r="B391" t="inlineStr">
        <is>
          <t>BS48600</t>
        </is>
      </c>
      <c r="C391" t="inlineStr">
        <is>
          <t>Pipeline transportation</t>
        </is>
      </c>
      <c r="D391" t="n">
        <v>10228.8</v>
      </c>
      <c r="E391">
        <f>IFERROR(VLOOKUP(B391,Crosswalk!$A$2:$C$125,3,FALSE),"Unmapped")</f>
        <v/>
      </c>
    </row>
    <row r="392">
      <c r="A392" t="n">
        <v>2012</v>
      </c>
      <c r="B392" t="inlineStr">
        <is>
          <t>BS48B00</t>
        </is>
      </c>
      <c r="C392" t="inlineStr">
        <is>
          <t>Transit, ground passenger and scenic and sightseeing transportation, taxi and limousine service and support activities for transportation</t>
        </is>
      </c>
      <c r="D392" t="n">
        <v>33634.8</v>
      </c>
      <c r="E392">
        <f>IFERROR(VLOOKUP(B392,Crosswalk!$A$2:$C$125,3,FALSE),"Unmapped")</f>
        <v/>
      </c>
    </row>
    <row r="393">
      <c r="A393" t="n">
        <v>2012</v>
      </c>
      <c r="B393" t="inlineStr">
        <is>
          <t>BS49300</t>
        </is>
      </c>
      <c r="C393" t="inlineStr">
        <is>
          <t>Warehousing and storage</t>
        </is>
      </c>
      <c r="D393" t="n">
        <v>3841.2</v>
      </c>
      <c r="E393">
        <f>IFERROR(VLOOKUP(B393,Crosswalk!$A$2:$C$125,3,FALSE),"Unmapped")</f>
        <v/>
      </c>
    </row>
    <row r="394">
      <c r="A394" t="n">
        <v>2012</v>
      </c>
      <c r="B394" t="inlineStr">
        <is>
          <t>BS49A00</t>
        </is>
      </c>
      <c r="C394" t="inlineStr">
        <is>
          <t>Postal service, couriers and messengers</t>
        </is>
      </c>
      <c r="D394" t="n">
        <v>13219.6</v>
      </c>
      <c r="E394">
        <f>IFERROR(VLOOKUP(B394,Crosswalk!$A$2:$C$125,3,FALSE),"Unmapped")</f>
        <v/>
      </c>
    </row>
    <row r="395">
      <c r="A395" t="n">
        <v>2012</v>
      </c>
      <c r="B395" t="inlineStr">
        <is>
          <t>BS4AA00</t>
        </is>
      </c>
      <c r="C395" t="inlineStr">
        <is>
          <t>Retail trade (except cannabis)</t>
        </is>
      </c>
      <c r="D395" t="n">
        <v>137412.7</v>
      </c>
      <c r="E395">
        <f>IFERROR(VLOOKUP(B395,Crosswalk!$A$2:$C$125,3,FALSE),"Unmapped")</f>
        <v/>
      </c>
    </row>
    <row r="396">
      <c r="A396" t="n">
        <v>2012</v>
      </c>
      <c r="B396" t="inlineStr">
        <is>
          <t>BS51200</t>
        </is>
      </c>
      <c r="C396" t="inlineStr">
        <is>
          <t>Motion picture and sound recording industries</t>
        </is>
      </c>
      <c r="D396" t="n">
        <v>8779.9</v>
      </c>
      <c r="E396">
        <f>IFERROR(VLOOKUP(B396,Crosswalk!$A$2:$C$125,3,FALSE),"Unmapped")</f>
        <v/>
      </c>
    </row>
    <row r="397">
      <c r="A397" t="n">
        <v>2012</v>
      </c>
      <c r="B397" t="inlineStr">
        <is>
          <t>BS51610</t>
        </is>
      </c>
      <c r="C397" t="inlineStr">
        <is>
          <t>Radio and television broadcasting stations</t>
        </is>
      </c>
      <c r="D397" t="n">
        <v>3907.5</v>
      </c>
      <c r="E397">
        <f>IFERROR(VLOOKUP(B397,Crosswalk!$A$2:$C$125,3,FALSE),"Unmapped")</f>
        <v/>
      </c>
    </row>
    <row r="398">
      <c r="A398" t="n">
        <v>2012</v>
      </c>
      <c r="B398" t="inlineStr">
        <is>
          <t>BS51B00</t>
        </is>
      </c>
      <c r="C398" t="inlineStr">
        <is>
          <t>Publishing, pay/specialty services, telecommunications and other information services</t>
        </is>
      </c>
      <c r="D398" t="n">
        <v>82252.2</v>
      </c>
      <c r="E398">
        <f>IFERROR(VLOOKUP(B398,Crosswalk!$A$2:$C$125,3,FALSE),"Unmapped")</f>
        <v/>
      </c>
    </row>
    <row r="399">
      <c r="A399" t="n">
        <v>2012</v>
      </c>
      <c r="B399" t="inlineStr">
        <is>
          <t>BS52410</t>
        </is>
      </c>
      <c r="C399" t="inlineStr">
        <is>
          <t>Insurance carriers</t>
        </is>
      </c>
      <c r="D399" t="n">
        <v>42385.2</v>
      </c>
      <c r="E399">
        <f>IFERROR(VLOOKUP(B399,Crosswalk!$A$2:$C$125,3,FALSE),"Unmapped")</f>
        <v/>
      </c>
    </row>
    <row r="400">
      <c r="A400" t="n">
        <v>2012</v>
      </c>
      <c r="B400" t="inlineStr">
        <is>
          <t>BS52B00</t>
        </is>
      </c>
      <c r="C400" t="inlineStr">
        <is>
          <t>Depository credit intermediation and monetary authorities</t>
        </is>
      </c>
      <c r="D400" t="n">
        <v>77349.2</v>
      </c>
      <c r="E400">
        <f>IFERROR(VLOOKUP(B400,Crosswalk!$A$2:$C$125,3,FALSE),"Unmapped")</f>
        <v/>
      </c>
    </row>
    <row r="401">
      <c r="A401" t="n">
        <v>2012</v>
      </c>
      <c r="B401" t="inlineStr">
        <is>
          <t>BS53110</t>
        </is>
      </c>
      <c r="C401" t="inlineStr">
        <is>
          <t>Lessors of real estate</t>
        </is>
      </c>
      <c r="D401" t="n">
        <v>86151.89999999999</v>
      </c>
      <c r="E401">
        <f>IFERROR(VLOOKUP(B401,Crosswalk!$A$2:$C$125,3,FALSE),"Unmapped")</f>
        <v/>
      </c>
    </row>
    <row r="402">
      <c r="A402" t="n">
        <v>2012</v>
      </c>
      <c r="B402" t="inlineStr">
        <is>
          <t>BS5311A</t>
        </is>
      </c>
      <c r="C402" t="inlineStr">
        <is>
          <t>Owner-occupied dwellings</t>
        </is>
      </c>
      <c r="D402" t="n">
        <v>149432.4</v>
      </c>
      <c r="E402">
        <f>IFERROR(VLOOKUP(B402,Crosswalk!$A$2:$C$125,3,FALSE),"Unmapped")</f>
        <v/>
      </c>
    </row>
    <row r="403">
      <c r="A403" t="n">
        <v>2012</v>
      </c>
      <c r="B403" t="inlineStr">
        <is>
          <t>BS53B00</t>
        </is>
      </c>
      <c r="C403" t="inlineStr">
        <is>
          <t>Rental and leasing services and lessors of non-financial intangible assets (except copyrighted works)</t>
        </is>
      </c>
      <c r="D403" t="n">
        <v>20705.6</v>
      </c>
      <c r="E403">
        <f>IFERROR(VLOOKUP(B403,Crosswalk!$A$2:$C$125,3,FALSE),"Unmapped")</f>
        <v/>
      </c>
    </row>
    <row r="404">
      <c r="A404" t="n">
        <v>2012</v>
      </c>
      <c r="B404" t="inlineStr">
        <is>
          <t>BS54180</t>
        </is>
      </c>
      <c r="C404" t="inlineStr">
        <is>
          <t>Advertising, public relations, and related services</t>
        </is>
      </c>
      <c r="D404" t="n">
        <v>7126.4</v>
      </c>
      <c r="E404">
        <f>IFERROR(VLOOKUP(B404,Crosswalk!$A$2:$C$125,3,FALSE),"Unmapped")</f>
        <v/>
      </c>
    </row>
    <row r="405">
      <c r="A405" t="n">
        <v>2012</v>
      </c>
      <c r="B405" t="inlineStr">
        <is>
          <t>BS541C0</t>
        </is>
      </c>
      <c r="C405" t="inlineStr">
        <is>
          <t>Legal, accounting and architectural, engineering and related services</t>
        </is>
      </c>
      <c r="D405" t="n">
        <v>70759.3</v>
      </c>
      <c r="E405">
        <f>IFERROR(VLOOKUP(B405,Crosswalk!$A$2:$C$125,3,FALSE),"Unmapped")</f>
        <v/>
      </c>
    </row>
    <row r="406">
      <c r="A406" t="n">
        <v>2012</v>
      </c>
      <c r="B406" t="inlineStr">
        <is>
          <t>BS541D0</t>
        </is>
      </c>
      <c r="C406" t="inlineStr">
        <is>
          <t>Computer systems design and other professional, scientific and technical services</t>
        </is>
      </c>
      <c r="D406" t="n">
        <v>72440.8</v>
      </c>
      <c r="E406">
        <f>IFERROR(VLOOKUP(B406,Crosswalk!$A$2:$C$125,3,FALSE),"Unmapped")</f>
        <v/>
      </c>
    </row>
    <row r="407">
      <c r="A407" t="n">
        <v>2012</v>
      </c>
      <c r="B407" t="inlineStr">
        <is>
          <t>BS56100</t>
        </is>
      </c>
      <c r="C407" t="inlineStr">
        <is>
          <t>Administrative and support services</t>
        </is>
      </c>
      <c r="D407" t="n">
        <v>66156.89999999999</v>
      </c>
      <c r="E407">
        <f>IFERROR(VLOOKUP(B407,Crosswalk!$A$2:$C$125,3,FALSE),"Unmapped")</f>
        <v/>
      </c>
    </row>
    <row r="408">
      <c r="A408" t="n">
        <v>2012</v>
      </c>
      <c r="B408" t="inlineStr">
        <is>
          <t>BS56200</t>
        </is>
      </c>
      <c r="C408" t="inlineStr">
        <is>
          <t>Waste management and remediation services</t>
        </is>
      </c>
      <c r="D408" t="n">
        <v>7546.7</v>
      </c>
      <c r="E408">
        <f>IFERROR(VLOOKUP(B408,Crosswalk!$A$2:$C$125,3,FALSE),"Unmapped")</f>
        <v/>
      </c>
    </row>
    <row r="409">
      <c r="A409" t="n">
        <v>2012</v>
      </c>
      <c r="B409" t="inlineStr">
        <is>
          <t>BS5A000</t>
        </is>
      </c>
      <c r="C409" t="inlineStr">
        <is>
          <t>Other finance, insurance and real estate services and management of companies and enterprises</t>
        </is>
      </c>
      <c r="D409" t="n">
        <v>114992.9</v>
      </c>
      <c r="E409">
        <f>IFERROR(VLOOKUP(B409,Crosswalk!$A$2:$C$125,3,FALSE),"Unmapped")</f>
        <v/>
      </c>
    </row>
    <row r="410">
      <c r="A410" t="n">
        <v>2012</v>
      </c>
      <c r="B410" t="inlineStr">
        <is>
          <t>BS61000</t>
        </is>
      </c>
      <c r="C410" t="inlineStr">
        <is>
          <t>Educational services</t>
        </is>
      </c>
      <c r="D410" t="n">
        <v>5491.4</v>
      </c>
      <c r="E410">
        <f>IFERROR(VLOOKUP(B410,Crosswalk!$A$2:$C$125,3,FALSE),"Unmapped")</f>
        <v/>
      </c>
    </row>
    <row r="411">
      <c r="A411" t="n">
        <v>2012</v>
      </c>
      <c r="B411" t="inlineStr">
        <is>
          <t>BS62000</t>
        </is>
      </c>
      <c r="C411" t="inlineStr">
        <is>
          <t>Health care and social assistance</t>
        </is>
      </c>
      <c r="D411" t="n">
        <v>64147.5</v>
      </c>
      <c r="E411">
        <f>IFERROR(VLOOKUP(B411,Crosswalk!$A$2:$C$125,3,FALSE),"Unmapped")</f>
        <v/>
      </c>
    </row>
    <row r="412">
      <c r="A412" t="n">
        <v>2012</v>
      </c>
      <c r="B412" t="inlineStr">
        <is>
          <t>BS71000</t>
        </is>
      </c>
      <c r="C412" t="inlineStr">
        <is>
          <t>Arts, entertainment and recreation</t>
        </is>
      </c>
      <c r="D412" t="n">
        <v>22126.2</v>
      </c>
      <c r="E412">
        <f>IFERROR(VLOOKUP(B412,Crosswalk!$A$2:$C$125,3,FALSE),"Unmapped")</f>
        <v/>
      </c>
    </row>
    <row r="413">
      <c r="A413" t="n">
        <v>2012</v>
      </c>
      <c r="B413" t="inlineStr">
        <is>
          <t>BS72000</t>
        </is>
      </c>
      <c r="C413" t="inlineStr">
        <is>
          <t>Accommodation and food services</t>
        </is>
      </c>
      <c r="D413" t="n">
        <v>71842</v>
      </c>
      <c r="E413">
        <f>IFERROR(VLOOKUP(B413,Crosswalk!$A$2:$C$125,3,FALSE),"Unmapped")</f>
        <v/>
      </c>
    </row>
    <row r="414">
      <c r="A414" t="n">
        <v>2012</v>
      </c>
      <c r="B414" t="inlineStr">
        <is>
          <t>BS81100</t>
        </is>
      </c>
      <c r="C414" t="inlineStr">
        <is>
          <t>Repair and maintenance</t>
        </is>
      </c>
      <c r="D414" t="n">
        <v>21497.2</v>
      </c>
      <c r="E414">
        <f>IFERROR(VLOOKUP(B414,Crosswalk!$A$2:$C$125,3,FALSE),"Unmapped")</f>
        <v/>
      </c>
    </row>
    <row r="415">
      <c r="A415" t="n">
        <v>2012</v>
      </c>
      <c r="B415" t="inlineStr">
        <is>
          <t>BS81300</t>
        </is>
      </c>
      <c r="C415" t="inlineStr">
        <is>
          <t>Business, professional and other membership organizations</t>
        </is>
      </c>
      <c r="D415" t="n">
        <v>3872.2</v>
      </c>
      <c r="E415">
        <f>IFERROR(VLOOKUP(B415,Crosswalk!$A$2:$C$125,3,FALSE),"Unmapped")</f>
        <v/>
      </c>
    </row>
    <row r="416">
      <c r="A416" t="n">
        <v>2012</v>
      </c>
      <c r="B416" t="inlineStr">
        <is>
          <t>BS81A00</t>
        </is>
      </c>
      <c r="C416" t="inlineStr">
        <is>
          <t>Personal services and private households</t>
        </is>
      </c>
      <c r="D416" t="n">
        <v>16947.8</v>
      </c>
      <c r="E416">
        <f>IFERROR(VLOOKUP(B416,Crosswalk!$A$2:$C$125,3,FALSE),"Unmapped")</f>
        <v/>
      </c>
    </row>
    <row r="417">
      <c r="A417" t="n">
        <v>2012</v>
      </c>
      <c r="B417" t="inlineStr">
        <is>
          <t>GS61130</t>
        </is>
      </c>
      <c r="C417" t="inlineStr">
        <is>
          <t>Universities</t>
        </is>
      </c>
      <c r="D417" t="n">
        <v>37655</v>
      </c>
      <c r="E417">
        <f>IFERROR(VLOOKUP(B417,Crosswalk!$A$2:$C$125,3,FALSE),"Unmapped")</f>
        <v/>
      </c>
    </row>
    <row r="418">
      <c r="A418" t="n">
        <v>2012</v>
      </c>
      <c r="B418" t="inlineStr">
        <is>
          <t>GS611B0</t>
        </is>
      </c>
      <c r="C418" t="inlineStr">
        <is>
          <t>Educational services (except universities)</t>
        </is>
      </c>
      <c r="D418" t="n">
        <v>65672.3</v>
      </c>
      <c r="E418">
        <f>IFERROR(VLOOKUP(B418,Crosswalk!$A$2:$C$125,3,FALSE),"Unmapped")</f>
        <v/>
      </c>
    </row>
    <row r="419">
      <c r="A419" t="n">
        <v>2012</v>
      </c>
      <c r="B419" t="inlineStr">
        <is>
          <t>GS62300</t>
        </is>
      </c>
      <c r="C419" t="inlineStr">
        <is>
          <t>Nursing and residential care facilities</t>
        </is>
      </c>
      <c r="D419" t="n">
        <v>13710.4</v>
      </c>
      <c r="E419">
        <f>IFERROR(VLOOKUP(B419,Crosswalk!$A$2:$C$125,3,FALSE),"Unmapped")</f>
        <v/>
      </c>
    </row>
    <row r="420">
      <c r="A420" t="n">
        <v>2012</v>
      </c>
      <c r="B420" t="inlineStr">
        <is>
          <t>GS62B00</t>
        </is>
      </c>
      <c r="C420" t="inlineStr">
        <is>
          <t>Health care and social assistance (except nursing and residential care facilities)</t>
        </is>
      </c>
      <c r="D420" t="n">
        <v>82708.89999999999</v>
      </c>
      <c r="E420">
        <f>IFERROR(VLOOKUP(B420,Crosswalk!$A$2:$C$125,3,FALSE),"Unmapped")</f>
        <v/>
      </c>
    </row>
    <row r="421">
      <c r="A421" t="n">
        <v>2012</v>
      </c>
      <c r="B421" t="inlineStr">
        <is>
          <t>GS91100</t>
        </is>
      </c>
      <c r="C421" t="inlineStr">
        <is>
          <t>Other federal government services</t>
        </is>
      </c>
      <c r="D421" t="n">
        <v>73332.8</v>
      </c>
      <c r="E421">
        <f>IFERROR(VLOOKUP(B421,Crosswalk!$A$2:$C$125,3,FALSE),"Unmapped")</f>
        <v/>
      </c>
    </row>
    <row r="422">
      <c r="A422" t="n">
        <v>2012</v>
      </c>
      <c r="B422" t="inlineStr">
        <is>
          <t>GS91200</t>
        </is>
      </c>
      <c r="C422" t="inlineStr">
        <is>
          <t>Other provincial and territorial government services</t>
        </is>
      </c>
      <c r="D422" t="n">
        <v>114021.7</v>
      </c>
      <c r="E422">
        <f>IFERROR(VLOOKUP(B422,Crosswalk!$A$2:$C$125,3,FALSE),"Unmapped")</f>
        <v/>
      </c>
    </row>
    <row r="423">
      <c r="A423" t="n">
        <v>2012</v>
      </c>
      <c r="B423" t="inlineStr">
        <is>
          <t>GS91300</t>
        </is>
      </c>
      <c r="C423" t="inlineStr">
        <is>
          <t>Other municipal government services</t>
        </is>
      </c>
      <c r="D423" t="n">
        <v>72991.5</v>
      </c>
      <c r="E423">
        <f>IFERROR(VLOOKUP(B423,Crosswalk!$A$2:$C$125,3,FALSE),"Unmapped")</f>
        <v/>
      </c>
    </row>
    <row r="424">
      <c r="A424" t="n">
        <v>2012</v>
      </c>
      <c r="B424" t="inlineStr">
        <is>
          <t>GS91400</t>
        </is>
      </c>
      <c r="C424" t="inlineStr">
        <is>
          <t>Other Indigenous government services</t>
        </is>
      </c>
      <c r="D424" t="n">
        <v>6690.2</v>
      </c>
      <c r="E424">
        <f>IFERROR(VLOOKUP(B424,Crosswalk!$A$2:$C$125,3,FALSE),"Unmapped")</f>
        <v/>
      </c>
    </row>
    <row r="425">
      <c r="A425" t="n">
        <v>2012</v>
      </c>
      <c r="B425" t="inlineStr">
        <is>
          <t>NP61000</t>
        </is>
      </c>
      <c r="C425" t="inlineStr">
        <is>
          <t>Educational services</t>
        </is>
      </c>
      <c r="D425" t="n">
        <v>4445.7</v>
      </c>
      <c r="E425">
        <f>IFERROR(VLOOKUP(B425,Crosswalk!$A$2:$C$125,3,FALSE),"Unmapped")</f>
        <v/>
      </c>
    </row>
    <row r="426">
      <c r="A426" t="n">
        <v>2012</v>
      </c>
      <c r="B426" t="inlineStr">
        <is>
          <t>NP62400</t>
        </is>
      </c>
      <c r="C426" t="inlineStr">
        <is>
          <t>Social assistance</t>
        </is>
      </c>
      <c r="D426" t="n">
        <v>8620.200000000001</v>
      </c>
      <c r="E426">
        <f>IFERROR(VLOOKUP(B426,Crosswalk!$A$2:$C$125,3,FALSE),"Unmapped")</f>
        <v/>
      </c>
    </row>
    <row r="427">
      <c r="A427" t="n">
        <v>2012</v>
      </c>
      <c r="B427" t="inlineStr">
        <is>
          <t>NP71000</t>
        </is>
      </c>
      <c r="C427" t="inlineStr">
        <is>
          <t>Arts, entertainment and recreation</t>
        </is>
      </c>
      <c r="D427" t="n">
        <v>1982.8</v>
      </c>
      <c r="E427">
        <f>IFERROR(VLOOKUP(B427,Crosswalk!$A$2:$C$125,3,FALSE),"Unmapped")</f>
        <v/>
      </c>
    </row>
    <row r="428">
      <c r="A428" t="n">
        <v>2012</v>
      </c>
      <c r="B428" t="inlineStr">
        <is>
          <t>NP81310</t>
        </is>
      </c>
      <c r="C428" t="inlineStr">
        <is>
          <t>Religious organizations</t>
        </is>
      </c>
      <c r="D428" t="n">
        <v>5419.8</v>
      </c>
      <c r="E428">
        <f>IFERROR(VLOOKUP(B428,Crosswalk!$A$2:$C$125,3,FALSE),"Unmapped")</f>
        <v/>
      </c>
    </row>
    <row r="429">
      <c r="A429" t="n">
        <v>2012</v>
      </c>
      <c r="B429" t="inlineStr">
        <is>
          <t>NPA0000</t>
        </is>
      </c>
      <c r="C429" t="inlineStr">
        <is>
          <t>Miscellaneous non-profit institutions serving households</t>
        </is>
      </c>
      <c r="D429" t="n">
        <v>20497.4</v>
      </c>
      <c r="E429">
        <f>IFERROR(VLOOKUP(B429,Crosswalk!$A$2:$C$125,3,FALSE),"Unmapped")</f>
        <v/>
      </c>
    </row>
    <row r="430">
      <c r="A430" t="n">
        <v>2013</v>
      </c>
      <c r="B430" t="inlineStr">
        <is>
          <t>BS111CL</t>
        </is>
      </c>
      <c r="C430" t="inlineStr">
        <is>
          <t>Cannabis production (licensed)</t>
        </is>
      </c>
      <c r="D430" t="n">
        <v>18</v>
      </c>
      <c r="E430">
        <f>IFERROR(VLOOKUP(B430,Crosswalk!$A$2:$C$125,3,FALSE),"Unmapped")</f>
        <v/>
      </c>
    </row>
    <row r="431">
      <c r="A431" t="n">
        <v>2013</v>
      </c>
      <c r="B431" t="inlineStr">
        <is>
          <t>BS111CU</t>
        </is>
      </c>
      <c r="C431" t="inlineStr">
        <is>
          <t>Cannabis production (unlicensed)</t>
        </is>
      </c>
      <c r="D431" t="n">
        <v>4949.5</v>
      </c>
      <c r="E431">
        <f>IFERROR(VLOOKUP(B431,Crosswalk!$A$2:$C$125,3,FALSE),"Unmapped")</f>
        <v/>
      </c>
    </row>
    <row r="432">
      <c r="A432" t="n">
        <v>2013</v>
      </c>
      <c r="B432" t="inlineStr">
        <is>
          <t>BS11300</t>
        </is>
      </c>
      <c r="C432" t="inlineStr">
        <is>
          <t>Forestry and logging</t>
        </is>
      </c>
      <c r="D432" t="n">
        <v>9576.9</v>
      </c>
      <c r="E432">
        <f>IFERROR(VLOOKUP(B432,Crosswalk!$A$2:$C$125,3,FALSE),"Unmapped")</f>
        <v/>
      </c>
    </row>
    <row r="433">
      <c r="A433" t="n">
        <v>2013</v>
      </c>
      <c r="B433" t="inlineStr">
        <is>
          <t>BS11400</t>
        </is>
      </c>
      <c r="C433" t="inlineStr">
        <is>
          <t>Fishing, hunting and trapping</t>
        </is>
      </c>
      <c r="D433" t="n">
        <v>2380.1</v>
      </c>
      <c r="E433">
        <f>IFERROR(VLOOKUP(B433,Crosswalk!$A$2:$C$125,3,FALSE),"Unmapped")</f>
        <v/>
      </c>
    </row>
    <row r="434">
      <c r="A434" t="n">
        <v>2013</v>
      </c>
      <c r="B434" t="inlineStr">
        <is>
          <t>BS11500</t>
        </is>
      </c>
      <c r="C434" t="inlineStr">
        <is>
          <t>Support activities for agriculture and forestry</t>
        </is>
      </c>
      <c r="D434" t="n">
        <v>2836.3</v>
      </c>
      <c r="E434">
        <f>IFERROR(VLOOKUP(B434,Crosswalk!$A$2:$C$125,3,FALSE),"Unmapped")</f>
        <v/>
      </c>
    </row>
    <row r="435">
      <c r="A435" t="n">
        <v>2013</v>
      </c>
      <c r="B435" t="inlineStr">
        <is>
          <t>BS11B00</t>
        </is>
      </c>
      <c r="C435" t="inlineStr">
        <is>
          <t>Crop and animal production (except cannabis)</t>
        </is>
      </c>
      <c r="D435" t="n">
        <v>65650.3</v>
      </c>
      <c r="E435">
        <f>IFERROR(VLOOKUP(B435,Crosswalk!$A$2:$C$125,3,FALSE),"Unmapped")</f>
        <v/>
      </c>
    </row>
    <row r="436">
      <c r="A436" t="n">
        <v>2013</v>
      </c>
      <c r="B436" t="inlineStr">
        <is>
          <t>BS21100</t>
        </is>
      </c>
      <c r="C436" t="inlineStr">
        <is>
          <t>Oil and gas extraction</t>
        </is>
      </c>
      <c r="D436" t="n">
        <v>148919.8</v>
      </c>
      <c r="E436">
        <f>IFERROR(VLOOKUP(B436,Crosswalk!$A$2:$C$125,3,FALSE),"Unmapped")</f>
        <v/>
      </c>
    </row>
    <row r="437">
      <c r="A437" t="n">
        <v>2013</v>
      </c>
      <c r="B437" t="inlineStr">
        <is>
          <t>BS21210</t>
        </is>
      </c>
      <c r="C437" t="inlineStr">
        <is>
          <t>Coal mining</t>
        </is>
      </c>
      <c r="D437" t="n">
        <v>4748.6</v>
      </c>
      <c r="E437">
        <f>IFERROR(VLOOKUP(B437,Crosswalk!$A$2:$C$125,3,FALSE),"Unmapped")</f>
        <v/>
      </c>
    </row>
    <row r="438">
      <c r="A438" t="n">
        <v>2013</v>
      </c>
      <c r="B438" t="inlineStr">
        <is>
          <t>BS21220</t>
        </is>
      </c>
      <c r="C438" t="inlineStr">
        <is>
          <t>Metal ore mining</t>
        </is>
      </c>
      <c r="D438" t="n">
        <v>23313.1</v>
      </c>
      <c r="E438">
        <f>IFERROR(VLOOKUP(B438,Crosswalk!$A$2:$C$125,3,FALSE),"Unmapped")</f>
        <v/>
      </c>
    </row>
    <row r="439">
      <c r="A439" t="n">
        <v>2013</v>
      </c>
      <c r="B439" t="inlineStr">
        <is>
          <t>BS21230</t>
        </is>
      </c>
      <c r="C439" t="inlineStr">
        <is>
          <t>Non-metallic mineral mining and quarrying</t>
        </is>
      </c>
      <c r="D439" t="n">
        <v>12976</v>
      </c>
      <c r="E439">
        <f>IFERROR(VLOOKUP(B439,Crosswalk!$A$2:$C$125,3,FALSE),"Unmapped")</f>
        <v/>
      </c>
    </row>
    <row r="440">
      <c r="A440" t="n">
        <v>2013</v>
      </c>
      <c r="B440" t="inlineStr">
        <is>
          <t>BS21300</t>
        </is>
      </c>
      <c r="C440" t="inlineStr">
        <is>
          <t>Support activities for mining, and oil and gas extraction</t>
        </is>
      </c>
      <c r="D440" t="n">
        <v>32436.8</v>
      </c>
      <c r="E440">
        <f>IFERROR(VLOOKUP(B440,Crosswalk!$A$2:$C$125,3,FALSE),"Unmapped")</f>
        <v/>
      </c>
    </row>
    <row r="441">
      <c r="A441" t="n">
        <v>2013</v>
      </c>
      <c r="B441" t="inlineStr">
        <is>
          <t>BS22110</t>
        </is>
      </c>
      <c r="C441" t="inlineStr">
        <is>
          <t>Electric power generation, transmission and distribution</t>
        </is>
      </c>
      <c r="D441" t="n">
        <v>42916.4</v>
      </c>
      <c r="E441">
        <f>IFERROR(VLOOKUP(B441,Crosswalk!$A$2:$C$125,3,FALSE),"Unmapped")</f>
        <v/>
      </c>
    </row>
    <row r="442">
      <c r="A442" t="n">
        <v>2013</v>
      </c>
      <c r="B442" t="inlineStr">
        <is>
          <t>BS221A0</t>
        </is>
      </c>
      <c r="C442" t="inlineStr">
        <is>
          <t>Natural gas distribution, water, sewage and other systems</t>
        </is>
      </c>
      <c r="D442" t="n">
        <v>6252.7</v>
      </c>
      <c r="E442">
        <f>IFERROR(VLOOKUP(B442,Crosswalk!$A$2:$C$125,3,FALSE),"Unmapped")</f>
        <v/>
      </c>
    </row>
    <row r="443">
      <c r="A443" t="n">
        <v>2013</v>
      </c>
      <c r="B443" t="inlineStr">
        <is>
          <t>BS23A00</t>
        </is>
      </c>
      <c r="C443" t="inlineStr">
        <is>
          <t>Residential building construction</t>
        </is>
      </c>
      <c r="D443" t="n">
        <v>98916.2</v>
      </c>
      <c r="E443">
        <f>IFERROR(VLOOKUP(B443,Crosswalk!$A$2:$C$125,3,FALSE),"Unmapped")</f>
        <v/>
      </c>
    </row>
    <row r="444">
      <c r="A444" t="n">
        <v>2013</v>
      </c>
      <c r="B444" t="inlineStr">
        <is>
          <t>BS23B00</t>
        </is>
      </c>
      <c r="C444" t="inlineStr">
        <is>
          <t>Non-residential building construction</t>
        </is>
      </c>
      <c r="D444" t="n">
        <v>47018.1</v>
      </c>
      <c r="E444">
        <f>IFERROR(VLOOKUP(B444,Crosswalk!$A$2:$C$125,3,FALSE),"Unmapped")</f>
        <v/>
      </c>
    </row>
    <row r="445">
      <c r="A445" t="n">
        <v>2013</v>
      </c>
      <c r="B445" t="inlineStr">
        <is>
          <t>BS23C10</t>
        </is>
      </c>
      <c r="C445" t="inlineStr">
        <is>
          <t>Transportation engineering construction</t>
        </is>
      </c>
      <c r="D445" t="n">
        <v>23189.5</v>
      </c>
      <c r="E445">
        <f>IFERROR(VLOOKUP(B445,Crosswalk!$A$2:$C$125,3,FALSE),"Unmapped")</f>
        <v/>
      </c>
    </row>
    <row r="446">
      <c r="A446" t="n">
        <v>2013</v>
      </c>
      <c r="B446" t="inlineStr">
        <is>
          <t>BS23C20</t>
        </is>
      </c>
      <c r="C446" t="inlineStr">
        <is>
          <t>Oil and gas engineering construction</t>
        </is>
      </c>
      <c r="D446" t="n">
        <v>68940.7</v>
      </c>
      <c r="E446">
        <f>IFERROR(VLOOKUP(B446,Crosswalk!$A$2:$C$125,3,FALSE),"Unmapped")</f>
        <v/>
      </c>
    </row>
    <row r="447">
      <c r="A447" t="n">
        <v>2013</v>
      </c>
      <c r="B447" t="inlineStr">
        <is>
          <t>BS23C30</t>
        </is>
      </c>
      <c r="C447" t="inlineStr">
        <is>
          <t>Electric power engineering construction</t>
        </is>
      </c>
      <c r="D447" t="n">
        <v>18764.8</v>
      </c>
      <c r="E447">
        <f>IFERROR(VLOOKUP(B447,Crosswalk!$A$2:$C$125,3,FALSE),"Unmapped")</f>
        <v/>
      </c>
    </row>
    <row r="448">
      <c r="A448" t="n">
        <v>2013</v>
      </c>
      <c r="B448" t="inlineStr">
        <is>
          <t>BS23C40</t>
        </is>
      </c>
      <c r="C448" t="inlineStr">
        <is>
          <t>Communication engineering construction</t>
        </is>
      </c>
      <c r="D448" t="n">
        <v>2139.3</v>
      </c>
      <c r="E448">
        <f>IFERROR(VLOOKUP(B448,Crosswalk!$A$2:$C$125,3,FALSE),"Unmapped")</f>
        <v/>
      </c>
    </row>
    <row r="449">
      <c r="A449" t="n">
        <v>2013</v>
      </c>
      <c r="B449" t="inlineStr">
        <is>
          <t>BS23C50</t>
        </is>
      </c>
      <c r="C449" t="inlineStr">
        <is>
          <t>Other engineering construction</t>
        </is>
      </c>
      <c r="D449" t="n">
        <v>24194.9</v>
      </c>
      <c r="E449">
        <f>IFERROR(VLOOKUP(B449,Crosswalk!$A$2:$C$125,3,FALSE),"Unmapped")</f>
        <v/>
      </c>
    </row>
    <row r="450">
      <c r="A450" t="n">
        <v>2013</v>
      </c>
      <c r="B450" t="inlineStr">
        <is>
          <t>BS23D00</t>
        </is>
      </c>
      <c r="C450" t="inlineStr">
        <is>
          <t>Repair construction</t>
        </is>
      </c>
      <c r="D450" t="n">
        <v>36566.3</v>
      </c>
      <c r="E450">
        <f>IFERROR(VLOOKUP(B450,Crosswalk!$A$2:$C$125,3,FALSE),"Unmapped")</f>
        <v/>
      </c>
    </row>
    <row r="451">
      <c r="A451" t="n">
        <v>2013</v>
      </c>
      <c r="B451" t="inlineStr">
        <is>
          <t>BS23E00</t>
        </is>
      </c>
      <c r="C451" t="inlineStr">
        <is>
          <t>Other activities of the construction industry</t>
        </is>
      </c>
      <c r="D451" t="n">
        <v>3822.6</v>
      </c>
      <c r="E451">
        <f>IFERROR(VLOOKUP(B451,Crosswalk!$A$2:$C$125,3,FALSE),"Unmapped")</f>
        <v/>
      </c>
    </row>
    <row r="452">
      <c r="A452" t="n">
        <v>2013</v>
      </c>
      <c r="B452" t="inlineStr">
        <is>
          <t>BS31110</t>
        </is>
      </c>
      <c r="C452" t="inlineStr">
        <is>
          <t>Animal food manufacturing</t>
        </is>
      </c>
      <c r="D452" t="n">
        <v>7859.8</v>
      </c>
      <c r="E452">
        <f>IFERROR(VLOOKUP(B452,Crosswalk!$A$2:$C$125,3,FALSE),"Unmapped")</f>
        <v/>
      </c>
    </row>
    <row r="453">
      <c r="A453" t="n">
        <v>2013</v>
      </c>
      <c r="B453" t="inlineStr">
        <is>
          <t>BS31130</t>
        </is>
      </c>
      <c r="C453" t="inlineStr">
        <is>
          <t>Sugar and confectionery product manufacturing</t>
        </is>
      </c>
      <c r="D453" t="n">
        <v>3833.5</v>
      </c>
      <c r="E453">
        <f>IFERROR(VLOOKUP(B453,Crosswalk!$A$2:$C$125,3,FALSE),"Unmapped")</f>
        <v/>
      </c>
    </row>
    <row r="454">
      <c r="A454" t="n">
        <v>2013</v>
      </c>
      <c r="B454" t="inlineStr">
        <is>
          <t>BS31140</t>
        </is>
      </c>
      <c r="C454" t="inlineStr">
        <is>
          <t>Fruit and vegetable preserving and specialty food manufacturing</t>
        </is>
      </c>
      <c r="D454" t="n">
        <v>6824.9</v>
      </c>
      <c r="E454">
        <f>IFERROR(VLOOKUP(B454,Crosswalk!$A$2:$C$125,3,FALSE),"Unmapped")</f>
        <v/>
      </c>
    </row>
    <row r="455">
      <c r="A455" t="n">
        <v>2013</v>
      </c>
      <c r="B455" t="inlineStr">
        <is>
          <t>BS31150</t>
        </is>
      </c>
      <c r="C455" t="inlineStr">
        <is>
          <t>Dairy product manufacturing</t>
        </is>
      </c>
      <c r="D455" t="n">
        <v>13903</v>
      </c>
      <c r="E455">
        <f>IFERROR(VLOOKUP(B455,Crosswalk!$A$2:$C$125,3,FALSE),"Unmapped")</f>
        <v/>
      </c>
    </row>
    <row r="456">
      <c r="A456" t="n">
        <v>2013</v>
      </c>
      <c r="B456" t="inlineStr">
        <is>
          <t>BS31160</t>
        </is>
      </c>
      <c r="C456" t="inlineStr">
        <is>
          <t>Meat product manufacturing</t>
        </is>
      </c>
      <c r="D456" t="n">
        <v>23282.2</v>
      </c>
      <c r="E456">
        <f>IFERROR(VLOOKUP(B456,Crosswalk!$A$2:$C$125,3,FALSE),"Unmapped")</f>
        <v/>
      </c>
    </row>
    <row r="457">
      <c r="A457" t="n">
        <v>2013</v>
      </c>
      <c r="B457" t="inlineStr">
        <is>
          <t>BS31170</t>
        </is>
      </c>
      <c r="C457" t="inlineStr">
        <is>
          <t>Seafood product preparation and packaging</t>
        </is>
      </c>
      <c r="D457" t="n">
        <v>4358.3</v>
      </c>
      <c r="E457">
        <f>IFERROR(VLOOKUP(B457,Crosswalk!$A$2:$C$125,3,FALSE),"Unmapped")</f>
        <v/>
      </c>
    </row>
    <row r="458">
      <c r="A458" t="n">
        <v>2013</v>
      </c>
      <c r="B458" t="inlineStr">
        <is>
          <t>BS311A0</t>
        </is>
      </c>
      <c r="C458" t="inlineStr">
        <is>
          <t>Miscellaneous food manufacturing</t>
        </is>
      </c>
      <c r="D458" t="n">
        <v>28965.4</v>
      </c>
      <c r="E458">
        <f>IFERROR(VLOOKUP(B458,Crosswalk!$A$2:$C$125,3,FALSE),"Unmapped")</f>
        <v/>
      </c>
    </row>
    <row r="459">
      <c r="A459" t="n">
        <v>2013</v>
      </c>
      <c r="B459" t="inlineStr">
        <is>
          <t>BS31211</t>
        </is>
      </c>
      <c r="C459" t="inlineStr">
        <is>
          <t>Soft drink and ice manufacturing</t>
        </is>
      </c>
      <c r="D459" t="n">
        <v>4376.6</v>
      </c>
      <c r="E459">
        <f>IFERROR(VLOOKUP(B459,Crosswalk!$A$2:$C$125,3,FALSE),"Unmapped")</f>
        <v/>
      </c>
    </row>
    <row r="460">
      <c r="A460" t="n">
        <v>2013</v>
      </c>
      <c r="B460" t="inlineStr">
        <is>
          <t>BS31212</t>
        </is>
      </c>
      <c r="C460" t="inlineStr">
        <is>
          <t>Breweries</t>
        </is>
      </c>
      <c r="D460" t="n">
        <v>5433.8</v>
      </c>
      <c r="E460">
        <f>IFERROR(VLOOKUP(B460,Crosswalk!$A$2:$C$125,3,FALSE),"Unmapped")</f>
        <v/>
      </c>
    </row>
    <row r="461">
      <c r="A461" t="n">
        <v>2013</v>
      </c>
      <c r="B461" t="inlineStr">
        <is>
          <t>BS3121A</t>
        </is>
      </c>
      <c r="C461" t="inlineStr">
        <is>
          <t>Wineries and distilleries</t>
        </is>
      </c>
      <c r="D461" t="n">
        <v>2131.8</v>
      </c>
      <c r="E461">
        <f>IFERROR(VLOOKUP(B461,Crosswalk!$A$2:$C$125,3,FALSE),"Unmapped")</f>
        <v/>
      </c>
    </row>
    <row r="462">
      <c r="A462" t="n">
        <v>2013</v>
      </c>
      <c r="B462" t="inlineStr">
        <is>
          <t>BS312A0</t>
        </is>
      </c>
      <c r="C462" t="inlineStr">
        <is>
          <t>Tobacco and cannabis product manufacturing</t>
        </is>
      </c>
      <c r="D462" t="n">
        <v>1695.9</v>
      </c>
      <c r="E462">
        <f>IFERROR(VLOOKUP(B462,Crosswalk!$A$2:$C$125,3,FALSE),"Unmapped")</f>
        <v/>
      </c>
    </row>
    <row r="463">
      <c r="A463" t="n">
        <v>2013</v>
      </c>
      <c r="B463" t="inlineStr">
        <is>
          <t>BS31A00</t>
        </is>
      </c>
      <c r="C463" t="inlineStr">
        <is>
          <t>Textile and textile product mills</t>
        </is>
      </c>
      <c r="D463" t="n">
        <v>3216</v>
      </c>
      <c r="E463">
        <f>IFERROR(VLOOKUP(B463,Crosswalk!$A$2:$C$125,3,FALSE),"Unmapped")</f>
        <v/>
      </c>
    </row>
    <row r="464">
      <c r="A464" t="n">
        <v>2013</v>
      </c>
      <c r="B464" t="inlineStr">
        <is>
          <t>BS31B00</t>
        </is>
      </c>
      <c r="C464" t="inlineStr">
        <is>
          <t>Clothing and leather and allied product manufacturing</t>
        </is>
      </c>
      <c r="D464" t="n">
        <v>2795</v>
      </c>
      <c r="E464">
        <f>IFERROR(VLOOKUP(B464,Crosswalk!$A$2:$C$125,3,FALSE),"Unmapped")</f>
        <v/>
      </c>
    </row>
    <row r="465">
      <c r="A465" t="n">
        <v>2013</v>
      </c>
      <c r="B465" t="inlineStr">
        <is>
          <t>BS32100</t>
        </is>
      </c>
      <c r="C465" t="inlineStr">
        <is>
          <t>Wood product manufacturing</t>
        </is>
      </c>
      <c r="D465" t="n">
        <v>26335.5</v>
      </c>
      <c r="E465">
        <f>IFERROR(VLOOKUP(B465,Crosswalk!$A$2:$C$125,3,FALSE),"Unmapped")</f>
        <v/>
      </c>
    </row>
    <row r="466">
      <c r="A466" t="n">
        <v>2013</v>
      </c>
      <c r="B466" t="inlineStr">
        <is>
          <t>BS32210</t>
        </is>
      </c>
      <c r="C466" t="inlineStr">
        <is>
          <t>Pulp, paper and paperboard mills</t>
        </is>
      </c>
      <c r="D466" t="n">
        <v>15016</v>
      </c>
      <c r="E466">
        <f>IFERROR(VLOOKUP(B466,Crosswalk!$A$2:$C$125,3,FALSE),"Unmapped")</f>
        <v/>
      </c>
    </row>
    <row r="467">
      <c r="A467" t="n">
        <v>2013</v>
      </c>
      <c r="B467" t="inlineStr">
        <is>
          <t>BS32220</t>
        </is>
      </c>
      <c r="C467" t="inlineStr">
        <is>
          <t>Converted paper product manufacturing</t>
        </is>
      </c>
      <c r="D467" t="n">
        <v>9916.6</v>
      </c>
      <c r="E467">
        <f>IFERROR(VLOOKUP(B467,Crosswalk!$A$2:$C$125,3,FALSE),"Unmapped")</f>
        <v/>
      </c>
    </row>
    <row r="468">
      <c r="A468" t="n">
        <v>2013</v>
      </c>
      <c r="B468" t="inlineStr">
        <is>
          <t>BS32300</t>
        </is>
      </c>
      <c r="C468" t="inlineStr">
        <is>
          <t>Printing and related support activities</t>
        </is>
      </c>
      <c r="D468" t="n">
        <v>9344.700000000001</v>
      </c>
      <c r="E468">
        <f>IFERROR(VLOOKUP(B468,Crosswalk!$A$2:$C$125,3,FALSE),"Unmapped")</f>
        <v/>
      </c>
    </row>
    <row r="469">
      <c r="A469" t="n">
        <v>2013</v>
      </c>
      <c r="B469" t="inlineStr">
        <is>
          <t>BS32400</t>
        </is>
      </c>
      <c r="C469" t="inlineStr">
        <is>
          <t>Petroleum and coal product manufacturing</t>
        </is>
      </c>
      <c r="D469" t="n">
        <v>85260.89999999999</v>
      </c>
      <c r="E469">
        <f>IFERROR(VLOOKUP(B469,Crosswalk!$A$2:$C$125,3,FALSE),"Unmapped")</f>
        <v/>
      </c>
    </row>
    <row r="470">
      <c r="A470" t="n">
        <v>2013</v>
      </c>
      <c r="B470" t="inlineStr">
        <is>
          <t>BS32510</t>
        </is>
      </c>
      <c r="C470" t="inlineStr">
        <is>
          <t>Basic chemical manufacturing</t>
        </is>
      </c>
      <c r="D470" t="n">
        <v>18665.6</v>
      </c>
      <c r="E470">
        <f>IFERROR(VLOOKUP(B470,Crosswalk!$A$2:$C$125,3,FALSE),"Unmapped")</f>
        <v/>
      </c>
    </row>
    <row r="471">
      <c r="A471" t="n">
        <v>2013</v>
      </c>
      <c r="B471" t="inlineStr">
        <is>
          <t>BS32530</t>
        </is>
      </c>
      <c r="C471" t="inlineStr">
        <is>
          <t>Pesticide, fertilizer and other agricultural chemical manufacturing</t>
        </is>
      </c>
      <c r="D471" t="n">
        <v>4896</v>
      </c>
      <c r="E471">
        <f>IFERROR(VLOOKUP(B471,Crosswalk!$A$2:$C$125,3,FALSE),"Unmapped")</f>
        <v/>
      </c>
    </row>
    <row r="472">
      <c r="A472" t="n">
        <v>2013</v>
      </c>
      <c r="B472" t="inlineStr">
        <is>
          <t>BS32540</t>
        </is>
      </c>
      <c r="C472" t="inlineStr">
        <is>
          <t>Pharmaceutical and medicine manufacturing</t>
        </is>
      </c>
      <c r="D472" t="n">
        <v>10496.9</v>
      </c>
      <c r="E472">
        <f>IFERROR(VLOOKUP(B472,Crosswalk!$A$2:$C$125,3,FALSE),"Unmapped")</f>
        <v/>
      </c>
    </row>
    <row r="473">
      <c r="A473" t="n">
        <v>2013</v>
      </c>
      <c r="B473" t="inlineStr">
        <is>
          <t>BS325C0</t>
        </is>
      </c>
      <c r="C473" t="inlineStr">
        <is>
          <t>Miscellaneous chemical product manufacturing</t>
        </is>
      </c>
      <c r="D473" t="n">
        <v>21223.4</v>
      </c>
      <c r="E473">
        <f>IFERROR(VLOOKUP(B473,Crosswalk!$A$2:$C$125,3,FALSE),"Unmapped")</f>
        <v/>
      </c>
    </row>
    <row r="474">
      <c r="A474" t="n">
        <v>2013</v>
      </c>
      <c r="B474" t="inlineStr">
        <is>
          <t>BS32610</t>
        </is>
      </c>
      <c r="C474" t="inlineStr">
        <is>
          <t>Plastic product manufacturing</t>
        </is>
      </c>
      <c r="D474" t="n">
        <v>21523.8</v>
      </c>
      <c r="E474">
        <f>IFERROR(VLOOKUP(B474,Crosswalk!$A$2:$C$125,3,FALSE),"Unmapped")</f>
        <v/>
      </c>
    </row>
    <row r="475">
      <c r="A475" t="n">
        <v>2013</v>
      </c>
      <c r="B475" t="inlineStr">
        <is>
          <t>BS32620</t>
        </is>
      </c>
      <c r="C475" t="inlineStr">
        <is>
          <t>Rubber product manufacturing</t>
        </is>
      </c>
      <c r="D475" t="n">
        <v>5070.3</v>
      </c>
      <c r="E475">
        <f>IFERROR(VLOOKUP(B475,Crosswalk!$A$2:$C$125,3,FALSE),"Unmapped")</f>
        <v/>
      </c>
    </row>
    <row r="476">
      <c r="A476" t="n">
        <v>2013</v>
      </c>
      <c r="B476" t="inlineStr">
        <is>
          <t>BS32730</t>
        </is>
      </c>
      <c r="C476" t="inlineStr">
        <is>
          <t>Cement and concrete product manufacturing</t>
        </is>
      </c>
      <c r="D476" t="n">
        <v>9717</v>
      </c>
      <c r="E476">
        <f>IFERROR(VLOOKUP(B476,Crosswalk!$A$2:$C$125,3,FALSE),"Unmapped")</f>
        <v/>
      </c>
    </row>
    <row r="477">
      <c r="A477" t="n">
        <v>2013</v>
      </c>
      <c r="B477" t="inlineStr">
        <is>
          <t>BS327A0</t>
        </is>
      </c>
      <c r="C477" t="inlineStr">
        <is>
          <t>Non-metallic mineral product manufacturing (except cement and concrete products)</t>
        </is>
      </c>
      <c r="D477" t="n">
        <v>5469.8</v>
      </c>
      <c r="E477">
        <f>IFERROR(VLOOKUP(B477,Crosswalk!$A$2:$C$125,3,FALSE),"Unmapped")</f>
        <v/>
      </c>
    </row>
    <row r="478">
      <c r="A478" t="n">
        <v>2013</v>
      </c>
      <c r="B478" t="inlineStr">
        <is>
          <t>BS33100</t>
        </is>
      </c>
      <c r="C478" t="inlineStr">
        <is>
          <t>Primary metal manufacturing</t>
        </is>
      </c>
      <c r="D478" t="n">
        <v>62478.3</v>
      </c>
      <c r="E478">
        <f>IFERROR(VLOOKUP(B478,Crosswalk!$A$2:$C$125,3,FALSE),"Unmapped")</f>
        <v/>
      </c>
    </row>
    <row r="479">
      <c r="A479" t="n">
        <v>2013</v>
      </c>
      <c r="B479" t="inlineStr">
        <is>
          <t>BS33200</t>
        </is>
      </c>
      <c r="C479" t="inlineStr">
        <is>
          <t>Fabricated metal product manufacturing</t>
        </is>
      </c>
      <c r="D479" t="n">
        <v>36604.1</v>
      </c>
      <c r="E479">
        <f>IFERROR(VLOOKUP(B479,Crosswalk!$A$2:$C$125,3,FALSE),"Unmapped")</f>
        <v/>
      </c>
    </row>
    <row r="480">
      <c r="A480" t="n">
        <v>2013</v>
      </c>
      <c r="B480" t="inlineStr">
        <is>
          <t>BS33300</t>
        </is>
      </c>
      <c r="C480" t="inlineStr">
        <is>
          <t>Machinery manufacturing</t>
        </is>
      </c>
      <c r="D480" t="n">
        <v>37748.4</v>
      </c>
      <c r="E480">
        <f>IFERROR(VLOOKUP(B480,Crosswalk!$A$2:$C$125,3,FALSE),"Unmapped")</f>
        <v/>
      </c>
    </row>
    <row r="481">
      <c r="A481" t="n">
        <v>2013</v>
      </c>
      <c r="B481" t="inlineStr">
        <is>
          <t>BS33400</t>
        </is>
      </c>
      <c r="C481" t="inlineStr">
        <is>
          <t>Computer and electronic product manufacturing</t>
        </is>
      </c>
      <c r="D481" t="n">
        <v>13911.6</v>
      </c>
      <c r="E481">
        <f>IFERROR(VLOOKUP(B481,Crosswalk!$A$2:$C$125,3,FALSE),"Unmapped")</f>
        <v/>
      </c>
    </row>
    <row r="482">
      <c r="A482" t="n">
        <v>2013</v>
      </c>
      <c r="B482" t="inlineStr">
        <is>
          <t>BS33500</t>
        </is>
      </c>
      <c r="C482" t="inlineStr">
        <is>
          <t>Electrical equipment, appliance and component manufacturing</t>
        </is>
      </c>
      <c r="D482" t="n">
        <v>10781.2</v>
      </c>
      <c r="E482">
        <f>IFERROR(VLOOKUP(B482,Crosswalk!$A$2:$C$125,3,FALSE),"Unmapped")</f>
        <v/>
      </c>
    </row>
    <row r="483">
      <c r="A483" t="n">
        <v>2013</v>
      </c>
      <c r="B483" t="inlineStr">
        <is>
          <t>BS33610</t>
        </is>
      </c>
      <c r="C483" t="inlineStr">
        <is>
          <t>Motor vehicle manufacturing</t>
        </is>
      </c>
      <c r="D483" t="n">
        <v>53879.8</v>
      </c>
      <c r="E483">
        <f>IFERROR(VLOOKUP(B483,Crosswalk!$A$2:$C$125,3,FALSE),"Unmapped")</f>
        <v/>
      </c>
    </row>
    <row r="484">
      <c r="A484" t="n">
        <v>2013</v>
      </c>
      <c r="B484" t="inlineStr">
        <is>
          <t>BS33620</t>
        </is>
      </c>
      <c r="C484" t="inlineStr">
        <is>
          <t>Motor vehicle body and trailer manufacturing</t>
        </is>
      </c>
      <c r="D484" t="n">
        <v>2911.5</v>
      </c>
      <c r="E484">
        <f>IFERROR(VLOOKUP(B484,Crosswalk!$A$2:$C$125,3,FALSE),"Unmapped")</f>
        <v/>
      </c>
    </row>
    <row r="485">
      <c r="A485" t="n">
        <v>2013</v>
      </c>
      <c r="B485" t="inlineStr">
        <is>
          <t>BS33630</t>
        </is>
      </c>
      <c r="C485" t="inlineStr">
        <is>
          <t>Motor vehicle parts manufacturing</t>
        </is>
      </c>
      <c r="D485" t="n">
        <v>25078.8</v>
      </c>
      <c r="E485">
        <f>IFERROR(VLOOKUP(B485,Crosswalk!$A$2:$C$125,3,FALSE),"Unmapped")</f>
        <v/>
      </c>
    </row>
    <row r="486">
      <c r="A486" t="n">
        <v>2013</v>
      </c>
      <c r="B486" t="inlineStr">
        <is>
          <t>BS33640</t>
        </is>
      </c>
      <c r="C486" t="inlineStr">
        <is>
          <t>Aerospace product and parts manufacturing</t>
        </is>
      </c>
      <c r="D486" t="n">
        <v>19229.8</v>
      </c>
      <c r="E486">
        <f>IFERROR(VLOOKUP(B486,Crosswalk!$A$2:$C$125,3,FALSE),"Unmapped")</f>
        <v/>
      </c>
    </row>
    <row r="487">
      <c r="A487" t="n">
        <v>2013</v>
      </c>
      <c r="B487" t="inlineStr">
        <is>
          <t>BS33650</t>
        </is>
      </c>
      <c r="C487" t="inlineStr">
        <is>
          <t>Railroad rolling stock manufacturing</t>
        </is>
      </c>
      <c r="D487" t="n">
        <v>1684.2</v>
      </c>
      <c r="E487">
        <f>IFERROR(VLOOKUP(B487,Crosswalk!$A$2:$C$125,3,FALSE),"Unmapped")</f>
        <v/>
      </c>
    </row>
    <row r="488">
      <c r="A488" t="n">
        <v>2013</v>
      </c>
      <c r="B488" t="inlineStr">
        <is>
          <t>BS33660</t>
        </is>
      </c>
      <c r="C488" t="inlineStr">
        <is>
          <t>Ship and boat building</t>
        </is>
      </c>
      <c r="D488" t="n">
        <v>1272.1</v>
      </c>
      <c r="E488">
        <f>IFERROR(VLOOKUP(B488,Crosswalk!$A$2:$C$125,3,FALSE),"Unmapped")</f>
        <v/>
      </c>
    </row>
    <row r="489">
      <c r="A489" t="n">
        <v>2013</v>
      </c>
      <c r="B489" t="inlineStr">
        <is>
          <t>BS33690</t>
        </is>
      </c>
      <c r="C489" t="inlineStr">
        <is>
          <t>Other transportation equipment manufacturing</t>
        </is>
      </c>
      <c r="D489" t="n">
        <v>4329.8</v>
      </c>
      <c r="E489">
        <f>IFERROR(VLOOKUP(B489,Crosswalk!$A$2:$C$125,3,FALSE),"Unmapped")</f>
        <v/>
      </c>
    </row>
    <row r="490">
      <c r="A490" t="n">
        <v>2013</v>
      </c>
      <c r="B490" t="inlineStr">
        <is>
          <t>BS33700</t>
        </is>
      </c>
      <c r="C490" t="inlineStr">
        <is>
          <t>Furniture and related product manufacturing</t>
        </is>
      </c>
      <c r="D490" t="n">
        <v>10787.5</v>
      </c>
      <c r="E490">
        <f>IFERROR(VLOOKUP(B490,Crosswalk!$A$2:$C$125,3,FALSE),"Unmapped")</f>
        <v/>
      </c>
    </row>
    <row r="491">
      <c r="A491" t="n">
        <v>2013</v>
      </c>
      <c r="B491" t="inlineStr">
        <is>
          <t>BS33900</t>
        </is>
      </c>
      <c r="C491" t="inlineStr">
        <is>
          <t>Miscellaneous manufacturing</t>
        </is>
      </c>
      <c r="D491" t="n">
        <v>13627.3</v>
      </c>
      <c r="E491">
        <f>IFERROR(VLOOKUP(B491,Crosswalk!$A$2:$C$125,3,FALSE),"Unmapped")</f>
        <v/>
      </c>
    </row>
    <row r="492">
      <c r="A492" t="n">
        <v>2013</v>
      </c>
      <c r="B492" t="inlineStr">
        <is>
          <t>BS41000</t>
        </is>
      </c>
      <c r="C492" t="inlineStr">
        <is>
          <t>Wholesale trade</t>
        </is>
      </c>
      <c r="D492" t="n">
        <v>154677</v>
      </c>
      <c r="E492">
        <f>IFERROR(VLOOKUP(B492,Crosswalk!$A$2:$C$125,3,FALSE),"Unmapped")</f>
        <v/>
      </c>
    </row>
    <row r="493">
      <c r="A493" t="n">
        <v>2013</v>
      </c>
      <c r="B493" t="inlineStr">
        <is>
          <t>BS459BU</t>
        </is>
      </c>
      <c r="C493" t="inlineStr">
        <is>
          <t>Cannabis retailers (unlicensed)</t>
        </is>
      </c>
      <c r="D493" t="n">
        <v>1779.2</v>
      </c>
      <c r="E493">
        <f>IFERROR(VLOOKUP(B493,Crosswalk!$A$2:$C$125,3,FALSE),"Unmapped")</f>
        <v/>
      </c>
    </row>
    <row r="494">
      <c r="A494" t="n">
        <v>2013</v>
      </c>
      <c r="B494" t="inlineStr">
        <is>
          <t>BS48100</t>
        </is>
      </c>
      <c r="C494" t="inlineStr">
        <is>
          <t>Air transportation</t>
        </is>
      </c>
      <c r="D494" t="n">
        <v>20866.3</v>
      </c>
      <c r="E494">
        <f>IFERROR(VLOOKUP(B494,Crosswalk!$A$2:$C$125,3,FALSE),"Unmapped")</f>
        <v/>
      </c>
    </row>
    <row r="495">
      <c r="A495" t="n">
        <v>2013</v>
      </c>
      <c r="B495" t="inlineStr">
        <is>
          <t>BS48200</t>
        </is>
      </c>
      <c r="C495" t="inlineStr">
        <is>
          <t>Rail transportation</t>
        </is>
      </c>
      <c r="D495" t="n">
        <v>12691</v>
      </c>
      <c r="E495">
        <f>IFERROR(VLOOKUP(B495,Crosswalk!$A$2:$C$125,3,FALSE),"Unmapped")</f>
        <v/>
      </c>
    </row>
    <row r="496">
      <c r="A496" t="n">
        <v>2013</v>
      </c>
      <c r="B496" t="inlineStr">
        <is>
          <t>BS48300</t>
        </is>
      </c>
      <c r="C496" t="inlineStr">
        <is>
          <t>Water transportation</t>
        </is>
      </c>
      <c r="D496" t="n">
        <v>5060.7</v>
      </c>
      <c r="E496">
        <f>IFERROR(VLOOKUP(B496,Crosswalk!$A$2:$C$125,3,FALSE),"Unmapped")</f>
        <v/>
      </c>
    </row>
    <row r="497">
      <c r="A497" t="n">
        <v>2013</v>
      </c>
      <c r="B497" t="inlineStr">
        <is>
          <t>BS48400</t>
        </is>
      </c>
      <c r="C497" t="inlineStr">
        <is>
          <t>Truck transportation</t>
        </is>
      </c>
      <c r="D497" t="n">
        <v>47667</v>
      </c>
      <c r="E497">
        <f>IFERROR(VLOOKUP(B497,Crosswalk!$A$2:$C$125,3,FALSE),"Unmapped")</f>
        <v/>
      </c>
    </row>
    <row r="498">
      <c r="A498" t="n">
        <v>2013</v>
      </c>
      <c r="B498" t="inlineStr">
        <is>
          <t>BS48600</t>
        </is>
      </c>
      <c r="C498" t="inlineStr">
        <is>
          <t>Pipeline transportation</t>
        </is>
      </c>
      <c r="D498" t="n">
        <v>10903</v>
      </c>
      <c r="E498">
        <f>IFERROR(VLOOKUP(B498,Crosswalk!$A$2:$C$125,3,FALSE),"Unmapped")</f>
        <v/>
      </c>
    </row>
    <row r="499">
      <c r="A499" t="n">
        <v>2013</v>
      </c>
      <c r="B499" t="inlineStr">
        <is>
          <t>BS48B00</t>
        </is>
      </c>
      <c r="C499" t="inlineStr">
        <is>
          <t>Transit, ground passenger and scenic and sightseeing transportation, taxi and limousine service and support activities for transportation</t>
        </is>
      </c>
      <c r="D499" t="n">
        <v>35903.9</v>
      </c>
      <c r="E499">
        <f>IFERROR(VLOOKUP(B499,Crosswalk!$A$2:$C$125,3,FALSE),"Unmapped")</f>
        <v/>
      </c>
    </row>
    <row r="500">
      <c r="A500" t="n">
        <v>2013</v>
      </c>
      <c r="B500" t="inlineStr">
        <is>
          <t>BS49300</t>
        </is>
      </c>
      <c r="C500" t="inlineStr">
        <is>
          <t>Warehousing and storage</t>
        </is>
      </c>
      <c r="D500" t="n">
        <v>4139.8</v>
      </c>
      <c r="E500">
        <f>IFERROR(VLOOKUP(B500,Crosswalk!$A$2:$C$125,3,FALSE),"Unmapped")</f>
        <v/>
      </c>
    </row>
    <row r="501">
      <c r="A501" t="n">
        <v>2013</v>
      </c>
      <c r="B501" t="inlineStr">
        <is>
          <t>BS49A00</t>
        </is>
      </c>
      <c r="C501" t="inlineStr">
        <is>
          <t>Postal service, couriers and messengers</t>
        </is>
      </c>
      <c r="D501" t="n">
        <v>13719.3</v>
      </c>
      <c r="E501">
        <f>IFERROR(VLOOKUP(B501,Crosswalk!$A$2:$C$125,3,FALSE),"Unmapped")</f>
        <v/>
      </c>
    </row>
    <row r="502">
      <c r="A502" t="n">
        <v>2013</v>
      </c>
      <c r="B502" t="inlineStr">
        <is>
          <t>BS4AA00</t>
        </is>
      </c>
      <c r="C502" t="inlineStr">
        <is>
          <t>Retail trade (except cannabis)</t>
        </is>
      </c>
      <c r="D502" t="n">
        <v>145241.3</v>
      </c>
      <c r="E502">
        <f>IFERROR(VLOOKUP(B502,Crosswalk!$A$2:$C$125,3,FALSE),"Unmapped")</f>
        <v/>
      </c>
    </row>
    <row r="503">
      <c r="A503" t="n">
        <v>2013</v>
      </c>
      <c r="B503" t="inlineStr">
        <is>
          <t>BS51200</t>
        </is>
      </c>
      <c r="C503" t="inlineStr">
        <is>
          <t>Motion picture and sound recording industries</t>
        </is>
      </c>
      <c r="D503" t="n">
        <v>9046.200000000001</v>
      </c>
      <c r="E503">
        <f>IFERROR(VLOOKUP(B503,Crosswalk!$A$2:$C$125,3,FALSE),"Unmapped")</f>
        <v/>
      </c>
    </row>
    <row r="504">
      <c r="A504" t="n">
        <v>2013</v>
      </c>
      <c r="B504" t="inlineStr">
        <is>
          <t>BS51610</t>
        </is>
      </c>
      <c r="C504" t="inlineStr">
        <is>
          <t>Radio and television broadcasting stations</t>
        </is>
      </c>
      <c r="D504" t="n">
        <v>3843.1</v>
      </c>
      <c r="E504">
        <f>IFERROR(VLOOKUP(B504,Crosswalk!$A$2:$C$125,3,FALSE),"Unmapped")</f>
        <v/>
      </c>
    </row>
    <row r="505">
      <c r="A505" t="n">
        <v>2013</v>
      </c>
      <c r="B505" t="inlineStr">
        <is>
          <t>BS51B00</t>
        </is>
      </c>
      <c r="C505" t="inlineStr">
        <is>
          <t>Publishing, pay/specialty services, telecommunications and other information services</t>
        </is>
      </c>
      <c r="D505" t="n">
        <v>83624.39999999999</v>
      </c>
      <c r="E505">
        <f>IFERROR(VLOOKUP(B505,Crosswalk!$A$2:$C$125,3,FALSE),"Unmapped")</f>
        <v/>
      </c>
    </row>
    <row r="506">
      <c r="A506" t="n">
        <v>2013</v>
      </c>
      <c r="B506" t="inlineStr">
        <is>
          <t>BS52410</t>
        </is>
      </c>
      <c r="C506" t="inlineStr">
        <is>
          <t>Insurance carriers</t>
        </is>
      </c>
      <c r="D506" t="n">
        <v>42458.5</v>
      </c>
      <c r="E506">
        <f>IFERROR(VLOOKUP(B506,Crosswalk!$A$2:$C$125,3,FALSE),"Unmapped")</f>
        <v/>
      </c>
    </row>
    <row r="507">
      <c r="A507" t="n">
        <v>2013</v>
      </c>
      <c r="B507" t="inlineStr">
        <is>
          <t>BS52B00</t>
        </is>
      </c>
      <c r="C507" t="inlineStr">
        <is>
          <t>Depository credit intermediation and monetary authorities</t>
        </is>
      </c>
      <c r="D507" t="n">
        <v>82324.5</v>
      </c>
      <c r="E507">
        <f>IFERROR(VLOOKUP(B507,Crosswalk!$A$2:$C$125,3,FALSE),"Unmapped")</f>
        <v/>
      </c>
    </row>
    <row r="508">
      <c r="A508" t="n">
        <v>2013</v>
      </c>
      <c r="B508" t="inlineStr">
        <is>
          <t>BS53110</t>
        </is>
      </c>
      <c r="C508" t="inlineStr">
        <is>
          <t>Lessors of real estate</t>
        </is>
      </c>
      <c r="D508" t="n">
        <v>88879.60000000001</v>
      </c>
      <c r="E508">
        <f>IFERROR(VLOOKUP(B508,Crosswalk!$A$2:$C$125,3,FALSE),"Unmapped")</f>
        <v/>
      </c>
    </row>
    <row r="509">
      <c r="A509" t="n">
        <v>2013</v>
      </c>
      <c r="B509" t="inlineStr">
        <is>
          <t>BS5311A</t>
        </is>
      </c>
      <c r="C509" t="inlineStr">
        <is>
          <t>Owner-occupied dwellings</t>
        </is>
      </c>
      <c r="D509" t="n">
        <v>156875.7</v>
      </c>
      <c r="E509">
        <f>IFERROR(VLOOKUP(B509,Crosswalk!$A$2:$C$125,3,FALSE),"Unmapped")</f>
        <v/>
      </c>
    </row>
    <row r="510">
      <c r="A510" t="n">
        <v>2013</v>
      </c>
      <c r="B510" t="inlineStr">
        <is>
          <t>BS53B00</t>
        </is>
      </c>
      <c r="C510" t="inlineStr">
        <is>
          <t>Rental and leasing services and lessors of non-financial intangible assets (except copyrighted works)</t>
        </is>
      </c>
      <c r="D510" t="n">
        <v>21069.8</v>
      </c>
      <c r="E510">
        <f>IFERROR(VLOOKUP(B510,Crosswalk!$A$2:$C$125,3,FALSE),"Unmapped")</f>
        <v/>
      </c>
    </row>
    <row r="511">
      <c r="A511" t="n">
        <v>2013</v>
      </c>
      <c r="B511" t="inlineStr">
        <is>
          <t>BS54180</t>
        </is>
      </c>
      <c r="C511" t="inlineStr">
        <is>
          <t>Advertising, public relations, and related services</t>
        </is>
      </c>
      <c r="D511" t="n">
        <v>7693.7</v>
      </c>
      <c r="E511">
        <f>IFERROR(VLOOKUP(B511,Crosswalk!$A$2:$C$125,3,FALSE),"Unmapped")</f>
        <v/>
      </c>
    </row>
    <row r="512">
      <c r="A512" t="n">
        <v>2013</v>
      </c>
      <c r="B512" t="inlineStr">
        <is>
          <t>BS541C0</t>
        </is>
      </c>
      <c r="C512" t="inlineStr">
        <is>
          <t>Legal, accounting and architectural, engineering and related services</t>
        </is>
      </c>
      <c r="D512" t="n">
        <v>70986</v>
      </c>
      <c r="E512">
        <f>IFERROR(VLOOKUP(B512,Crosswalk!$A$2:$C$125,3,FALSE),"Unmapped")</f>
        <v/>
      </c>
    </row>
    <row r="513">
      <c r="A513" t="n">
        <v>2013</v>
      </c>
      <c r="B513" t="inlineStr">
        <is>
          <t>BS541D0</t>
        </is>
      </c>
      <c r="C513" t="inlineStr">
        <is>
          <t>Computer systems design and other professional, scientific and technical services</t>
        </is>
      </c>
      <c r="D513" t="n">
        <v>79837.3</v>
      </c>
      <c r="E513">
        <f>IFERROR(VLOOKUP(B513,Crosswalk!$A$2:$C$125,3,FALSE),"Unmapped")</f>
        <v/>
      </c>
    </row>
    <row r="514">
      <c r="A514" t="n">
        <v>2013</v>
      </c>
      <c r="B514" t="inlineStr">
        <is>
          <t>BS56100</t>
        </is>
      </c>
      <c r="C514" t="inlineStr">
        <is>
          <t>Administrative and support services</t>
        </is>
      </c>
      <c r="D514" t="n">
        <v>68395.60000000001</v>
      </c>
      <c r="E514">
        <f>IFERROR(VLOOKUP(B514,Crosswalk!$A$2:$C$125,3,FALSE),"Unmapped")</f>
        <v/>
      </c>
    </row>
    <row r="515">
      <c r="A515" t="n">
        <v>2013</v>
      </c>
      <c r="B515" t="inlineStr">
        <is>
          <t>BS56200</t>
        </is>
      </c>
      <c r="C515" t="inlineStr">
        <is>
          <t>Waste management and remediation services</t>
        </is>
      </c>
      <c r="D515" t="n">
        <v>8132.3</v>
      </c>
      <c r="E515">
        <f>IFERROR(VLOOKUP(B515,Crosswalk!$A$2:$C$125,3,FALSE),"Unmapped")</f>
        <v/>
      </c>
    </row>
    <row r="516">
      <c r="A516" t="n">
        <v>2013</v>
      </c>
      <c r="B516" t="inlineStr">
        <is>
          <t>BS5A000</t>
        </is>
      </c>
      <c r="C516" t="inlineStr">
        <is>
          <t>Other finance, insurance and real estate services and management of companies and enterprises</t>
        </is>
      </c>
      <c r="D516" t="n">
        <v>121609.5</v>
      </c>
      <c r="E516">
        <f>IFERROR(VLOOKUP(B516,Crosswalk!$A$2:$C$125,3,FALSE),"Unmapped")</f>
        <v/>
      </c>
    </row>
    <row r="517">
      <c r="A517" t="n">
        <v>2013</v>
      </c>
      <c r="B517" t="inlineStr">
        <is>
          <t>BS61000</t>
        </is>
      </c>
      <c r="C517" t="inlineStr">
        <is>
          <t>Educational services</t>
        </is>
      </c>
      <c r="D517" t="n">
        <v>5806.8</v>
      </c>
      <c r="E517">
        <f>IFERROR(VLOOKUP(B517,Crosswalk!$A$2:$C$125,3,FALSE),"Unmapped")</f>
        <v/>
      </c>
    </row>
    <row r="518">
      <c r="A518" t="n">
        <v>2013</v>
      </c>
      <c r="B518" t="inlineStr">
        <is>
          <t>BS62000</t>
        </is>
      </c>
      <c r="C518" t="inlineStr">
        <is>
          <t>Health care and social assistance</t>
        </is>
      </c>
      <c r="D518" t="n">
        <v>66327.7</v>
      </c>
      <c r="E518">
        <f>IFERROR(VLOOKUP(B518,Crosswalk!$A$2:$C$125,3,FALSE),"Unmapped")</f>
        <v/>
      </c>
    </row>
    <row r="519">
      <c r="A519" t="n">
        <v>2013</v>
      </c>
      <c r="B519" t="inlineStr">
        <is>
          <t>BS71000</t>
        </is>
      </c>
      <c r="C519" t="inlineStr">
        <is>
          <t>Arts, entertainment and recreation</t>
        </is>
      </c>
      <c r="D519" t="n">
        <v>22090.4</v>
      </c>
      <c r="E519">
        <f>IFERROR(VLOOKUP(B519,Crosswalk!$A$2:$C$125,3,FALSE),"Unmapped")</f>
        <v/>
      </c>
    </row>
    <row r="520">
      <c r="A520" t="n">
        <v>2013</v>
      </c>
      <c r="B520" t="inlineStr">
        <is>
          <t>BS72000</t>
        </is>
      </c>
      <c r="C520" t="inlineStr">
        <is>
          <t>Accommodation and food services</t>
        </is>
      </c>
      <c r="D520" t="n">
        <v>76347.3</v>
      </c>
      <c r="E520">
        <f>IFERROR(VLOOKUP(B520,Crosswalk!$A$2:$C$125,3,FALSE),"Unmapped")</f>
        <v/>
      </c>
    </row>
    <row r="521">
      <c r="A521" t="n">
        <v>2013</v>
      </c>
      <c r="B521" t="inlineStr">
        <is>
          <t>BS81100</t>
        </is>
      </c>
      <c r="C521" t="inlineStr">
        <is>
          <t>Repair and maintenance</t>
        </is>
      </c>
      <c r="D521" t="n">
        <v>21628.5</v>
      </c>
      <c r="E521">
        <f>IFERROR(VLOOKUP(B521,Crosswalk!$A$2:$C$125,3,FALSE),"Unmapped")</f>
        <v/>
      </c>
    </row>
    <row r="522">
      <c r="A522" t="n">
        <v>2013</v>
      </c>
      <c r="B522" t="inlineStr">
        <is>
          <t>BS81300</t>
        </is>
      </c>
      <c r="C522" t="inlineStr">
        <is>
          <t>Business, professional and other membership organizations</t>
        </is>
      </c>
      <c r="D522" t="n">
        <v>3970.9</v>
      </c>
      <c r="E522">
        <f>IFERROR(VLOOKUP(B522,Crosswalk!$A$2:$C$125,3,FALSE),"Unmapped")</f>
        <v/>
      </c>
    </row>
    <row r="523">
      <c r="A523" t="n">
        <v>2013</v>
      </c>
      <c r="B523" t="inlineStr">
        <is>
          <t>BS81A00</t>
        </is>
      </c>
      <c r="C523" t="inlineStr">
        <is>
          <t>Personal services and private households</t>
        </is>
      </c>
      <c r="D523" t="n">
        <v>17322.8</v>
      </c>
      <c r="E523">
        <f>IFERROR(VLOOKUP(B523,Crosswalk!$A$2:$C$125,3,FALSE),"Unmapped")</f>
        <v/>
      </c>
    </row>
    <row r="524">
      <c r="A524" t="n">
        <v>2013</v>
      </c>
      <c r="B524" t="inlineStr">
        <is>
          <t>GS61130</t>
        </is>
      </c>
      <c r="C524" t="inlineStr">
        <is>
          <t>Universities</t>
        </is>
      </c>
      <c r="D524" t="n">
        <v>39419.6</v>
      </c>
      <c r="E524">
        <f>IFERROR(VLOOKUP(B524,Crosswalk!$A$2:$C$125,3,FALSE),"Unmapped")</f>
        <v/>
      </c>
    </row>
    <row r="525">
      <c r="A525" t="n">
        <v>2013</v>
      </c>
      <c r="B525" t="inlineStr">
        <is>
          <t>GS611B0</t>
        </is>
      </c>
      <c r="C525" t="inlineStr">
        <is>
          <t>Educational services (except universities)</t>
        </is>
      </c>
      <c r="D525" t="n">
        <v>66966.8</v>
      </c>
      <c r="E525">
        <f>IFERROR(VLOOKUP(B525,Crosswalk!$A$2:$C$125,3,FALSE),"Unmapped")</f>
        <v/>
      </c>
    </row>
    <row r="526">
      <c r="A526" t="n">
        <v>2013</v>
      </c>
      <c r="B526" t="inlineStr">
        <is>
          <t>GS62300</t>
        </is>
      </c>
      <c r="C526" t="inlineStr">
        <is>
          <t>Nursing and residential care facilities</t>
        </is>
      </c>
      <c r="D526" t="n">
        <v>14306.4</v>
      </c>
      <c r="E526">
        <f>IFERROR(VLOOKUP(B526,Crosswalk!$A$2:$C$125,3,FALSE),"Unmapped")</f>
        <v/>
      </c>
    </row>
    <row r="527">
      <c r="A527" t="n">
        <v>2013</v>
      </c>
      <c r="B527" t="inlineStr">
        <is>
          <t>GS62B00</t>
        </is>
      </c>
      <c r="C527" t="inlineStr">
        <is>
          <t>Health care and social assistance (except nursing and residential care facilities)</t>
        </is>
      </c>
      <c r="D527" t="n">
        <v>89448.10000000001</v>
      </c>
      <c r="E527">
        <f>IFERROR(VLOOKUP(B527,Crosswalk!$A$2:$C$125,3,FALSE),"Unmapped")</f>
        <v/>
      </c>
    </row>
    <row r="528">
      <c r="A528" t="n">
        <v>2013</v>
      </c>
      <c r="B528" t="inlineStr">
        <is>
          <t>GS91100</t>
        </is>
      </c>
      <c r="C528" t="inlineStr">
        <is>
          <t>Other federal government services</t>
        </is>
      </c>
      <c r="D528" t="n">
        <v>74335.60000000001</v>
      </c>
      <c r="E528">
        <f>IFERROR(VLOOKUP(B528,Crosswalk!$A$2:$C$125,3,FALSE),"Unmapped")</f>
        <v/>
      </c>
    </row>
    <row r="529">
      <c r="A529" t="n">
        <v>2013</v>
      </c>
      <c r="B529" t="inlineStr">
        <is>
          <t>GS91200</t>
        </is>
      </c>
      <c r="C529" t="inlineStr">
        <is>
          <t>Other provincial and territorial government services</t>
        </is>
      </c>
      <c r="D529" t="n">
        <v>112943.4</v>
      </c>
      <c r="E529">
        <f>IFERROR(VLOOKUP(B529,Crosswalk!$A$2:$C$125,3,FALSE),"Unmapped")</f>
        <v/>
      </c>
    </row>
    <row r="530">
      <c r="A530" t="n">
        <v>2013</v>
      </c>
      <c r="B530" t="inlineStr">
        <is>
          <t>GS91300</t>
        </is>
      </c>
      <c r="C530" t="inlineStr">
        <is>
          <t>Other municipal government services</t>
        </is>
      </c>
      <c r="D530" t="n">
        <v>75824.60000000001</v>
      </c>
      <c r="E530">
        <f>IFERROR(VLOOKUP(B530,Crosswalk!$A$2:$C$125,3,FALSE),"Unmapped")</f>
        <v/>
      </c>
    </row>
    <row r="531">
      <c r="A531" t="n">
        <v>2013</v>
      </c>
      <c r="B531" t="inlineStr">
        <is>
          <t>GS91400</t>
        </is>
      </c>
      <c r="C531" t="inlineStr">
        <is>
          <t>Other Indigenous government services</t>
        </is>
      </c>
      <c r="D531" t="n">
        <v>6651.2</v>
      </c>
      <c r="E531">
        <f>IFERROR(VLOOKUP(B531,Crosswalk!$A$2:$C$125,3,FALSE),"Unmapped")</f>
        <v/>
      </c>
    </row>
    <row r="532">
      <c r="A532" t="n">
        <v>2013</v>
      </c>
      <c r="B532" t="inlineStr">
        <is>
          <t>NP61000</t>
        </is>
      </c>
      <c r="C532" t="inlineStr">
        <is>
          <t>Educational services</t>
        </is>
      </c>
      <c r="D532" t="n">
        <v>4679.5</v>
      </c>
      <c r="E532">
        <f>IFERROR(VLOOKUP(B532,Crosswalk!$A$2:$C$125,3,FALSE),"Unmapped")</f>
        <v/>
      </c>
    </row>
    <row r="533">
      <c r="A533" t="n">
        <v>2013</v>
      </c>
      <c r="B533" t="inlineStr">
        <is>
          <t>NP62400</t>
        </is>
      </c>
      <c r="C533" t="inlineStr">
        <is>
          <t>Social assistance</t>
        </is>
      </c>
      <c r="D533" t="n">
        <v>9274.200000000001</v>
      </c>
      <c r="E533">
        <f>IFERROR(VLOOKUP(B533,Crosswalk!$A$2:$C$125,3,FALSE),"Unmapped")</f>
        <v/>
      </c>
    </row>
    <row r="534">
      <c r="A534" t="n">
        <v>2013</v>
      </c>
      <c r="B534" t="inlineStr">
        <is>
          <t>NP71000</t>
        </is>
      </c>
      <c r="C534" t="inlineStr">
        <is>
          <t>Arts, entertainment and recreation</t>
        </is>
      </c>
      <c r="D534" t="n">
        <v>2183</v>
      </c>
      <c r="E534">
        <f>IFERROR(VLOOKUP(B534,Crosswalk!$A$2:$C$125,3,FALSE),"Unmapped")</f>
        <v/>
      </c>
    </row>
    <row r="535">
      <c r="A535" t="n">
        <v>2013</v>
      </c>
      <c r="B535" t="inlineStr">
        <is>
          <t>NP81310</t>
        </is>
      </c>
      <c r="C535" t="inlineStr">
        <is>
          <t>Religious organizations</t>
        </is>
      </c>
      <c r="D535" t="n">
        <v>5996.9</v>
      </c>
      <c r="E535">
        <f>IFERROR(VLOOKUP(B535,Crosswalk!$A$2:$C$125,3,FALSE),"Unmapped")</f>
        <v/>
      </c>
    </row>
    <row r="536">
      <c r="A536" t="n">
        <v>2013</v>
      </c>
      <c r="B536" t="inlineStr">
        <is>
          <t>NPA0000</t>
        </is>
      </c>
      <c r="C536" t="inlineStr">
        <is>
          <t>Miscellaneous non-profit institutions serving households</t>
        </is>
      </c>
      <c r="D536" t="n">
        <v>20478.1</v>
      </c>
      <c r="E536">
        <f>IFERROR(VLOOKUP(B536,Crosswalk!$A$2:$C$125,3,FALSE),"Unmapped")</f>
        <v/>
      </c>
    </row>
    <row r="537">
      <c r="A537" t="n">
        <v>2014</v>
      </c>
      <c r="B537" t="inlineStr">
        <is>
          <t>BS111CL</t>
        </is>
      </c>
      <c r="C537" t="inlineStr">
        <is>
          <t>Cannabis production (licensed)</t>
        </is>
      </c>
      <c r="D537" t="n">
        <v>46.4</v>
      </c>
      <c r="E537">
        <f>IFERROR(VLOOKUP(B537,Crosswalk!$A$2:$C$125,3,FALSE),"Unmapped")</f>
        <v/>
      </c>
    </row>
    <row r="538">
      <c r="A538" t="n">
        <v>2014</v>
      </c>
      <c r="B538" t="inlineStr">
        <is>
          <t>BS111CU</t>
        </is>
      </c>
      <c r="C538" t="inlineStr">
        <is>
          <t>Cannabis production (unlicensed)</t>
        </is>
      </c>
      <c r="D538" t="n">
        <v>4964.4</v>
      </c>
      <c r="E538">
        <f>IFERROR(VLOOKUP(B538,Crosswalk!$A$2:$C$125,3,FALSE),"Unmapped")</f>
        <v/>
      </c>
    </row>
    <row r="539">
      <c r="A539" t="n">
        <v>2014</v>
      </c>
      <c r="B539" t="inlineStr">
        <is>
          <t>BS11300</t>
        </is>
      </c>
      <c r="C539" t="inlineStr">
        <is>
          <t>Forestry and logging</t>
        </is>
      </c>
      <c r="D539" t="n">
        <v>10186.6</v>
      </c>
      <c r="E539">
        <f>IFERROR(VLOOKUP(B539,Crosswalk!$A$2:$C$125,3,FALSE),"Unmapped")</f>
        <v/>
      </c>
    </row>
    <row r="540">
      <c r="A540" t="n">
        <v>2014</v>
      </c>
      <c r="B540" t="inlineStr">
        <is>
          <t>BS11400</t>
        </is>
      </c>
      <c r="C540" t="inlineStr">
        <is>
          <t>Fishing, hunting and trapping</t>
        </is>
      </c>
      <c r="D540" t="n">
        <v>2898</v>
      </c>
      <c r="E540">
        <f>IFERROR(VLOOKUP(B540,Crosswalk!$A$2:$C$125,3,FALSE),"Unmapped")</f>
        <v/>
      </c>
    </row>
    <row r="541">
      <c r="A541" t="n">
        <v>2014</v>
      </c>
      <c r="B541" t="inlineStr">
        <is>
          <t>BS11500</t>
        </is>
      </c>
      <c r="C541" t="inlineStr">
        <is>
          <t>Support activities for agriculture and forestry</t>
        </is>
      </c>
      <c r="D541" t="n">
        <v>3061.1</v>
      </c>
      <c r="E541">
        <f>IFERROR(VLOOKUP(B541,Crosswalk!$A$2:$C$125,3,FALSE),"Unmapped")</f>
        <v/>
      </c>
    </row>
    <row r="542">
      <c r="A542" t="n">
        <v>2014</v>
      </c>
      <c r="B542" t="inlineStr">
        <is>
          <t>BS11B00</t>
        </is>
      </c>
      <c r="C542" t="inlineStr">
        <is>
          <t>Crop and animal production (except cannabis)</t>
        </is>
      </c>
      <c r="D542" t="n">
        <v>61858.7</v>
      </c>
      <c r="E542">
        <f>IFERROR(VLOOKUP(B542,Crosswalk!$A$2:$C$125,3,FALSE),"Unmapped")</f>
        <v/>
      </c>
    </row>
    <row r="543">
      <c r="A543" t="n">
        <v>2014</v>
      </c>
      <c r="B543" t="inlineStr">
        <is>
          <t>BS21100</t>
        </is>
      </c>
      <c r="C543" t="inlineStr">
        <is>
          <t>Oil and gas extraction</t>
        </is>
      </c>
      <c r="D543" t="n">
        <v>168430.1</v>
      </c>
      <c r="E543">
        <f>IFERROR(VLOOKUP(B543,Crosswalk!$A$2:$C$125,3,FALSE),"Unmapped")</f>
        <v/>
      </c>
    </row>
    <row r="544">
      <c r="A544" t="n">
        <v>2014</v>
      </c>
      <c r="B544" t="inlineStr">
        <is>
          <t>BS21210</t>
        </is>
      </c>
      <c r="C544" t="inlineStr">
        <is>
          <t>Coal mining</t>
        </is>
      </c>
      <c r="D544" t="n">
        <v>3906.8</v>
      </c>
      <c r="E544">
        <f>IFERROR(VLOOKUP(B544,Crosswalk!$A$2:$C$125,3,FALSE),"Unmapped")</f>
        <v/>
      </c>
    </row>
    <row r="545">
      <c r="A545" t="n">
        <v>2014</v>
      </c>
      <c r="B545" t="inlineStr">
        <is>
          <t>BS21220</t>
        </is>
      </c>
      <c r="C545" t="inlineStr">
        <is>
          <t>Metal ore mining</t>
        </is>
      </c>
      <c r="D545" t="n">
        <v>23337.3</v>
      </c>
      <c r="E545">
        <f>IFERROR(VLOOKUP(B545,Crosswalk!$A$2:$C$125,3,FALSE),"Unmapped")</f>
        <v/>
      </c>
    </row>
    <row r="546">
      <c r="A546" t="n">
        <v>2014</v>
      </c>
      <c r="B546" t="inlineStr">
        <is>
          <t>BS21230</t>
        </is>
      </c>
      <c r="C546" t="inlineStr">
        <is>
          <t>Non-metallic mineral mining and quarrying</t>
        </is>
      </c>
      <c r="D546" t="n">
        <v>13089.4</v>
      </c>
      <c r="E546">
        <f>IFERROR(VLOOKUP(B546,Crosswalk!$A$2:$C$125,3,FALSE),"Unmapped")</f>
        <v/>
      </c>
    </row>
    <row r="547">
      <c r="A547" t="n">
        <v>2014</v>
      </c>
      <c r="B547" t="inlineStr">
        <is>
          <t>BS21300</t>
        </is>
      </c>
      <c r="C547" t="inlineStr">
        <is>
          <t>Support activities for mining, and oil and gas extraction</t>
        </is>
      </c>
      <c r="D547" t="n">
        <v>33759.5</v>
      </c>
      <c r="E547">
        <f>IFERROR(VLOOKUP(B547,Crosswalk!$A$2:$C$125,3,FALSE),"Unmapped")</f>
        <v/>
      </c>
    </row>
    <row r="548">
      <c r="A548" t="n">
        <v>2014</v>
      </c>
      <c r="B548" t="inlineStr">
        <is>
          <t>BS22110</t>
        </is>
      </c>
      <c r="C548" t="inlineStr">
        <is>
          <t>Electric power generation, transmission and distribution</t>
        </is>
      </c>
      <c r="D548" t="n">
        <v>44975.2</v>
      </c>
      <c r="E548">
        <f>IFERROR(VLOOKUP(B548,Crosswalk!$A$2:$C$125,3,FALSE),"Unmapped")</f>
        <v/>
      </c>
    </row>
    <row r="549">
      <c r="A549" t="n">
        <v>2014</v>
      </c>
      <c r="B549" t="inlineStr">
        <is>
          <t>BS221A0</t>
        </is>
      </c>
      <c r="C549" t="inlineStr">
        <is>
          <t>Natural gas distribution, water, sewage and other systems</t>
        </is>
      </c>
      <c r="D549" t="n">
        <v>6695.6</v>
      </c>
      <c r="E549">
        <f>IFERROR(VLOOKUP(B549,Crosswalk!$A$2:$C$125,3,FALSE),"Unmapped")</f>
        <v/>
      </c>
    </row>
    <row r="550">
      <c r="A550" t="n">
        <v>2014</v>
      </c>
      <c r="B550" t="inlineStr">
        <is>
          <t>BS23A00</t>
        </is>
      </c>
      <c r="C550" t="inlineStr">
        <is>
          <t>Residential building construction</t>
        </is>
      </c>
      <c r="D550" t="n">
        <v>103008.7</v>
      </c>
      <c r="E550">
        <f>IFERROR(VLOOKUP(B550,Crosswalk!$A$2:$C$125,3,FALSE),"Unmapped")</f>
        <v/>
      </c>
    </row>
    <row r="551">
      <c r="A551" t="n">
        <v>2014</v>
      </c>
      <c r="B551" t="inlineStr">
        <is>
          <t>BS23B00</t>
        </is>
      </c>
      <c r="C551" t="inlineStr">
        <is>
          <t>Non-residential building construction</t>
        </is>
      </c>
      <c r="D551" t="n">
        <v>48097.8</v>
      </c>
      <c r="E551">
        <f>IFERROR(VLOOKUP(B551,Crosswalk!$A$2:$C$125,3,FALSE),"Unmapped")</f>
        <v/>
      </c>
    </row>
    <row r="552">
      <c r="A552" t="n">
        <v>2014</v>
      </c>
      <c r="B552" t="inlineStr">
        <is>
          <t>BS23C10</t>
        </is>
      </c>
      <c r="C552" t="inlineStr">
        <is>
          <t>Transportation engineering construction</t>
        </is>
      </c>
      <c r="D552" t="n">
        <v>21988.8</v>
      </c>
      <c r="E552">
        <f>IFERROR(VLOOKUP(B552,Crosswalk!$A$2:$C$125,3,FALSE),"Unmapped")</f>
        <v/>
      </c>
    </row>
    <row r="553">
      <c r="A553" t="n">
        <v>2014</v>
      </c>
      <c r="B553" t="inlineStr">
        <is>
          <t>BS23C20</t>
        </is>
      </c>
      <c r="C553" t="inlineStr">
        <is>
          <t>Oil and gas engineering construction</t>
        </is>
      </c>
      <c r="D553" t="n">
        <v>79792.39999999999</v>
      </c>
      <c r="E553">
        <f>IFERROR(VLOOKUP(B553,Crosswalk!$A$2:$C$125,3,FALSE),"Unmapped")</f>
        <v/>
      </c>
    </row>
    <row r="554">
      <c r="A554" t="n">
        <v>2014</v>
      </c>
      <c r="B554" t="inlineStr">
        <is>
          <t>BS23C30</t>
        </is>
      </c>
      <c r="C554" t="inlineStr">
        <is>
          <t>Electric power engineering construction</t>
        </is>
      </c>
      <c r="D554" t="n">
        <v>20019.4</v>
      </c>
      <c r="E554">
        <f>IFERROR(VLOOKUP(B554,Crosswalk!$A$2:$C$125,3,FALSE),"Unmapped")</f>
        <v/>
      </c>
    </row>
    <row r="555">
      <c r="A555" t="n">
        <v>2014</v>
      </c>
      <c r="B555" t="inlineStr">
        <is>
          <t>BS23C40</t>
        </is>
      </c>
      <c r="C555" t="inlineStr">
        <is>
          <t>Communication engineering construction</t>
        </is>
      </c>
      <c r="D555" t="n">
        <v>4901.5</v>
      </c>
      <c r="E555">
        <f>IFERROR(VLOOKUP(B555,Crosswalk!$A$2:$C$125,3,FALSE),"Unmapped")</f>
        <v/>
      </c>
    </row>
    <row r="556">
      <c r="A556" t="n">
        <v>2014</v>
      </c>
      <c r="B556" t="inlineStr">
        <is>
          <t>BS23C50</t>
        </is>
      </c>
      <c r="C556" t="inlineStr">
        <is>
          <t>Other engineering construction</t>
        </is>
      </c>
      <c r="D556" t="n">
        <v>22169</v>
      </c>
      <c r="E556">
        <f>IFERROR(VLOOKUP(B556,Crosswalk!$A$2:$C$125,3,FALSE),"Unmapped")</f>
        <v/>
      </c>
    </row>
    <row r="557">
      <c r="A557" t="n">
        <v>2014</v>
      </c>
      <c r="B557" t="inlineStr">
        <is>
          <t>BS23D00</t>
        </is>
      </c>
      <c r="C557" t="inlineStr">
        <is>
          <t>Repair construction</t>
        </is>
      </c>
      <c r="D557" t="n">
        <v>40465.7</v>
      </c>
      <c r="E557">
        <f>IFERROR(VLOOKUP(B557,Crosswalk!$A$2:$C$125,3,FALSE),"Unmapped")</f>
        <v/>
      </c>
    </row>
    <row r="558">
      <c r="A558" t="n">
        <v>2014</v>
      </c>
      <c r="B558" t="inlineStr">
        <is>
          <t>BS23E00</t>
        </is>
      </c>
      <c r="C558" t="inlineStr">
        <is>
          <t>Other activities of the construction industry</t>
        </is>
      </c>
      <c r="D558" t="n">
        <v>4092.9</v>
      </c>
      <c r="E558">
        <f>IFERROR(VLOOKUP(B558,Crosswalk!$A$2:$C$125,3,FALSE),"Unmapped")</f>
        <v/>
      </c>
    </row>
    <row r="559">
      <c r="A559" t="n">
        <v>2014</v>
      </c>
      <c r="B559" t="inlineStr">
        <is>
          <t>BS31110</t>
        </is>
      </c>
      <c r="C559" t="inlineStr">
        <is>
          <t>Animal food manufacturing</t>
        </is>
      </c>
      <c r="D559" t="n">
        <v>8241.5</v>
      </c>
      <c r="E559">
        <f>IFERROR(VLOOKUP(B559,Crosswalk!$A$2:$C$125,3,FALSE),"Unmapped")</f>
        <v/>
      </c>
    </row>
    <row r="560">
      <c r="A560" t="n">
        <v>2014</v>
      </c>
      <c r="B560" t="inlineStr">
        <is>
          <t>BS31130</t>
        </is>
      </c>
      <c r="C560" t="inlineStr">
        <is>
          <t>Sugar and confectionery product manufacturing</t>
        </is>
      </c>
      <c r="D560" t="n">
        <v>4456.9</v>
      </c>
      <c r="E560">
        <f>IFERROR(VLOOKUP(B560,Crosswalk!$A$2:$C$125,3,FALSE),"Unmapped")</f>
        <v/>
      </c>
    </row>
    <row r="561">
      <c r="A561" t="n">
        <v>2014</v>
      </c>
      <c r="B561" t="inlineStr">
        <is>
          <t>BS31140</t>
        </is>
      </c>
      <c r="C561" t="inlineStr">
        <is>
          <t>Fruit and vegetable preserving and specialty food manufacturing</t>
        </is>
      </c>
      <c r="D561" t="n">
        <v>7077.8</v>
      </c>
      <c r="E561">
        <f>IFERROR(VLOOKUP(B561,Crosswalk!$A$2:$C$125,3,FALSE),"Unmapped")</f>
        <v/>
      </c>
    </row>
    <row r="562">
      <c r="A562" t="n">
        <v>2014</v>
      </c>
      <c r="B562" t="inlineStr">
        <is>
          <t>BS31150</t>
        </is>
      </c>
      <c r="C562" t="inlineStr">
        <is>
          <t>Dairy product manufacturing</t>
        </is>
      </c>
      <c r="D562" t="n">
        <v>13796.8</v>
      </c>
      <c r="E562">
        <f>IFERROR(VLOOKUP(B562,Crosswalk!$A$2:$C$125,3,FALSE),"Unmapped")</f>
        <v/>
      </c>
    </row>
    <row r="563">
      <c r="A563" t="n">
        <v>2014</v>
      </c>
      <c r="B563" t="inlineStr">
        <is>
          <t>BS31160</t>
        </is>
      </c>
      <c r="C563" t="inlineStr">
        <is>
          <t>Meat product manufacturing</t>
        </is>
      </c>
      <c r="D563" t="n">
        <v>26523.6</v>
      </c>
      <c r="E563">
        <f>IFERROR(VLOOKUP(B563,Crosswalk!$A$2:$C$125,3,FALSE),"Unmapped")</f>
        <v/>
      </c>
    </row>
    <row r="564">
      <c r="A564" t="n">
        <v>2014</v>
      </c>
      <c r="B564" t="inlineStr">
        <is>
          <t>BS31170</t>
        </is>
      </c>
      <c r="C564" t="inlineStr">
        <is>
          <t>Seafood product preparation and packaging</t>
        </is>
      </c>
      <c r="D564" t="n">
        <v>4845.5</v>
      </c>
      <c r="E564">
        <f>IFERROR(VLOOKUP(B564,Crosswalk!$A$2:$C$125,3,FALSE),"Unmapped")</f>
        <v/>
      </c>
    </row>
    <row r="565">
      <c r="A565" t="n">
        <v>2014</v>
      </c>
      <c r="B565" t="inlineStr">
        <is>
          <t>BS311A0</t>
        </is>
      </c>
      <c r="C565" t="inlineStr">
        <is>
          <t>Miscellaneous food manufacturing</t>
        </is>
      </c>
      <c r="D565" t="n">
        <v>29323.3</v>
      </c>
      <c r="E565">
        <f>IFERROR(VLOOKUP(B565,Crosswalk!$A$2:$C$125,3,FALSE),"Unmapped")</f>
        <v/>
      </c>
    </row>
    <row r="566">
      <c r="A566" t="n">
        <v>2014</v>
      </c>
      <c r="B566" t="inlineStr">
        <is>
          <t>BS31211</t>
        </is>
      </c>
      <c r="C566" t="inlineStr">
        <is>
          <t>Soft drink and ice manufacturing</t>
        </is>
      </c>
      <c r="D566" t="n">
        <v>4425.4</v>
      </c>
      <c r="E566">
        <f>IFERROR(VLOOKUP(B566,Crosswalk!$A$2:$C$125,3,FALSE),"Unmapped")</f>
        <v/>
      </c>
    </row>
    <row r="567">
      <c r="A567" t="n">
        <v>2014</v>
      </c>
      <c r="B567" t="inlineStr">
        <is>
          <t>BS31212</t>
        </is>
      </c>
      <c r="C567" t="inlineStr">
        <is>
          <t>Breweries</t>
        </is>
      </c>
      <c r="D567" t="n">
        <v>5764.6</v>
      </c>
      <c r="E567">
        <f>IFERROR(VLOOKUP(B567,Crosswalk!$A$2:$C$125,3,FALSE),"Unmapped")</f>
        <v/>
      </c>
    </row>
    <row r="568">
      <c r="A568" t="n">
        <v>2014</v>
      </c>
      <c r="B568" t="inlineStr">
        <is>
          <t>BS3121A</t>
        </is>
      </c>
      <c r="C568" t="inlineStr">
        <is>
          <t>Wineries and distilleries</t>
        </is>
      </c>
      <c r="D568" t="n">
        <v>2209.3</v>
      </c>
      <c r="E568">
        <f>IFERROR(VLOOKUP(B568,Crosswalk!$A$2:$C$125,3,FALSE),"Unmapped")</f>
        <v/>
      </c>
    </row>
    <row r="569">
      <c r="A569" t="n">
        <v>2014</v>
      </c>
      <c r="B569" t="inlineStr">
        <is>
          <t>BS312A0</t>
        </is>
      </c>
      <c r="C569" t="inlineStr">
        <is>
          <t>Tobacco and cannabis product manufacturing</t>
        </is>
      </c>
      <c r="D569" t="n">
        <v>1825.7</v>
      </c>
      <c r="E569">
        <f>IFERROR(VLOOKUP(B569,Crosswalk!$A$2:$C$125,3,FALSE),"Unmapped")</f>
        <v/>
      </c>
    </row>
    <row r="570">
      <c r="A570" t="n">
        <v>2014</v>
      </c>
      <c r="B570" t="inlineStr">
        <is>
          <t>BS31A00</t>
        </is>
      </c>
      <c r="C570" t="inlineStr">
        <is>
          <t>Textile and textile product mills</t>
        </is>
      </c>
      <c r="D570" t="n">
        <v>3255</v>
      </c>
      <c r="E570">
        <f>IFERROR(VLOOKUP(B570,Crosswalk!$A$2:$C$125,3,FALSE),"Unmapped")</f>
        <v/>
      </c>
    </row>
    <row r="571">
      <c r="A571" t="n">
        <v>2014</v>
      </c>
      <c r="B571" t="inlineStr">
        <is>
          <t>BS31B00</t>
        </is>
      </c>
      <c r="C571" t="inlineStr">
        <is>
          <t>Clothing and leather and allied product manufacturing</t>
        </is>
      </c>
      <c r="D571" t="n">
        <v>2977.2</v>
      </c>
      <c r="E571">
        <f>IFERROR(VLOOKUP(B571,Crosswalk!$A$2:$C$125,3,FALSE),"Unmapped")</f>
        <v/>
      </c>
    </row>
    <row r="572">
      <c r="A572" t="n">
        <v>2014</v>
      </c>
      <c r="B572" t="inlineStr">
        <is>
          <t>BS32100</t>
        </is>
      </c>
      <c r="C572" t="inlineStr">
        <is>
          <t>Wood product manufacturing</t>
        </is>
      </c>
      <c r="D572" t="n">
        <v>27553.3</v>
      </c>
      <c r="E572">
        <f>IFERROR(VLOOKUP(B572,Crosswalk!$A$2:$C$125,3,FALSE),"Unmapped")</f>
        <v/>
      </c>
    </row>
    <row r="573">
      <c r="A573" t="n">
        <v>2014</v>
      </c>
      <c r="B573" t="inlineStr">
        <is>
          <t>BS32210</t>
        </is>
      </c>
      <c r="C573" t="inlineStr">
        <is>
          <t>Pulp, paper and paperboard mills</t>
        </is>
      </c>
      <c r="D573" t="n">
        <v>16866</v>
      </c>
      <c r="E573">
        <f>IFERROR(VLOOKUP(B573,Crosswalk!$A$2:$C$125,3,FALSE),"Unmapped")</f>
        <v/>
      </c>
    </row>
    <row r="574">
      <c r="A574" t="n">
        <v>2014</v>
      </c>
      <c r="B574" t="inlineStr">
        <is>
          <t>BS32220</t>
        </is>
      </c>
      <c r="C574" t="inlineStr">
        <is>
          <t>Converted paper product manufacturing</t>
        </is>
      </c>
      <c r="D574" t="n">
        <v>9396.200000000001</v>
      </c>
      <c r="E574">
        <f>IFERROR(VLOOKUP(B574,Crosswalk!$A$2:$C$125,3,FALSE),"Unmapped")</f>
        <v/>
      </c>
    </row>
    <row r="575">
      <c r="A575" t="n">
        <v>2014</v>
      </c>
      <c r="B575" t="inlineStr">
        <is>
          <t>BS32300</t>
        </is>
      </c>
      <c r="C575" t="inlineStr">
        <is>
          <t>Printing and related support activities</t>
        </is>
      </c>
      <c r="D575" t="n">
        <v>9132.700000000001</v>
      </c>
      <c r="E575">
        <f>IFERROR(VLOOKUP(B575,Crosswalk!$A$2:$C$125,3,FALSE),"Unmapped")</f>
        <v/>
      </c>
    </row>
    <row r="576">
      <c r="A576" t="n">
        <v>2014</v>
      </c>
      <c r="B576" t="inlineStr">
        <is>
          <t>BS32400</t>
        </is>
      </c>
      <c r="C576" t="inlineStr">
        <is>
          <t>Petroleum and coal product manufacturing</t>
        </is>
      </c>
      <c r="D576" t="n">
        <v>80989.3</v>
      </c>
      <c r="E576">
        <f>IFERROR(VLOOKUP(B576,Crosswalk!$A$2:$C$125,3,FALSE),"Unmapped")</f>
        <v/>
      </c>
    </row>
    <row r="577">
      <c r="A577" t="n">
        <v>2014</v>
      </c>
      <c r="B577" t="inlineStr">
        <is>
          <t>BS32510</t>
        </is>
      </c>
      <c r="C577" t="inlineStr">
        <is>
          <t>Basic chemical manufacturing</t>
        </is>
      </c>
      <c r="D577" t="n">
        <v>17361.5</v>
      </c>
      <c r="E577">
        <f>IFERROR(VLOOKUP(B577,Crosswalk!$A$2:$C$125,3,FALSE),"Unmapped")</f>
        <v/>
      </c>
    </row>
    <row r="578">
      <c r="A578" t="n">
        <v>2014</v>
      </c>
      <c r="B578" t="inlineStr">
        <is>
          <t>BS32530</t>
        </is>
      </c>
      <c r="C578" t="inlineStr">
        <is>
          <t>Pesticide, fertilizer and other agricultural chemical manufacturing</t>
        </is>
      </c>
      <c r="D578" t="n">
        <v>5474.1</v>
      </c>
      <c r="E578">
        <f>IFERROR(VLOOKUP(B578,Crosswalk!$A$2:$C$125,3,FALSE),"Unmapped")</f>
        <v/>
      </c>
    </row>
    <row r="579">
      <c r="A579" t="n">
        <v>2014</v>
      </c>
      <c r="B579" t="inlineStr">
        <is>
          <t>BS32540</t>
        </is>
      </c>
      <c r="C579" t="inlineStr">
        <is>
          <t>Pharmaceutical and medicine manufacturing</t>
        </is>
      </c>
      <c r="D579" t="n">
        <v>12111.4</v>
      </c>
      <c r="E579">
        <f>IFERROR(VLOOKUP(B579,Crosswalk!$A$2:$C$125,3,FALSE),"Unmapped")</f>
        <v/>
      </c>
    </row>
    <row r="580">
      <c r="A580" t="n">
        <v>2014</v>
      </c>
      <c r="B580" t="inlineStr">
        <is>
          <t>BS325C0</t>
        </is>
      </c>
      <c r="C580" t="inlineStr">
        <is>
          <t>Miscellaneous chemical product manufacturing</t>
        </is>
      </c>
      <c r="D580" t="n">
        <v>21534.2</v>
      </c>
      <c r="E580">
        <f>IFERROR(VLOOKUP(B580,Crosswalk!$A$2:$C$125,3,FALSE),"Unmapped")</f>
        <v/>
      </c>
    </row>
    <row r="581">
      <c r="A581" t="n">
        <v>2014</v>
      </c>
      <c r="B581" t="inlineStr">
        <is>
          <t>BS32610</t>
        </is>
      </c>
      <c r="C581" t="inlineStr">
        <is>
          <t>Plastic product manufacturing</t>
        </is>
      </c>
      <c r="D581" t="n">
        <v>22097</v>
      </c>
      <c r="E581">
        <f>IFERROR(VLOOKUP(B581,Crosswalk!$A$2:$C$125,3,FALSE),"Unmapped")</f>
        <v/>
      </c>
    </row>
    <row r="582">
      <c r="A582" t="n">
        <v>2014</v>
      </c>
      <c r="B582" t="inlineStr">
        <is>
          <t>BS32620</t>
        </is>
      </c>
      <c r="C582" t="inlineStr">
        <is>
          <t>Rubber product manufacturing</t>
        </is>
      </c>
      <c r="D582" t="n">
        <v>5393.9</v>
      </c>
      <c r="E582">
        <f>IFERROR(VLOOKUP(B582,Crosswalk!$A$2:$C$125,3,FALSE),"Unmapped")</f>
        <v/>
      </c>
    </row>
    <row r="583">
      <c r="A583" t="n">
        <v>2014</v>
      </c>
      <c r="B583" t="inlineStr">
        <is>
          <t>BS32730</t>
        </is>
      </c>
      <c r="C583" t="inlineStr">
        <is>
          <t>Cement and concrete product manufacturing</t>
        </is>
      </c>
      <c r="D583" t="n">
        <v>9881.4</v>
      </c>
      <c r="E583">
        <f>IFERROR(VLOOKUP(B583,Crosswalk!$A$2:$C$125,3,FALSE),"Unmapped")</f>
        <v/>
      </c>
    </row>
    <row r="584">
      <c r="A584" t="n">
        <v>2014</v>
      </c>
      <c r="B584" t="inlineStr">
        <is>
          <t>BS327A0</t>
        </is>
      </c>
      <c r="C584" t="inlineStr">
        <is>
          <t>Non-metallic mineral product manufacturing (except cement and concrete products)</t>
        </is>
      </c>
      <c r="D584" t="n">
        <v>5851.3</v>
      </c>
      <c r="E584">
        <f>IFERROR(VLOOKUP(B584,Crosswalk!$A$2:$C$125,3,FALSE),"Unmapped")</f>
        <v/>
      </c>
    </row>
    <row r="585">
      <c r="A585" t="n">
        <v>2014</v>
      </c>
      <c r="B585" t="inlineStr">
        <is>
          <t>BS33100</t>
        </is>
      </c>
      <c r="C585" t="inlineStr">
        <is>
          <t>Primary metal manufacturing</t>
        </is>
      </c>
      <c r="D585" t="n">
        <v>67504.7</v>
      </c>
      <c r="E585">
        <f>IFERROR(VLOOKUP(B585,Crosswalk!$A$2:$C$125,3,FALSE),"Unmapped")</f>
        <v/>
      </c>
    </row>
    <row r="586">
      <c r="A586" t="n">
        <v>2014</v>
      </c>
      <c r="B586" t="inlineStr">
        <is>
          <t>BS33200</t>
        </is>
      </c>
      <c r="C586" t="inlineStr">
        <is>
          <t>Fabricated metal product manufacturing</t>
        </is>
      </c>
      <c r="D586" t="n">
        <v>36956.5</v>
      </c>
      <c r="E586">
        <f>IFERROR(VLOOKUP(B586,Crosswalk!$A$2:$C$125,3,FALSE),"Unmapped")</f>
        <v/>
      </c>
    </row>
    <row r="587">
      <c r="A587" t="n">
        <v>2014</v>
      </c>
      <c r="B587" t="inlineStr">
        <is>
          <t>BS33300</t>
        </is>
      </c>
      <c r="C587" t="inlineStr">
        <is>
          <t>Machinery manufacturing</t>
        </is>
      </c>
      <c r="D587" t="n">
        <v>38439.7</v>
      </c>
      <c r="E587">
        <f>IFERROR(VLOOKUP(B587,Crosswalk!$A$2:$C$125,3,FALSE),"Unmapped")</f>
        <v/>
      </c>
    </row>
    <row r="588">
      <c r="A588" t="n">
        <v>2014</v>
      </c>
      <c r="B588" t="inlineStr">
        <is>
          <t>BS33400</t>
        </is>
      </c>
      <c r="C588" t="inlineStr">
        <is>
          <t>Computer and electronic product manufacturing</t>
        </is>
      </c>
      <c r="D588" t="n">
        <v>14178.6</v>
      </c>
      <c r="E588">
        <f>IFERROR(VLOOKUP(B588,Crosswalk!$A$2:$C$125,3,FALSE),"Unmapped")</f>
        <v/>
      </c>
    </row>
    <row r="589">
      <c r="A589" t="n">
        <v>2014</v>
      </c>
      <c r="B589" t="inlineStr">
        <is>
          <t>BS33500</t>
        </is>
      </c>
      <c r="C589" t="inlineStr">
        <is>
          <t>Electrical equipment, appliance and component manufacturing</t>
        </is>
      </c>
      <c r="D589" t="n">
        <v>9701</v>
      </c>
      <c r="E589">
        <f>IFERROR(VLOOKUP(B589,Crosswalk!$A$2:$C$125,3,FALSE),"Unmapped")</f>
        <v/>
      </c>
    </row>
    <row r="590">
      <c r="A590" t="n">
        <v>2014</v>
      </c>
      <c r="B590" t="inlineStr">
        <is>
          <t>BS33610</t>
        </is>
      </c>
      <c r="C590" t="inlineStr">
        <is>
          <t>Motor vehicle manufacturing</t>
        </is>
      </c>
      <c r="D590" t="n">
        <v>58904.1</v>
      </c>
      <c r="E590">
        <f>IFERROR(VLOOKUP(B590,Crosswalk!$A$2:$C$125,3,FALSE),"Unmapped")</f>
        <v/>
      </c>
    </row>
    <row r="591">
      <c r="A591" t="n">
        <v>2014</v>
      </c>
      <c r="B591" t="inlineStr">
        <is>
          <t>BS33620</t>
        </is>
      </c>
      <c r="C591" t="inlineStr">
        <is>
          <t>Motor vehicle body and trailer manufacturing</t>
        </is>
      </c>
      <c r="D591" t="n">
        <v>3300.6</v>
      </c>
      <c r="E591">
        <f>IFERROR(VLOOKUP(B591,Crosswalk!$A$2:$C$125,3,FALSE),"Unmapped")</f>
        <v/>
      </c>
    </row>
    <row r="592">
      <c r="A592" t="n">
        <v>2014</v>
      </c>
      <c r="B592" t="inlineStr">
        <is>
          <t>BS33630</t>
        </is>
      </c>
      <c r="C592" t="inlineStr">
        <is>
          <t>Motor vehicle parts manufacturing</t>
        </is>
      </c>
      <c r="D592" t="n">
        <v>27641.9</v>
      </c>
      <c r="E592">
        <f>IFERROR(VLOOKUP(B592,Crosswalk!$A$2:$C$125,3,FALSE),"Unmapped")</f>
        <v/>
      </c>
    </row>
    <row r="593">
      <c r="A593" t="n">
        <v>2014</v>
      </c>
      <c r="B593" t="inlineStr">
        <is>
          <t>BS33640</t>
        </is>
      </c>
      <c r="C593" t="inlineStr">
        <is>
          <t>Aerospace product and parts manufacturing</t>
        </is>
      </c>
      <c r="D593" t="n">
        <v>22236.3</v>
      </c>
      <c r="E593">
        <f>IFERROR(VLOOKUP(B593,Crosswalk!$A$2:$C$125,3,FALSE),"Unmapped")</f>
        <v/>
      </c>
    </row>
    <row r="594">
      <c r="A594" t="n">
        <v>2014</v>
      </c>
      <c r="B594" t="inlineStr">
        <is>
          <t>BS33650</t>
        </is>
      </c>
      <c r="C594" t="inlineStr">
        <is>
          <t>Railroad rolling stock manufacturing</t>
        </is>
      </c>
      <c r="D594" t="n">
        <v>1407.6</v>
      </c>
      <c r="E594">
        <f>IFERROR(VLOOKUP(B594,Crosswalk!$A$2:$C$125,3,FALSE),"Unmapped")</f>
        <v/>
      </c>
    </row>
    <row r="595">
      <c r="A595" t="n">
        <v>2014</v>
      </c>
      <c r="B595" t="inlineStr">
        <is>
          <t>BS33660</t>
        </is>
      </c>
      <c r="C595" t="inlineStr">
        <is>
          <t>Ship and boat building</t>
        </is>
      </c>
      <c r="D595" t="n">
        <v>1408.6</v>
      </c>
      <c r="E595">
        <f>IFERROR(VLOOKUP(B595,Crosswalk!$A$2:$C$125,3,FALSE),"Unmapped")</f>
        <v/>
      </c>
    </row>
    <row r="596">
      <c r="A596" t="n">
        <v>2014</v>
      </c>
      <c r="B596" t="inlineStr">
        <is>
          <t>BS33690</t>
        </is>
      </c>
      <c r="C596" t="inlineStr">
        <is>
          <t>Other transportation equipment manufacturing</t>
        </is>
      </c>
      <c r="D596" t="n">
        <v>5260.1</v>
      </c>
      <c r="E596">
        <f>IFERROR(VLOOKUP(B596,Crosswalk!$A$2:$C$125,3,FALSE),"Unmapped")</f>
        <v/>
      </c>
    </row>
    <row r="597">
      <c r="A597" t="n">
        <v>2014</v>
      </c>
      <c r="B597" t="inlineStr">
        <is>
          <t>BS33700</t>
        </is>
      </c>
      <c r="C597" t="inlineStr">
        <is>
          <t>Furniture and related product manufacturing</t>
        </is>
      </c>
      <c r="D597" t="n">
        <v>10823.8</v>
      </c>
      <c r="E597">
        <f>IFERROR(VLOOKUP(B597,Crosswalk!$A$2:$C$125,3,FALSE),"Unmapped")</f>
        <v/>
      </c>
    </row>
    <row r="598">
      <c r="A598" t="n">
        <v>2014</v>
      </c>
      <c r="B598" t="inlineStr">
        <is>
          <t>BS33900</t>
        </is>
      </c>
      <c r="C598" t="inlineStr">
        <is>
          <t>Miscellaneous manufacturing</t>
        </is>
      </c>
      <c r="D598" t="n">
        <v>12790.2</v>
      </c>
      <c r="E598">
        <f>IFERROR(VLOOKUP(B598,Crosswalk!$A$2:$C$125,3,FALSE),"Unmapped")</f>
        <v/>
      </c>
    </row>
    <row r="599">
      <c r="A599" t="n">
        <v>2014</v>
      </c>
      <c r="B599" t="inlineStr">
        <is>
          <t>BS41000</t>
        </is>
      </c>
      <c r="C599" t="inlineStr">
        <is>
          <t>Wholesale trade</t>
        </is>
      </c>
      <c r="D599" t="n">
        <v>160731.5</v>
      </c>
      <c r="E599">
        <f>IFERROR(VLOOKUP(B599,Crosswalk!$A$2:$C$125,3,FALSE),"Unmapped")</f>
        <v/>
      </c>
    </row>
    <row r="600">
      <c r="A600" t="n">
        <v>2014</v>
      </c>
      <c r="B600" t="inlineStr">
        <is>
          <t>BS459BU</t>
        </is>
      </c>
      <c r="C600" t="inlineStr">
        <is>
          <t>Cannabis retailers (unlicensed)</t>
        </is>
      </c>
      <c r="D600" t="n">
        <v>1784.5</v>
      </c>
      <c r="E600">
        <f>IFERROR(VLOOKUP(B600,Crosswalk!$A$2:$C$125,3,FALSE),"Unmapped")</f>
        <v/>
      </c>
    </row>
    <row r="601">
      <c r="A601" t="n">
        <v>2014</v>
      </c>
      <c r="B601" t="inlineStr">
        <is>
          <t>BS48100</t>
        </is>
      </c>
      <c r="C601" t="inlineStr">
        <is>
          <t>Air transportation</t>
        </is>
      </c>
      <c r="D601" t="n">
        <v>22513.2</v>
      </c>
      <c r="E601">
        <f>IFERROR(VLOOKUP(B601,Crosswalk!$A$2:$C$125,3,FALSE),"Unmapped")</f>
        <v/>
      </c>
    </row>
    <row r="602">
      <c r="A602" t="n">
        <v>2014</v>
      </c>
      <c r="B602" t="inlineStr">
        <is>
          <t>BS48200</t>
        </is>
      </c>
      <c r="C602" t="inlineStr">
        <is>
          <t>Rail transportation</t>
        </is>
      </c>
      <c r="D602" t="n">
        <v>13930.7</v>
      </c>
      <c r="E602">
        <f>IFERROR(VLOOKUP(B602,Crosswalk!$A$2:$C$125,3,FALSE),"Unmapped")</f>
        <v/>
      </c>
    </row>
    <row r="603">
      <c r="A603" t="n">
        <v>2014</v>
      </c>
      <c r="B603" t="inlineStr">
        <is>
          <t>BS48300</t>
        </is>
      </c>
      <c r="C603" t="inlineStr">
        <is>
          <t>Water transportation</t>
        </is>
      </c>
      <c r="D603" t="n">
        <v>5423.4</v>
      </c>
      <c r="E603">
        <f>IFERROR(VLOOKUP(B603,Crosswalk!$A$2:$C$125,3,FALSE),"Unmapped")</f>
        <v/>
      </c>
    </row>
    <row r="604">
      <c r="A604" t="n">
        <v>2014</v>
      </c>
      <c r="B604" t="inlineStr">
        <is>
          <t>BS48400</t>
        </is>
      </c>
      <c r="C604" t="inlineStr">
        <is>
          <t>Truck transportation</t>
        </is>
      </c>
      <c r="D604" t="n">
        <v>53594</v>
      </c>
      <c r="E604">
        <f>IFERROR(VLOOKUP(B604,Crosswalk!$A$2:$C$125,3,FALSE),"Unmapped")</f>
        <v/>
      </c>
    </row>
    <row r="605">
      <c r="A605" t="n">
        <v>2014</v>
      </c>
      <c r="B605" t="inlineStr">
        <is>
          <t>BS48600</t>
        </is>
      </c>
      <c r="C605" t="inlineStr">
        <is>
          <t>Pipeline transportation</t>
        </is>
      </c>
      <c r="D605" t="n">
        <v>11157.5</v>
      </c>
      <c r="E605">
        <f>IFERROR(VLOOKUP(B605,Crosswalk!$A$2:$C$125,3,FALSE),"Unmapped")</f>
        <v/>
      </c>
    </row>
    <row r="606">
      <c r="A606" t="n">
        <v>2014</v>
      </c>
      <c r="B606" t="inlineStr">
        <is>
          <t>BS48B00</t>
        </is>
      </c>
      <c r="C606" t="inlineStr">
        <is>
          <t>Transit, ground passenger and scenic and sightseeing transportation, taxi and limousine service and support activities for transportation</t>
        </is>
      </c>
      <c r="D606" t="n">
        <v>39016.3</v>
      </c>
      <c r="E606">
        <f>IFERROR(VLOOKUP(B606,Crosswalk!$A$2:$C$125,3,FALSE),"Unmapped")</f>
        <v/>
      </c>
    </row>
    <row r="607">
      <c r="A607" t="n">
        <v>2014</v>
      </c>
      <c r="B607" t="inlineStr">
        <is>
          <t>BS49300</t>
        </is>
      </c>
      <c r="C607" t="inlineStr">
        <is>
          <t>Warehousing and storage</t>
        </is>
      </c>
      <c r="D607" t="n">
        <v>4203.2</v>
      </c>
      <c r="E607">
        <f>IFERROR(VLOOKUP(B607,Crosswalk!$A$2:$C$125,3,FALSE),"Unmapped")</f>
        <v/>
      </c>
    </row>
    <row r="608">
      <c r="A608" t="n">
        <v>2014</v>
      </c>
      <c r="B608" t="inlineStr">
        <is>
          <t>BS49A00</t>
        </is>
      </c>
      <c r="C608" t="inlineStr">
        <is>
          <t>Postal service, couriers and messengers</t>
        </is>
      </c>
      <c r="D608" t="n">
        <v>14435.5</v>
      </c>
      <c r="E608">
        <f>IFERROR(VLOOKUP(B608,Crosswalk!$A$2:$C$125,3,FALSE),"Unmapped")</f>
        <v/>
      </c>
    </row>
    <row r="609">
      <c r="A609" t="n">
        <v>2014</v>
      </c>
      <c r="B609" t="inlineStr">
        <is>
          <t>BS4AA00</t>
        </is>
      </c>
      <c r="C609" t="inlineStr">
        <is>
          <t>Retail trade (except cannabis)</t>
        </is>
      </c>
      <c r="D609" t="n">
        <v>149594.3</v>
      </c>
      <c r="E609">
        <f>IFERROR(VLOOKUP(B609,Crosswalk!$A$2:$C$125,3,FALSE),"Unmapped")</f>
        <v/>
      </c>
    </row>
    <row r="610">
      <c r="A610" t="n">
        <v>2014</v>
      </c>
      <c r="B610" t="inlineStr">
        <is>
          <t>BS51200</t>
        </is>
      </c>
      <c r="C610" t="inlineStr">
        <is>
          <t>Motion picture and sound recording industries</t>
        </is>
      </c>
      <c r="D610" t="n">
        <v>9725.700000000001</v>
      </c>
      <c r="E610">
        <f>IFERROR(VLOOKUP(B610,Crosswalk!$A$2:$C$125,3,FALSE),"Unmapped")</f>
        <v/>
      </c>
    </row>
    <row r="611">
      <c r="A611" t="n">
        <v>2014</v>
      </c>
      <c r="B611" t="inlineStr">
        <is>
          <t>BS51610</t>
        </is>
      </c>
      <c r="C611" t="inlineStr">
        <is>
          <t>Radio and television broadcasting stations</t>
        </is>
      </c>
      <c r="D611" t="n">
        <v>3800.1</v>
      </c>
      <c r="E611">
        <f>IFERROR(VLOOKUP(B611,Crosswalk!$A$2:$C$125,3,FALSE),"Unmapped")</f>
        <v/>
      </c>
    </row>
    <row r="612">
      <c r="A612" t="n">
        <v>2014</v>
      </c>
      <c r="B612" t="inlineStr">
        <is>
          <t>BS51B00</t>
        </is>
      </c>
      <c r="C612" t="inlineStr">
        <is>
          <t>Publishing, pay/specialty services, telecommunications and other information services</t>
        </is>
      </c>
      <c r="D612" t="n">
        <v>86117.7</v>
      </c>
      <c r="E612">
        <f>IFERROR(VLOOKUP(B612,Crosswalk!$A$2:$C$125,3,FALSE),"Unmapped")</f>
        <v/>
      </c>
    </row>
    <row r="613">
      <c r="A613" t="n">
        <v>2014</v>
      </c>
      <c r="B613" t="inlineStr">
        <is>
          <t>BS52410</t>
        </is>
      </c>
      <c r="C613" t="inlineStr">
        <is>
          <t>Insurance carriers</t>
        </is>
      </c>
      <c r="D613" t="n">
        <v>44003.2</v>
      </c>
      <c r="E613">
        <f>IFERROR(VLOOKUP(B613,Crosswalk!$A$2:$C$125,3,FALSE),"Unmapped")</f>
        <v/>
      </c>
    </row>
    <row r="614">
      <c r="A614" t="n">
        <v>2014</v>
      </c>
      <c r="B614" t="inlineStr">
        <is>
          <t>BS52B00</t>
        </is>
      </c>
      <c r="C614" t="inlineStr">
        <is>
          <t>Depository credit intermediation and monetary authorities</t>
        </is>
      </c>
      <c r="D614" t="n">
        <v>89310</v>
      </c>
      <c r="E614">
        <f>IFERROR(VLOOKUP(B614,Crosswalk!$A$2:$C$125,3,FALSE),"Unmapped")</f>
        <v/>
      </c>
    </row>
    <row r="615">
      <c r="A615" t="n">
        <v>2014</v>
      </c>
      <c r="B615" t="inlineStr">
        <is>
          <t>BS53110</t>
        </is>
      </c>
      <c r="C615" t="inlineStr">
        <is>
          <t>Lessors of real estate</t>
        </is>
      </c>
      <c r="D615" t="n">
        <v>91692.7</v>
      </c>
      <c r="E615">
        <f>IFERROR(VLOOKUP(B615,Crosswalk!$A$2:$C$125,3,FALSE),"Unmapped")</f>
        <v/>
      </c>
    </row>
    <row r="616">
      <c r="A616" t="n">
        <v>2014</v>
      </c>
      <c r="B616" t="inlineStr">
        <is>
          <t>BS5311A</t>
        </is>
      </c>
      <c r="C616" t="inlineStr">
        <is>
          <t>Owner-occupied dwellings</t>
        </is>
      </c>
      <c r="D616" t="n">
        <v>164293.4</v>
      </c>
      <c r="E616">
        <f>IFERROR(VLOOKUP(B616,Crosswalk!$A$2:$C$125,3,FALSE),"Unmapped")</f>
        <v/>
      </c>
    </row>
    <row r="617">
      <c r="A617" t="n">
        <v>2014</v>
      </c>
      <c r="B617" t="inlineStr">
        <is>
          <t>BS53B00</t>
        </is>
      </c>
      <c r="C617" t="inlineStr">
        <is>
          <t>Rental and leasing services and lessors of non-financial intangible assets (except copyrighted works)</t>
        </is>
      </c>
      <c r="D617" t="n">
        <v>22051.6</v>
      </c>
      <c r="E617">
        <f>IFERROR(VLOOKUP(B617,Crosswalk!$A$2:$C$125,3,FALSE),"Unmapped")</f>
        <v/>
      </c>
    </row>
    <row r="618">
      <c r="A618" t="n">
        <v>2014</v>
      </c>
      <c r="B618" t="inlineStr">
        <is>
          <t>BS54180</t>
        </is>
      </c>
      <c r="C618" t="inlineStr">
        <is>
          <t>Advertising, public relations, and related services</t>
        </is>
      </c>
      <c r="D618" t="n">
        <v>8808.5</v>
      </c>
      <c r="E618">
        <f>IFERROR(VLOOKUP(B618,Crosswalk!$A$2:$C$125,3,FALSE),"Unmapped")</f>
        <v/>
      </c>
    </row>
    <row r="619">
      <c r="A619" t="n">
        <v>2014</v>
      </c>
      <c r="B619" t="inlineStr">
        <is>
          <t>BS541C0</t>
        </is>
      </c>
      <c r="C619" t="inlineStr">
        <is>
          <t>Legal, accounting and architectural, engineering and related services</t>
        </is>
      </c>
      <c r="D619" t="n">
        <v>73954.89999999999</v>
      </c>
      <c r="E619">
        <f>IFERROR(VLOOKUP(B619,Crosswalk!$A$2:$C$125,3,FALSE),"Unmapped")</f>
        <v/>
      </c>
    </row>
    <row r="620">
      <c r="A620" t="n">
        <v>2014</v>
      </c>
      <c r="B620" t="inlineStr">
        <is>
          <t>BS541D0</t>
        </is>
      </c>
      <c r="C620" t="inlineStr">
        <is>
          <t>Computer systems design and other professional, scientific and technical services</t>
        </is>
      </c>
      <c r="D620" t="n">
        <v>85222.60000000001</v>
      </c>
      <c r="E620">
        <f>IFERROR(VLOOKUP(B620,Crosswalk!$A$2:$C$125,3,FALSE),"Unmapped")</f>
        <v/>
      </c>
    </row>
    <row r="621">
      <c r="A621" t="n">
        <v>2014</v>
      </c>
      <c r="B621" t="inlineStr">
        <is>
          <t>BS56100</t>
        </is>
      </c>
      <c r="C621" t="inlineStr">
        <is>
          <t>Administrative and support services</t>
        </is>
      </c>
      <c r="D621" t="n">
        <v>71924.7</v>
      </c>
      <c r="E621">
        <f>IFERROR(VLOOKUP(B621,Crosswalk!$A$2:$C$125,3,FALSE),"Unmapped")</f>
        <v/>
      </c>
    </row>
    <row r="622">
      <c r="A622" t="n">
        <v>2014</v>
      </c>
      <c r="B622" t="inlineStr">
        <is>
          <t>BS56200</t>
        </is>
      </c>
      <c r="C622" t="inlineStr">
        <is>
          <t>Waste management and remediation services</t>
        </is>
      </c>
      <c r="D622" t="n">
        <v>8660.1</v>
      </c>
      <c r="E622">
        <f>IFERROR(VLOOKUP(B622,Crosswalk!$A$2:$C$125,3,FALSE),"Unmapped")</f>
        <v/>
      </c>
    </row>
    <row r="623">
      <c r="A623" t="n">
        <v>2014</v>
      </c>
      <c r="B623" t="inlineStr">
        <is>
          <t>BS5A000</t>
        </is>
      </c>
      <c r="C623" t="inlineStr">
        <is>
          <t>Other finance, insurance and real estate services and management of companies and enterprises</t>
        </is>
      </c>
      <c r="D623" t="n">
        <v>129747.1</v>
      </c>
      <c r="E623">
        <f>IFERROR(VLOOKUP(B623,Crosswalk!$A$2:$C$125,3,FALSE),"Unmapped")</f>
        <v/>
      </c>
    </row>
    <row r="624">
      <c r="A624" t="n">
        <v>2014</v>
      </c>
      <c r="B624" t="inlineStr">
        <is>
          <t>BS61000</t>
        </is>
      </c>
      <c r="C624" t="inlineStr">
        <is>
          <t>Educational services</t>
        </is>
      </c>
      <c r="D624" t="n">
        <v>6012.1</v>
      </c>
      <c r="E624">
        <f>IFERROR(VLOOKUP(B624,Crosswalk!$A$2:$C$125,3,FALSE),"Unmapped")</f>
        <v/>
      </c>
    </row>
    <row r="625">
      <c r="A625" t="n">
        <v>2014</v>
      </c>
      <c r="B625" t="inlineStr">
        <is>
          <t>BS62000</t>
        </is>
      </c>
      <c r="C625" t="inlineStr">
        <is>
          <t>Health care and social assistance</t>
        </is>
      </c>
      <c r="D625" t="n">
        <v>69218.89999999999</v>
      </c>
      <c r="E625">
        <f>IFERROR(VLOOKUP(B625,Crosswalk!$A$2:$C$125,3,FALSE),"Unmapped")</f>
        <v/>
      </c>
    </row>
    <row r="626">
      <c r="A626" t="n">
        <v>2014</v>
      </c>
      <c r="B626" t="inlineStr">
        <is>
          <t>BS71000</t>
        </is>
      </c>
      <c r="C626" t="inlineStr">
        <is>
          <t>Arts, entertainment and recreation</t>
        </is>
      </c>
      <c r="D626" t="n">
        <v>22824.5</v>
      </c>
      <c r="E626">
        <f>IFERROR(VLOOKUP(B626,Crosswalk!$A$2:$C$125,3,FALSE),"Unmapped")</f>
        <v/>
      </c>
    </row>
    <row r="627">
      <c r="A627" t="n">
        <v>2014</v>
      </c>
      <c r="B627" t="inlineStr">
        <is>
          <t>BS72000</t>
        </is>
      </c>
      <c r="C627" t="inlineStr">
        <is>
          <t>Accommodation and food services</t>
        </is>
      </c>
      <c r="D627" t="n">
        <v>81412.2</v>
      </c>
      <c r="E627">
        <f>IFERROR(VLOOKUP(B627,Crosswalk!$A$2:$C$125,3,FALSE),"Unmapped")</f>
        <v/>
      </c>
    </row>
    <row r="628">
      <c r="A628" t="n">
        <v>2014</v>
      </c>
      <c r="B628" t="inlineStr">
        <is>
          <t>BS81100</t>
        </is>
      </c>
      <c r="C628" t="inlineStr">
        <is>
          <t>Repair and maintenance</t>
        </is>
      </c>
      <c r="D628" t="n">
        <v>23175.3</v>
      </c>
      <c r="E628">
        <f>IFERROR(VLOOKUP(B628,Crosswalk!$A$2:$C$125,3,FALSE),"Unmapped")</f>
        <v/>
      </c>
    </row>
    <row r="629">
      <c r="A629" t="n">
        <v>2014</v>
      </c>
      <c r="B629" t="inlineStr">
        <is>
          <t>BS81300</t>
        </is>
      </c>
      <c r="C629" t="inlineStr">
        <is>
          <t>Business, professional and other membership organizations</t>
        </is>
      </c>
      <c r="D629" t="n">
        <v>4109.3</v>
      </c>
      <c r="E629">
        <f>IFERROR(VLOOKUP(B629,Crosswalk!$A$2:$C$125,3,FALSE),"Unmapped")</f>
        <v/>
      </c>
    </row>
    <row r="630">
      <c r="A630" t="n">
        <v>2014</v>
      </c>
      <c r="B630" t="inlineStr">
        <is>
          <t>BS81A00</t>
        </is>
      </c>
      <c r="C630" t="inlineStr">
        <is>
          <t>Personal services and private households</t>
        </is>
      </c>
      <c r="D630" t="n">
        <v>17921</v>
      </c>
      <c r="E630">
        <f>IFERROR(VLOOKUP(B630,Crosswalk!$A$2:$C$125,3,FALSE),"Unmapped")</f>
        <v/>
      </c>
    </row>
    <row r="631">
      <c r="A631" t="n">
        <v>2014</v>
      </c>
      <c r="B631" t="inlineStr">
        <is>
          <t>GS61130</t>
        </is>
      </c>
      <c r="C631" t="inlineStr">
        <is>
          <t>Universities</t>
        </is>
      </c>
      <c r="D631" t="n">
        <v>40708.6</v>
      </c>
      <c r="E631">
        <f>IFERROR(VLOOKUP(B631,Crosswalk!$A$2:$C$125,3,FALSE),"Unmapped")</f>
        <v/>
      </c>
    </row>
    <row r="632">
      <c r="A632" t="n">
        <v>2014</v>
      </c>
      <c r="B632" t="inlineStr">
        <is>
          <t>GS611B0</t>
        </is>
      </c>
      <c r="C632" t="inlineStr">
        <is>
          <t>Educational services (except universities)</t>
        </is>
      </c>
      <c r="D632" t="n">
        <v>68790.8</v>
      </c>
      <c r="E632">
        <f>IFERROR(VLOOKUP(B632,Crosswalk!$A$2:$C$125,3,FALSE),"Unmapped")</f>
        <v/>
      </c>
    </row>
    <row r="633">
      <c r="A633" t="n">
        <v>2014</v>
      </c>
      <c r="B633" t="inlineStr">
        <is>
          <t>GS62300</t>
        </is>
      </c>
      <c r="C633" t="inlineStr">
        <is>
          <t>Nursing and residential care facilities</t>
        </is>
      </c>
      <c r="D633" t="n">
        <v>14810.6</v>
      </c>
      <c r="E633">
        <f>IFERROR(VLOOKUP(B633,Crosswalk!$A$2:$C$125,3,FALSE),"Unmapped")</f>
        <v/>
      </c>
    </row>
    <row r="634">
      <c r="A634" t="n">
        <v>2014</v>
      </c>
      <c r="B634" t="inlineStr">
        <is>
          <t>GS62B00</t>
        </is>
      </c>
      <c r="C634" t="inlineStr">
        <is>
          <t>Health care and social assistance (except nursing and residential care facilities)</t>
        </is>
      </c>
      <c r="D634" t="n">
        <v>91927.3</v>
      </c>
      <c r="E634">
        <f>IFERROR(VLOOKUP(B634,Crosswalk!$A$2:$C$125,3,FALSE),"Unmapped")</f>
        <v/>
      </c>
    </row>
    <row r="635">
      <c r="A635" t="n">
        <v>2014</v>
      </c>
      <c r="B635" t="inlineStr">
        <is>
          <t>GS91100</t>
        </is>
      </c>
      <c r="C635" t="inlineStr">
        <is>
          <t>Other federal government services</t>
        </is>
      </c>
      <c r="D635" t="n">
        <v>73908.60000000001</v>
      </c>
      <c r="E635">
        <f>IFERROR(VLOOKUP(B635,Crosswalk!$A$2:$C$125,3,FALSE),"Unmapped")</f>
        <v/>
      </c>
    </row>
    <row r="636">
      <c r="A636" t="n">
        <v>2014</v>
      </c>
      <c r="B636" t="inlineStr">
        <is>
          <t>GS91200</t>
        </is>
      </c>
      <c r="C636" t="inlineStr">
        <is>
          <t>Other provincial and territorial government services</t>
        </is>
      </c>
      <c r="D636" t="n">
        <v>116883.3</v>
      </c>
      <c r="E636">
        <f>IFERROR(VLOOKUP(B636,Crosswalk!$A$2:$C$125,3,FALSE),"Unmapped")</f>
        <v/>
      </c>
    </row>
    <row r="637">
      <c r="A637" t="n">
        <v>2014</v>
      </c>
      <c r="B637" t="inlineStr">
        <is>
          <t>GS91300</t>
        </is>
      </c>
      <c r="C637" t="inlineStr">
        <is>
          <t>Other municipal government services</t>
        </is>
      </c>
      <c r="D637" t="n">
        <v>79168.89999999999</v>
      </c>
      <c r="E637">
        <f>IFERROR(VLOOKUP(B637,Crosswalk!$A$2:$C$125,3,FALSE),"Unmapped")</f>
        <v/>
      </c>
    </row>
    <row r="638">
      <c r="A638" t="n">
        <v>2014</v>
      </c>
      <c r="B638" t="inlineStr">
        <is>
          <t>GS91400</t>
        </is>
      </c>
      <c r="C638" t="inlineStr">
        <is>
          <t>Other Indigenous government services</t>
        </is>
      </c>
      <c r="D638" t="n">
        <v>6874.5</v>
      </c>
      <c r="E638">
        <f>IFERROR(VLOOKUP(B638,Crosswalk!$A$2:$C$125,3,FALSE),"Unmapped")</f>
        <v/>
      </c>
    </row>
    <row r="639">
      <c r="A639" t="n">
        <v>2014</v>
      </c>
      <c r="B639" t="inlineStr">
        <is>
          <t>NP61000</t>
        </is>
      </c>
      <c r="C639" t="inlineStr">
        <is>
          <t>Educational services</t>
        </is>
      </c>
      <c r="D639" t="n">
        <v>4906.2</v>
      </c>
      <c r="E639">
        <f>IFERROR(VLOOKUP(B639,Crosswalk!$A$2:$C$125,3,FALSE),"Unmapped")</f>
        <v/>
      </c>
    </row>
    <row r="640">
      <c r="A640" t="n">
        <v>2014</v>
      </c>
      <c r="B640" t="inlineStr">
        <is>
          <t>NP62400</t>
        </is>
      </c>
      <c r="C640" t="inlineStr">
        <is>
          <t>Social assistance</t>
        </is>
      </c>
      <c r="D640" t="n">
        <v>9770.1</v>
      </c>
      <c r="E640">
        <f>IFERROR(VLOOKUP(B640,Crosswalk!$A$2:$C$125,3,FALSE),"Unmapped")</f>
        <v/>
      </c>
    </row>
    <row r="641">
      <c r="A641" t="n">
        <v>2014</v>
      </c>
      <c r="B641" t="inlineStr">
        <is>
          <t>NP71000</t>
        </is>
      </c>
      <c r="C641" t="inlineStr">
        <is>
          <t>Arts, entertainment and recreation</t>
        </is>
      </c>
      <c r="D641" t="n">
        <v>2247.1</v>
      </c>
      <c r="E641">
        <f>IFERROR(VLOOKUP(B641,Crosswalk!$A$2:$C$125,3,FALSE),"Unmapped")</f>
        <v/>
      </c>
    </row>
    <row r="642">
      <c r="A642" t="n">
        <v>2014</v>
      </c>
      <c r="B642" t="inlineStr">
        <is>
          <t>NP81310</t>
        </is>
      </c>
      <c r="C642" t="inlineStr">
        <is>
          <t>Religious organizations</t>
        </is>
      </c>
      <c r="D642" t="n">
        <v>5950.3</v>
      </c>
      <c r="E642">
        <f>IFERROR(VLOOKUP(B642,Crosswalk!$A$2:$C$125,3,FALSE),"Unmapped")</f>
        <v/>
      </c>
    </row>
    <row r="643">
      <c r="A643" t="n">
        <v>2014</v>
      </c>
      <c r="B643" t="inlineStr">
        <is>
          <t>NPA0000</t>
        </is>
      </c>
      <c r="C643" t="inlineStr">
        <is>
          <t>Miscellaneous non-profit institutions serving households</t>
        </is>
      </c>
      <c r="D643" t="n">
        <v>21002.6</v>
      </c>
      <c r="E643">
        <f>IFERROR(VLOOKUP(B643,Crosswalk!$A$2:$C$125,3,FALSE),"Unmapped")</f>
        <v/>
      </c>
    </row>
    <row r="644">
      <c r="A644" t="n">
        <v>2015</v>
      </c>
      <c r="B644" t="inlineStr">
        <is>
          <t>BS111CL</t>
        </is>
      </c>
      <c r="C644" t="inlineStr">
        <is>
          <t>Cannabis production (licensed)</t>
        </is>
      </c>
      <c r="D644" t="n">
        <v>79.5</v>
      </c>
      <c r="E644">
        <f>IFERROR(VLOOKUP(B644,Crosswalk!$A$2:$C$125,3,FALSE),"Unmapped")</f>
        <v/>
      </c>
    </row>
    <row r="645">
      <c r="A645" t="n">
        <v>2015</v>
      </c>
      <c r="B645" t="inlineStr">
        <is>
          <t>BS111CU</t>
        </is>
      </c>
      <c r="C645" t="inlineStr">
        <is>
          <t>Cannabis production (unlicensed)</t>
        </is>
      </c>
      <c r="D645" t="n">
        <v>4859.9</v>
      </c>
      <c r="E645">
        <f>IFERROR(VLOOKUP(B645,Crosswalk!$A$2:$C$125,3,FALSE),"Unmapped")</f>
        <v/>
      </c>
    </row>
    <row r="646">
      <c r="A646" t="n">
        <v>2015</v>
      </c>
      <c r="B646" t="inlineStr">
        <is>
          <t>BS11300</t>
        </is>
      </c>
      <c r="C646" t="inlineStr">
        <is>
          <t>Forestry and logging</t>
        </is>
      </c>
      <c r="D646" t="n">
        <v>10281.9</v>
      </c>
      <c r="E646">
        <f>IFERROR(VLOOKUP(B646,Crosswalk!$A$2:$C$125,3,FALSE),"Unmapped")</f>
        <v/>
      </c>
    </row>
    <row r="647">
      <c r="A647" t="n">
        <v>2015</v>
      </c>
      <c r="B647" t="inlineStr">
        <is>
          <t>BS11400</t>
        </is>
      </c>
      <c r="C647" t="inlineStr">
        <is>
          <t>Fishing, hunting and trapping</t>
        </is>
      </c>
      <c r="D647" t="n">
        <v>3305.1</v>
      </c>
      <c r="E647">
        <f>IFERROR(VLOOKUP(B647,Crosswalk!$A$2:$C$125,3,FALSE),"Unmapped")</f>
        <v/>
      </c>
    </row>
    <row r="648">
      <c r="A648" t="n">
        <v>2015</v>
      </c>
      <c r="B648" t="inlineStr">
        <is>
          <t>BS11500</t>
        </is>
      </c>
      <c r="C648" t="inlineStr">
        <is>
          <t>Support activities for agriculture and forestry</t>
        </is>
      </c>
      <c r="D648" t="n">
        <v>3194.8</v>
      </c>
      <c r="E648">
        <f>IFERROR(VLOOKUP(B648,Crosswalk!$A$2:$C$125,3,FALSE),"Unmapped")</f>
        <v/>
      </c>
    </row>
    <row r="649">
      <c r="A649" t="n">
        <v>2015</v>
      </c>
      <c r="B649" t="inlineStr">
        <is>
          <t>BS11B00</t>
        </is>
      </c>
      <c r="C649" t="inlineStr">
        <is>
          <t>Crop and animal production (except cannabis)</t>
        </is>
      </c>
      <c r="D649" t="n">
        <v>67948.7</v>
      </c>
      <c r="E649">
        <f>IFERROR(VLOOKUP(B649,Crosswalk!$A$2:$C$125,3,FALSE),"Unmapped")</f>
        <v/>
      </c>
    </row>
    <row r="650">
      <c r="A650" t="n">
        <v>2015</v>
      </c>
      <c r="B650" t="inlineStr">
        <is>
          <t>BS21100</t>
        </is>
      </c>
      <c r="C650" t="inlineStr">
        <is>
          <t>Oil and gas extraction</t>
        </is>
      </c>
      <c r="D650" t="n">
        <v>101838.7</v>
      </c>
      <c r="E650">
        <f>IFERROR(VLOOKUP(B650,Crosswalk!$A$2:$C$125,3,FALSE),"Unmapped")</f>
        <v/>
      </c>
    </row>
    <row r="651">
      <c r="A651" t="n">
        <v>2015</v>
      </c>
      <c r="B651" t="inlineStr">
        <is>
          <t>BS21210</t>
        </is>
      </c>
      <c r="C651" t="inlineStr">
        <is>
          <t>Coal mining</t>
        </is>
      </c>
      <c r="D651" t="n">
        <v>3162.6</v>
      </c>
      <c r="E651">
        <f>IFERROR(VLOOKUP(B651,Crosswalk!$A$2:$C$125,3,FALSE),"Unmapped")</f>
        <v/>
      </c>
    </row>
    <row r="652">
      <c r="A652" t="n">
        <v>2015</v>
      </c>
      <c r="B652" t="inlineStr">
        <is>
          <t>BS21220</t>
        </is>
      </c>
      <c r="C652" t="inlineStr">
        <is>
          <t>Metal ore mining</t>
        </is>
      </c>
      <c r="D652" t="n">
        <v>22957.6</v>
      </c>
      <c r="E652">
        <f>IFERROR(VLOOKUP(B652,Crosswalk!$A$2:$C$125,3,FALSE),"Unmapped")</f>
        <v/>
      </c>
    </row>
    <row r="653">
      <c r="A653" t="n">
        <v>2015</v>
      </c>
      <c r="B653" t="inlineStr">
        <is>
          <t>BS21230</t>
        </is>
      </c>
      <c r="C653" t="inlineStr">
        <is>
          <t>Non-metallic mineral mining and quarrying</t>
        </is>
      </c>
      <c r="D653" t="n">
        <v>13778.4</v>
      </c>
      <c r="E653">
        <f>IFERROR(VLOOKUP(B653,Crosswalk!$A$2:$C$125,3,FALSE),"Unmapped")</f>
        <v/>
      </c>
    </row>
    <row r="654">
      <c r="A654" t="n">
        <v>2015</v>
      </c>
      <c r="B654" t="inlineStr">
        <is>
          <t>BS21300</t>
        </is>
      </c>
      <c r="C654" t="inlineStr">
        <is>
          <t>Support activities for mining, and oil and gas extraction</t>
        </is>
      </c>
      <c r="D654" t="n">
        <v>25071.4</v>
      </c>
      <c r="E654">
        <f>IFERROR(VLOOKUP(B654,Crosswalk!$A$2:$C$125,3,FALSE),"Unmapped")</f>
        <v/>
      </c>
    </row>
    <row r="655">
      <c r="A655" t="n">
        <v>2015</v>
      </c>
      <c r="B655" t="inlineStr">
        <is>
          <t>BS22110</t>
        </is>
      </c>
      <c r="C655" t="inlineStr">
        <is>
          <t>Electric power generation, transmission and distribution</t>
        </is>
      </c>
      <c r="D655" t="n">
        <v>47144.4</v>
      </c>
      <c r="E655">
        <f>IFERROR(VLOOKUP(B655,Crosswalk!$A$2:$C$125,3,FALSE),"Unmapped")</f>
        <v/>
      </c>
    </row>
    <row r="656">
      <c r="A656" t="n">
        <v>2015</v>
      </c>
      <c r="B656" t="inlineStr">
        <is>
          <t>BS221A0</t>
        </is>
      </c>
      <c r="C656" t="inlineStr">
        <is>
          <t>Natural gas distribution, water, sewage and other systems</t>
        </is>
      </c>
      <c r="D656" t="n">
        <v>6890.3</v>
      </c>
      <c r="E656">
        <f>IFERROR(VLOOKUP(B656,Crosswalk!$A$2:$C$125,3,FALSE),"Unmapped")</f>
        <v/>
      </c>
    </row>
    <row r="657">
      <c r="A657" t="n">
        <v>2015</v>
      </c>
      <c r="B657" t="inlineStr">
        <is>
          <t>BS23A00</t>
        </is>
      </c>
      <c r="C657" t="inlineStr">
        <is>
          <t>Residential building construction</t>
        </is>
      </c>
      <c r="D657" t="n">
        <v>107445.1</v>
      </c>
      <c r="E657">
        <f>IFERROR(VLOOKUP(B657,Crosswalk!$A$2:$C$125,3,FALSE),"Unmapped")</f>
        <v/>
      </c>
    </row>
    <row r="658">
      <c r="A658" t="n">
        <v>2015</v>
      </c>
      <c r="B658" t="inlineStr">
        <is>
          <t>BS23B00</t>
        </is>
      </c>
      <c r="C658" t="inlineStr">
        <is>
          <t>Non-residential building construction</t>
        </is>
      </c>
      <c r="D658" t="n">
        <v>49949.6</v>
      </c>
      <c r="E658">
        <f>IFERROR(VLOOKUP(B658,Crosswalk!$A$2:$C$125,3,FALSE),"Unmapped")</f>
        <v/>
      </c>
    </row>
    <row r="659">
      <c r="A659" t="n">
        <v>2015</v>
      </c>
      <c r="B659" t="inlineStr">
        <is>
          <t>BS23C10</t>
        </is>
      </c>
      <c r="C659" t="inlineStr">
        <is>
          <t>Transportation engineering construction</t>
        </is>
      </c>
      <c r="D659" t="n">
        <v>25579.1</v>
      </c>
      <c r="E659">
        <f>IFERROR(VLOOKUP(B659,Crosswalk!$A$2:$C$125,3,FALSE),"Unmapped")</f>
        <v/>
      </c>
    </row>
    <row r="660">
      <c r="A660" t="n">
        <v>2015</v>
      </c>
      <c r="B660" t="inlineStr">
        <is>
          <t>BS23C20</t>
        </is>
      </c>
      <c r="C660" t="inlineStr">
        <is>
          <t>Oil and gas engineering construction</t>
        </is>
      </c>
      <c r="D660" t="n">
        <v>58043.7</v>
      </c>
      <c r="E660">
        <f>IFERROR(VLOOKUP(B660,Crosswalk!$A$2:$C$125,3,FALSE),"Unmapped")</f>
        <v/>
      </c>
    </row>
    <row r="661">
      <c r="A661" t="n">
        <v>2015</v>
      </c>
      <c r="B661" t="inlineStr">
        <is>
          <t>BS23C30</t>
        </is>
      </c>
      <c r="C661" t="inlineStr">
        <is>
          <t>Electric power engineering construction</t>
        </is>
      </c>
      <c r="D661" t="n">
        <v>18505</v>
      </c>
      <c r="E661">
        <f>IFERROR(VLOOKUP(B661,Crosswalk!$A$2:$C$125,3,FALSE),"Unmapped")</f>
        <v/>
      </c>
    </row>
    <row r="662">
      <c r="A662" t="n">
        <v>2015</v>
      </c>
      <c r="B662" t="inlineStr">
        <is>
          <t>BS23C40</t>
        </is>
      </c>
      <c r="C662" t="inlineStr">
        <is>
          <t>Communication engineering construction</t>
        </is>
      </c>
      <c r="D662" t="n">
        <v>4664.2</v>
      </c>
      <c r="E662">
        <f>IFERROR(VLOOKUP(B662,Crosswalk!$A$2:$C$125,3,FALSE),"Unmapped")</f>
        <v/>
      </c>
    </row>
    <row r="663">
      <c r="A663" t="n">
        <v>2015</v>
      </c>
      <c r="B663" t="inlineStr">
        <is>
          <t>BS23C50</t>
        </is>
      </c>
      <c r="C663" t="inlineStr">
        <is>
          <t>Other engineering construction</t>
        </is>
      </c>
      <c r="D663" t="n">
        <v>21844.7</v>
      </c>
      <c r="E663">
        <f>IFERROR(VLOOKUP(B663,Crosswalk!$A$2:$C$125,3,FALSE),"Unmapped")</f>
        <v/>
      </c>
    </row>
    <row r="664">
      <c r="A664" t="n">
        <v>2015</v>
      </c>
      <c r="B664" t="inlineStr">
        <is>
          <t>BS23D00</t>
        </is>
      </c>
      <c r="C664" t="inlineStr">
        <is>
          <t>Repair construction</t>
        </is>
      </c>
      <c r="D664" t="n">
        <v>43440.2</v>
      </c>
      <c r="E664">
        <f>IFERROR(VLOOKUP(B664,Crosswalk!$A$2:$C$125,3,FALSE),"Unmapped")</f>
        <v/>
      </c>
    </row>
    <row r="665">
      <c r="A665" t="n">
        <v>2015</v>
      </c>
      <c r="B665" t="inlineStr">
        <is>
          <t>BS23E00</t>
        </is>
      </c>
      <c r="C665" t="inlineStr">
        <is>
          <t>Other activities of the construction industry</t>
        </is>
      </c>
      <c r="D665" t="n">
        <v>4449.3</v>
      </c>
      <c r="E665">
        <f>IFERROR(VLOOKUP(B665,Crosswalk!$A$2:$C$125,3,FALSE),"Unmapped")</f>
        <v/>
      </c>
    </row>
    <row r="666">
      <c r="A666" t="n">
        <v>2015</v>
      </c>
      <c r="B666" t="inlineStr">
        <is>
          <t>BS31110</t>
        </is>
      </c>
      <c r="C666" t="inlineStr">
        <is>
          <t>Animal food manufacturing</t>
        </is>
      </c>
      <c r="D666" t="n">
        <v>8472.299999999999</v>
      </c>
      <c r="E666">
        <f>IFERROR(VLOOKUP(B666,Crosswalk!$A$2:$C$125,3,FALSE),"Unmapped")</f>
        <v/>
      </c>
    </row>
    <row r="667">
      <c r="A667" t="n">
        <v>2015</v>
      </c>
      <c r="B667" t="inlineStr">
        <is>
          <t>BS31130</t>
        </is>
      </c>
      <c r="C667" t="inlineStr">
        <is>
          <t>Sugar and confectionery product manufacturing</t>
        </is>
      </c>
      <c r="D667" t="n">
        <v>4609.6</v>
      </c>
      <c r="E667">
        <f>IFERROR(VLOOKUP(B667,Crosswalk!$A$2:$C$125,3,FALSE),"Unmapped")</f>
        <v/>
      </c>
    </row>
    <row r="668">
      <c r="A668" t="n">
        <v>2015</v>
      </c>
      <c r="B668" t="inlineStr">
        <is>
          <t>BS31140</t>
        </is>
      </c>
      <c r="C668" t="inlineStr">
        <is>
          <t>Fruit and vegetable preserving and specialty food manufacturing</t>
        </is>
      </c>
      <c r="D668" t="n">
        <v>6656.2</v>
      </c>
      <c r="E668">
        <f>IFERROR(VLOOKUP(B668,Crosswalk!$A$2:$C$125,3,FALSE),"Unmapped")</f>
        <v/>
      </c>
    </row>
    <row r="669">
      <c r="A669" t="n">
        <v>2015</v>
      </c>
      <c r="B669" t="inlineStr">
        <is>
          <t>BS31150</t>
        </is>
      </c>
      <c r="C669" t="inlineStr">
        <is>
          <t>Dairy product manufacturing</t>
        </is>
      </c>
      <c r="D669" t="n">
        <v>13649.9</v>
      </c>
      <c r="E669">
        <f>IFERROR(VLOOKUP(B669,Crosswalk!$A$2:$C$125,3,FALSE),"Unmapped")</f>
        <v/>
      </c>
    </row>
    <row r="670">
      <c r="A670" t="n">
        <v>2015</v>
      </c>
      <c r="B670" t="inlineStr">
        <is>
          <t>BS31160</t>
        </is>
      </c>
      <c r="C670" t="inlineStr">
        <is>
          <t>Meat product manufacturing</t>
        </is>
      </c>
      <c r="D670" t="n">
        <v>27776.7</v>
      </c>
      <c r="E670">
        <f>IFERROR(VLOOKUP(B670,Crosswalk!$A$2:$C$125,3,FALSE),"Unmapped")</f>
        <v/>
      </c>
    </row>
    <row r="671">
      <c r="A671" t="n">
        <v>2015</v>
      </c>
      <c r="B671" t="inlineStr">
        <is>
          <t>BS31170</t>
        </is>
      </c>
      <c r="C671" t="inlineStr">
        <is>
          <t>Seafood product preparation and packaging</t>
        </is>
      </c>
      <c r="D671" t="n">
        <v>5543.2</v>
      </c>
      <c r="E671">
        <f>IFERROR(VLOOKUP(B671,Crosswalk!$A$2:$C$125,3,FALSE),"Unmapped")</f>
        <v/>
      </c>
    </row>
    <row r="672">
      <c r="A672" t="n">
        <v>2015</v>
      </c>
      <c r="B672" t="inlineStr">
        <is>
          <t>BS311A0</t>
        </is>
      </c>
      <c r="C672" t="inlineStr">
        <is>
          <t>Miscellaneous food manufacturing</t>
        </is>
      </c>
      <c r="D672" t="n">
        <v>30698.7</v>
      </c>
      <c r="E672">
        <f>IFERROR(VLOOKUP(B672,Crosswalk!$A$2:$C$125,3,FALSE),"Unmapped")</f>
        <v/>
      </c>
    </row>
    <row r="673">
      <c r="A673" t="n">
        <v>2015</v>
      </c>
      <c r="B673" t="inlineStr">
        <is>
          <t>BS31211</t>
        </is>
      </c>
      <c r="C673" t="inlineStr">
        <is>
          <t>Soft drink and ice manufacturing</t>
        </is>
      </c>
      <c r="D673" t="n">
        <v>4466.4</v>
      </c>
      <c r="E673">
        <f>IFERROR(VLOOKUP(B673,Crosswalk!$A$2:$C$125,3,FALSE),"Unmapped")</f>
        <v/>
      </c>
    </row>
    <row r="674">
      <c r="A674" t="n">
        <v>2015</v>
      </c>
      <c r="B674" t="inlineStr">
        <is>
          <t>BS31212</t>
        </is>
      </c>
      <c r="C674" t="inlineStr">
        <is>
          <t>Breweries</t>
        </is>
      </c>
      <c r="D674" t="n">
        <v>6079.2</v>
      </c>
      <c r="E674">
        <f>IFERROR(VLOOKUP(B674,Crosswalk!$A$2:$C$125,3,FALSE),"Unmapped")</f>
        <v/>
      </c>
    </row>
    <row r="675">
      <c r="A675" t="n">
        <v>2015</v>
      </c>
      <c r="B675" t="inlineStr">
        <is>
          <t>BS3121A</t>
        </is>
      </c>
      <c r="C675" t="inlineStr">
        <is>
          <t>Wineries and distilleries</t>
        </is>
      </c>
      <c r="D675" t="n">
        <v>2374</v>
      </c>
      <c r="E675">
        <f>IFERROR(VLOOKUP(B675,Crosswalk!$A$2:$C$125,3,FALSE),"Unmapped")</f>
        <v/>
      </c>
    </row>
    <row r="676">
      <c r="A676" t="n">
        <v>2015</v>
      </c>
      <c r="B676" t="inlineStr">
        <is>
          <t>BS312A0</t>
        </is>
      </c>
      <c r="C676" t="inlineStr">
        <is>
          <t>Tobacco and cannabis product manufacturing</t>
        </is>
      </c>
      <c r="D676" t="n">
        <v>2006.9</v>
      </c>
      <c r="E676">
        <f>IFERROR(VLOOKUP(B676,Crosswalk!$A$2:$C$125,3,FALSE),"Unmapped")</f>
        <v/>
      </c>
    </row>
    <row r="677">
      <c r="A677" t="n">
        <v>2015</v>
      </c>
      <c r="B677" t="inlineStr">
        <is>
          <t>BS31A00</t>
        </is>
      </c>
      <c r="C677" t="inlineStr">
        <is>
          <t>Textile and textile product mills</t>
        </is>
      </c>
      <c r="D677" t="n">
        <v>3681.7</v>
      </c>
      <c r="E677">
        <f>IFERROR(VLOOKUP(B677,Crosswalk!$A$2:$C$125,3,FALSE),"Unmapped")</f>
        <v/>
      </c>
    </row>
    <row r="678">
      <c r="A678" t="n">
        <v>2015</v>
      </c>
      <c r="B678" t="inlineStr">
        <is>
          <t>BS31B00</t>
        </is>
      </c>
      <c r="C678" t="inlineStr">
        <is>
          <t>Clothing and leather and allied product manufacturing</t>
        </is>
      </c>
      <c r="D678" t="n">
        <v>2962.9</v>
      </c>
      <c r="E678">
        <f>IFERROR(VLOOKUP(B678,Crosswalk!$A$2:$C$125,3,FALSE),"Unmapped")</f>
        <v/>
      </c>
    </row>
    <row r="679">
      <c r="A679" t="n">
        <v>2015</v>
      </c>
      <c r="B679" t="inlineStr">
        <is>
          <t>BS32100</t>
        </is>
      </c>
      <c r="C679" t="inlineStr">
        <is>
          <t>Wood product manufacturing</t>
        </is>
      </c>
      <c r="D679" t="n">
        <v>29011.8</v>
      </c>
      <c r="E679">
        <f>IFERROR(VLOOKUP(B679,Crosswalk!$A$2:$C$125,3,FALSE),"Unmapped")</f>
        <v/>
      </c>
    </row>
    <row r="680">
      <c r="A680" t="n">
        <v>2015</v>
      </c>
      <c r="B680" t="inlineStr">
        <is>
          <t>BS32210</t>
        </is>
      </c>
      <c r="C680" t="inlineStr">
        <is>
          <t>Pulp, paper and paperboard mills</t>
        </is>
      </c>
      <c r="D680" t="n">
        <v>17671.5</v>
      </c>
      <c r="E680">
        <f>IFERROR(VLOOKUP(B680,Crosswalk!$A$2:$C$125,3,FALSE),"Unmapped")</f>
        <v/>
      </c>
    </row>
    <row r="681">
      <c r="A681" t="n">
        <v>2015</v>
      </c>
      <c r="B681" t="inlineStr">
        <is>
          <t>BS32220</t>
        </is>
      </c>
      <c r="C681" t="inlineStr">
        <is>
          <t>Converted paper product manufacturing</t>
        </is>
      </c>
      <c r="D681" t="n">
        <v>9834.4</v>
      </c>
      <c r="E681">
        <f>IFERROR(VLOOKUP(B681,Crosswalk!$A$2:$C$125,3,FALSE),"Unmapped")</f>
        <v/>
      </c>
    </row>
    <row r="682">
      <c r="A682" t="n">
        <v>2015</v>
      </c>
      <c r="B682" t="inlineStr">
        <is>
          <t>BS32300</t>
        </is>
      </c>
      <c r="C682" t="inlineStr">
        <is>
          <t>Printing and related support activities</t>
        </is>
      </c>
      <c r="D682" t="n">
        <v>9457.5</v>
      </c>
      <c r="E682">
        <f>IFERROR(VLOOKUP(B682,Crosswalk!$A$2:$C$125,3,FALSE),"Unmapped")</f>
        <v/>
      </c>
    </row>
    <row r="683">
      <c r="A683" t="n">
        <v>2015</v>
      </c>
      <c r="B683" t="inlineStr">
        <is>
          <t>BS32400</t>
        </is>
      </c>
      <c r="C683" t="inlineStr">
        <is>
          <t>Petroleum and coal product manufacturing</t>
        </is>
      </c>
      <c r="D683" t="n">
        <v>61676.8</v>
      </c>
      <c r="E683">
        <f>IFERROR(VLOOKUP(B683,Crosswalk!$A$2:$C$125,3,FALSE),"Unmapped")</f>
        <v/>
      </c>
    </row>
    <row r="684">
      <c r="A684" t="n">
        <v>2015</v>
      </c>
      <c r="B684" t="inlineStr">
        <is>
          <t>BS32510</t>
        </is>
      </c>
      <c r="C684" t="inlineStr">
        <is>
          <t>Basic chemical manufacturing</t>
        </is>
      </c>
      <c r="D684" t="n">
        <v>16572.1</v>
      </c>
      <c r="E684">
        <f>IFERROR(VLOOKUP(B684,Crosswalk!$A$2:$C$125,3,FALSE),"Unmapped")</f>
        <v/>
      </c>
    </row>
    <row r="685">
      <c r="A685" t="n">
        <v>2015</v>
      </c>
      <c r="B685" t="inlineStr">
        <is>
          <t>BS32530</t>
        </is>
      </c>
      <c r="C685" t="inlineStr">
        <is>
          <t>Pesticide, fertilizer and other agricultural chemical manufacturing</t>
        </is>
      </c>
      <c r="D685" t="n">
        <v>5818.5</v>
      </c>
      <c r="E685">
        <f>IFERROR(VLOOKUP(B685,Crosswalk!$A$2:$C$125,3,FALSE),"Unmapped")</f>
        <v/>
      </c>
    </row>
    <row r="686">
      <c r="A686" t="n">
        <v>2015</v>
      </c>
      <c r="B686" t="inlineStr">
        <is>
          <t>BS32540</t>
        </is>
      </c>
      <c r="C686" t="inlineStr">
        <is>
          <t>Pharmaceutical and medicine manufacturing</t>
        </is>
      </c>
      <c r="D686" t="n">
        <v>12634.4</v>
      </c>
      <c r="E686">
        <f>IFERROR(VLOOKUP(B686,Crosswalk!$A$2:$C$125,3,FALSE),"Unmapped")</f>
        <v/>
      </c>
    </row>
    <row r="687">
      <c r="A687" t="n">
        <v>2015</v>
      </c>
      <c r="B687" t="inlineStr">
        <is>
          <t>BS325C0</t>
        </is>
      </c>
      <c r="C687" t="inlineStr">
        <is>
          <t>Miscellaneous chemical product manufacturing</t>
        </is>
      </c>
      <c r="D687" t="n">
        <v>22306.7</v>
      </c>
      <c r="E687">
        <f>IFERROR(VLOOKUP(B687,Crosswalk!$A$2:$C$125,3,FALSE),"Unmapped")</f>
        <v/>
      </c>
    </row>
    <row r="688">
      <c r="A688" t="n">
        <v>2015</v>
      </c>
      <c r="B688" t="inlineStr">
        <is>
          <t>BS32610</t>
        </is>
      </c>
      <c r="C688" t="inlineStr">
        <is>
          <t>Plastic product manufacturing</t>
        </is>
      </c>
      <c r="D688" t="n">
        <v>24008.8</v>
      </c>
      <c r="E688">
        <f>IFERROR(VLOOKUP(B688,Crosswalk!$A$2:$C$125,3,FALSE),"Unmapped")</f>
        <v/>
      </c>
    </row>
    <row r="689">
      <c r="A689" t="n">
        <v>2015</v>
      </c>
      <c r="B689" t="inlineStr">
        <is>
          <t>BS32620</t>
        </is>
      </c>
      <c r="C689" t="inlineStr">
        <is>
          <t>Rubber product manufacturing</t>
        </is>
      </c>
      <c r="D689" t="n">
        <v>5482.5</v>
      </c>
      <c r="E689">
        <f>IFERROR(VLOOKUP(B689,Crosswalk!$A$2:$C$125,3,FALSE),"Unmapped")</f>
        <v/>
      </c>
    </row>
    <row r="690">
      <c r="A690" t="n">
        <v>2015</v>
      </c>
      <c r="B690" t="inlineStr">
        <is>
          <t>BS32730</t>
        </is>
      </c>
      <c r="C690" t="inlineStr">
        <is>
          <t>Cement and concrete product manufacturing</t>
        </is>
      </c>
      <c r="D690" t="n">
        <v>9728.700000000001</v>
      </c>
      <c r="E690">
        <f>IFERROR(VLOOKUP(B690,Crosswalk!$A$2:$C$125,3,FALSE),"Unmapped")</f>
        <v/>
      </c>
    </row>
    <row r="691">
      <c r="A691" t="n">
        <v>2015</v>
      </c>
      <c r="B691" t="inlineStr">
        <is>
          <t>BS327A0</t>
        </is>
      </c>
      <c r="C691" t="inlineStr">
        <is>
          <t>Non-metallic mineral product manufacturing (except cement and concrete products)</t>
        </is>
      </c>
      <c r="D691" t="n">
        <v>6052.6</v>
      </c>
      <c r="E691">
        <f>IFERROR(VLOOKUP(B691,Crosswalk!$A$2:$C$125,3,FALSE),"Unmapped")</f>
        <v/>
      </c>
    </row>
    <row r="692">
      <c r="A692" t="n">
        <v>2015</v>
      </c>
      <c r="B692" t="inlineStr">
        <is>
          <t>BS33100</t>
        </is>
      </c>
      <c r="C692" t="inlineStr">
        <is>
          <t>Primary metal manufacturing</t>
        </is>
      </c>
      <c r="D692" t="n">
        <v>68978</v>
      </c>
      <c r="E692">
        <f>IFERROR(VLOOKUP(B692,Crosswalk!$A$2:$C$125,3,FALSE),"Unmapped")</f>
        <v/>
      </c>
    </row>
    <row r="693">
      <c r="A693" t="n">
        <v>2015</v>
      </c>
      <c r="B693" t="inlineStr">
        <is>
          <t>BS33200</t>
        </is>
      </c>
      <c r="C693" t="inlineStr">
        <is>
          <t>Fabricated metal product manufacturing</t>
        </is>
      </c>
      <c r="D693" t="n">
        <v>37027.1</v>
      </c>
      <c r="E693">
        <f>IFERROR(VLOOKUP(B693,Crosswalk!$A$2:$C$125,3,FALSE),"Unmapped")</f>
        <v/>
      </c>
    </row>
    <row r="694">
      <c r="A694" t="n">
        <v>2015</v>
      </c>
      <c r="B694" t="inlineStr">
        <is>
          <t>BS33300</t>
        </is>
      </c>
      <c r="C694" t="inlineStr">
        <is>
          <t>Machinery manufacturing</t>
        </is>
      </c>
      <c r="D694" t="n">
        <v>36289.2</v>
      </c>
      <c r="E694">
        <f>IFERROR(VLOOKUP(B694,Crosswalk!$A$2:$C$125,3,FALSE),"Unmapped")</f>
        <v/>
      </c>
    </row>
    <row r="695">
      <c r="A695" t="n">
        <v>2015</v>
      </c>
      <c r="B695" t="inlineStr">
        <is>
          <t>BS33400</t>
        </is>
      </c>
      <c r="C695" t="inlineStr">
        <is>
          <t>Computer and electronic product manufacturing</t>
        </is>
      </c>
      <c r="D695" t="n">
        <v>14419</v>
      </c>
      <c r="E695">
        <f>IFERROR(VLOOKUP(B695,Crosswalk!$A$2:$C$125,3,FALSE),"Unmapped")</f>
        <v/>
      </c>
    </row>
    <row r="696">
      <c r="A696" t="n">
        <v>2015</v>
      </c>
      <c r="B696" t="inlineStr">
        <is>
          <t>BS33500</t>
        </is>
      </c>
      <c r="C696" t="inlineStr">
        <is>
          <t>Electrical equipment, appliance and component manufacturing</t>
        </is>
      </c>
      <c r="D696" t="n">
        <v>10571.9</v>
      </c>
      <c r="E696">
        <f>IFERROR(VLOOKUP(B696,Crosswalk!$A$2:$C$125,3,FALSE),"Unmapped")</f>
        <v/>
      </c>
    </row>
    <row r="697">
      <c r="A697" t="n">
        <v>2015</v>
      </c>
      <c r="B697" t="inlineStr">
        <is>
          <t>BS33610</t>
        </is>
      </c>
      <c r="C697" t="inlineStr">
        <is>
          <t>Motor vehicle manufacturing</t>
        </is>
      </c>
      <c r="D697" t="n">
        <v>64264.2</v>
      </c>
      <c r="E697">
        <f>IFERROR(VLOOKUP(B697,Crosswalk!$A$2:$C$125,3,FALSE),"Unmapped")</f>
        <v/>
      </c>
    </row>
    <row r="698">
      <c r="A698" t="n">
        <v>2015</v>
      </c>
      <c r="B698" t="inlineStr">
        <is>
          <t>BS33620</t>
        </is>
      </c>
      <c r="C698" t="inlineStr">
        <is>
          <t>Motor vehicle body and trailer manufacturing</t>
        </is>
      </c>
      <c r="D698" t="n">
        <v>3480.9</v>
      </c>
      <c r="E698">
        <f>IFERROR(VLOOKUP(B698,Crosswalk!$A$2:$C$125,3,FALSE),"Unmapped")</f>
        <v/>
      </c>
    </row>
    <row r="699">
      <c r="A699" t="n">
        <v>2015</v>
      </c>
      <c r="B699" t="inlineStr">
        <is>
          <t>BS33630</t>
        </is>
      </c>
      <c r="C699" t="inlineStr">
        <is>
          <t>Motor vehicle parts manufacturing</t>
        </is>
      </c>
      <c r="D699" t="n">
        <v>30680.9</v>
      </c>
      <c r="E699">
        <f>IFERROR(VLOOKUP(B699,Crosswalk!$A$2:$C$125,3,FALSE),"Unmapped")</f>
        <v/>
      </c>
    </row>
    <row r="700">
      <c r="A700" t="n">
        <v>2015</v>
      </c>
      <c r="B700" t="inlineStr">
        <is>
          <t>BS33640</t>
        </is>
      </c>
      <c r="C700" t="inlineStr">
        <is>
          <t>Aerospace product and parts manufacturing</t>
        </is>
      </c>
      <c r="D700" t="n">
        <v>24848.3</v>
      </c>
      <c r="E700">
        <f>IFERROR(VLOOKUP(B700,Crosswalk!$A$2:$C$125,3,FALSE),"Unmapped")</f>
        <v/>
      </c>
    </row>
    <row r="701">
      <c r="A701" t="n">
        <v>2015</v>
      </c>
      <c r="B701" t="inlineStr">
        <is>
          <t>BS33650</t>
        </is>
      </c>
      <c r="C701" t="inlineStr">
        <is>
          <t>Railroad rolling stock manufacturing</t>
        </is>
      </c>
      <c r="D701" t="n">
        <v>1912.2</v>
      </c>
      <c r="E701">
        <f>IFERROR(VLOOKUP(B701,Crosswalk!$A$2:$C$125,3,FALSE),"Unmapped")</f>
        <v/>
      </c>
    </row>
    <row r="702">
      <c r="A702" t="n">
        <v>2015</v>
      </c>
      <c r="B702" t="inlineStr">
        <is>
          <t>BS33660</t>
        </is>
      </c>
      <c r="C702" t="inlineStr">
        <is>
          <t>Ship and boat building</t>
        </is>
      </c>
      <c r="D702" t="n">
        <v>1699.3</v>
      </c>
      <c r="E702">
        <f>IFERROR(VLOOKUP(B702,Crosswalk!$A$2:$C$125,3,FALSE),"Unmapped")</f>
        <v/>
      </c>
    </row>
    <row r="703">
      <c r="A703" t="n">
        <v>2015</v>
      </c>
      <c r="B703" t="inlineStr">
        <is>
          <t>BS33690</t>
        </is>
      </c>
      <c r="C703" t="inlineStr">
        <is>
          <t>Other transportation equipment manufacturing</t>
        </is>
      </c>
      <c r="D703" t="n">
        <v>5832.8</v>
      </c>
      <c r="E703">
        <f>IFERROR(VLOOKUP(B703,Crosswalk!$A$2:$C$125,3,FALSE),"Unmapped")</f>
        <v/>
      </c>
    </row>
    <row r="704">
      <c r="A704" t="n">
        <v>2015</v>
      </c>
      <c r="B704" t="inlineStr">
        <is>
          <t>BS33700</t>
        </is>
      </c>
      <c r="C704" t="inlineStr">
        <is>
          <t>Furniture and related product manufacturing</t>
        </is>
      </c>
      <c r="D704" t="n">
        <v>11714.4</v>
      </c>
      <c r="E704">
        <f>IFERROR(VLOOKUP(B704,Crosswalk!$A$2:$C$125,3,FALSE),"Unmapped")</f>
        <v/>
      </c>
    </row>
    <row r="705">
      <c r="A705" t="n">
        <v>2015</v>
      </c>
      <c r="B705" t="inlineStr">
        <is>
          <t>BS33900</t>
        </is>
      </c>
      <c r="C705" t="inlineStr">
        <is>
          <t>Miscellaneous manufacturing</t>
        </is>
      </c>
      <c r="D705" t="n">
        <v>13292.6</v>
      </c>
      <c r="E705">
        <f>IFERROR(VLOOKUP(B705,Crosswalk!$A$2:$C$125,3,FALSE),"Unmapped")</f>
        <v/>
      </c>
    </row>
    <row r="706">
      <c r="A706" t="n">
        <v>2015</v>
      </c>
      <c r="B706" t="inlineStr">
        <is>
          <t>BS41000</t>
        </is>
      </c>
      <c r="C706" t="inlineStr">
        <is>
          <t>Wholesale trade</t>
        </is>
      </c>
      <c r="D706" t="n">
        <v>160319.8</v>
      </c>
      <c r="E706">
        <f>IFERROR(VLOOKUP(B706,Crosswalk!$A$2:$C$125,3,FALSE),"Unmapped")</f>
        <v/>
      </c>
    </row>
    <row r="707">
      <c r="A707" t="n">
        <v>2015</v>
      </c>
      <c r="B707" t="inlineStr">
        <is>
          <t>BS459BU</t>
        </is>
      </c>
      <c r="C707" t="inlineStr">
        <is>
          <t>Cannabis retailers (unlicensed)</t>
        </is>
      </c>
      <c r="D707" t="n">
        <v>1746.9</v>
      </c>
      <c r="E707">
        <f>IFERROR(VLOOKUP(B707,Crosswalk!$A$2:$C$125,3,FALSE),"Unmapped")</f>
        <v/>
      </c>
    </row>
    <row r="708">
      <c r="A708" t="n">
        <v>2015</v>
      </c>
      <c r="B708" t="inlineStr">
        <is>
          <t>BS48100</t>
        </is>
      </c>
      <c r="C708" t="inlineStr">
        <is>
          <t>Air transportation</t>
        </is>
      </c>
      <c r="D708" t="n">
        <v>22825.9</v>
      </c>
      <c r="E708">
        <f>IFERROR(VLOOKUP(B708,Crosswalk!$A$2:$C$125,3,FALSE),"Unmapped")</f>
        <v/>
      </c>
    </row>
    <row r="709">
      <c r="A709" t="n">
        <v>2015</v>
      </c>
      <c r="B709" t="inlineStr">
        <is>
          <t>BS48200</t>
        </is>
      </c>
      <c r="C709" t="inlineStr">
        <is>
          <t>Rail transportation</t>
        </is>
      </c>
      <c r="D709" t="n">
        <v>14038.4</v>
      </c>
      <c r="E709">
        <f>IFERROR(VLOOKUP(B709,Crosswalk!$A$2:$C$125,3,FALSE),"Unmapped")</f>
        <v/>
      </c>
    </row>
    <row r="710">
      <c r="A710" t="n">
        <v>2015</v>
      </c>
      <c r="B710" t="inlineStr">
        <is>
          <t>BS48300</t>
        </is>
      </c>
      <c r="C710" t="inlineStr">
        <is>
          <t>Water transportation</t>
        </is>
      </c>
      <c r="D710" t="n">
        <v>5435</v>
      </c>
      <c r="E710">
        <f>IFERROR(VLOOKUP(B710,Crosswalk!$A$2:$C$125,3,FALSE),"Unmapped")</f>
        <v/>
      </c>
    </row>
    <row r="711">
      <c r="A711" t="n">
        <v>2015</v>
      </c>
      <c r="B711" t="inlineStr">
        <is>
          <t>BS48400</t>
        </is>
      </c>
      <c r="C711" t="inlineStr">
        <is>
          <t>Truck transportation</t>
        </is>
      </c>
      <c r="D711" t="n">
        <v>54850</v>
      </c>
      <c r="E711">
        <f>IFERROR(VLOOKUP(B711,Crosswalk!$A$2:$C$125,3,FALSE),"Unmapped")</f>
        <v/>
      </c>
    </row>
    <row r="712">
      <c r="A712" t="n">
        <v>2015</v>
      </c>
      <c r="B712" t="inlineStr">
        <is>
          <t>BS48600</t>
        </is>
      </c>
      <c r="C712" t="inlineStr">
        <is>
          <t>Pipeline transportation</t>
        </is>
      </c>
      <c r="D712" t="n">
        <v>11844.2</v>
      </c>
      <c r="E712">
        <f>IFERROR(VLOOKUP(B712,Crosswalk!$A$2:$C$125,3,FALSE),"Unmapped")</f>
        <v/>
      </c>
    </row>
    <row r="713">
      <c r="A713" t="n">
        <v>2015</v>
      </c>
      <c r="B713" t="inlineStr">
        <is>
          <t>BS48B00</t>
        </is>
      </c>
      <c r="C713" t="inlineStr">
        <is>
          <t>Transit, ground passenger and scenic and sightseeing transportation, taxi and limousine service and support activities for transportation</t>
        </is>
      </c>
      <c r="D713" t="n">
        <v>42281.3</v>
      </c>
      <c r="E713">
        <f>IFERROR(VLOOKUP(B713,Crosswalk!$A$2:$C$125,3,FALSE),"Unmapped")</f>
        <v/>
      </c>
    </row>
    <row r="714">
      <c r="A714" t="n">
        <v>2015</v>
      </c>
      <c r="B714" t="inlineStr">
        <is>
          <t>BS49300</t>
        </is>
      </c>
      <c r="C714" t="inlineStr">
        <is>
          <t>Warehousing and storage</t>
        </is>
      </c>
      <c r="D714" t="n">
        <v>4292.4</v>
      </c>
      <c r="E714">
        <f>IFERROR(VLOOKUP(B714,Crosswalk!$A$2:$C$125,3,FALSE),"Unmapped")</f>
        <v/>
      </c>
    </row>
    <row r="715">
      <c r="A715" t="n">
        <v>2015</v>
      </c>
      <c r="B715" t="inlineStr">
        <is>
          <t>BS49A00</t>
        </is>
      </c>
      <c r="C715" t="inlineStr">
        <is>
          <t>Postal service, couriers and messengers</t>
        </is>
      </c>
      <c r="D715" t="n">
        <v>14254.7</v>
      </c>
      <c r="E715">
        <f>IFERROR(VLOOKUP(B715,Crosswalk!$A$2:$C$125,3,FALSE),"Unmapped")</f>
        <v/>
      </c>
    </row>
    <row r="716">
      <c r="A716" t="n">
        <v>2015</v>
      </c>
      <c r="B716" t="inlineStr">
        <is>
          <t>BS4AA00</t>
        </is>
      </c>
      <c r="C716" t="inlineStr">
        <is>
          <t>Retail trade (except cannabis)</t>
        </is>
      </c>
      <c r="D716" t="n">
        <v>152895.9</v>
      </c>
      <c r="E716">
        <f>IFERROR(VLOOKUP(B716,Crosswalk!$A$2:$C$125,3,FALSE),"Unmapped")</f>
        <v/>
      </c>
    </row>
    <row r="717">
      <c r="A717" t="n">
        <v>2015</v>
      </c>
      <c r="B717" t="inlineStr">
        <is>
          <t>BS51200</t>
        </is>
      </c>
      <c r="C717" t="inlineStr">
        <is>
          <t>Motion picture and sound recording industries</t>
        </is>
      </c>
      <c r="D717" t="n">
        <v>10230.3</v>
      </c>
      <c r="E717">
        <f>IFERROR(VLOOKUP(B717,Crosswalk!$A$2:$C$125,3,FALSE),"Unmapped")</f>
        <v/>
      </c>
    </row>
    <row r="718">
      <c r="A718" t="n">
        <v>2015</v>
      </c>
      <c r="B718" t="inlineStr">
        <is>
          <t>BS51610</t>
        </is>
      </c>
      <c r="C718" t="inlineStr">
        <is>
          <t>Radio and television broadcasting stations</t>
        </is>
      </c>
      <c r="D718" t="n">
        <v>3858.9</v>
      </c>
      <c r="E718">
        <f>IFERROR(VLOOKUP(B718,Crosswalk!$A$2:$C$125,3,FALSE),"Unmapped")</f>
        <v/>
      </c>
    </row>
    <row r="719">
      <c r="A719" t="n">
        <v>2015</v>
      </c>
      <c r="B719" t="inlineStr">
        <is>
          <t>BS51B00</t>
        </is>
      </c>
      <c r="C719" t="inlineStr">
        <is>
          <t>Publishing, pay/specialty services, telecommunications and other information services</t>
        </is>
      </c>
      <c r="D719" t="n">
        <v>87545</v>
      </c>
      <c r="E719">
        <f>IFERROR(VLOOKUP(B719,Crosswalk!$A$2:$C$125,3,FALSE),"Unmapped")</f>
        <v/>
      </c>
    </row>
    <row r="720">
      <c r="A720" t="n">
        <v>2015</v>
      </c>
      <c r="B720" t="inlineStr">
        <is>
          <t>BS52410</t>
        </is>
      </c>
      <c r="C720" t="inlineStr">
        <is>
          <t>Insurance carriers</t>
        </is>
      </c>
      <c r="D720" t="n">
        <v>46324.3</v>
      </c>
      <c r="E720">
        <f>IFERROR(VLOOKUP(B720,Crosswalk!$A$2:$C$125,3,FALSE),"Unmapped")</f>
        <v/>
      </c>
    </row>
    <row r="721">
      <c r="A721" t="n">
        <v>2015</v>
      </c>
      <c r="B721" t="inlineStr">
        <is>
          <t>BS52B00</t>
        </is>
      </c>
      <c r="C721" t="inlineStr">
        <is>
          <t>Depository credit intermediation and monetary authorities</t>
        </is>
      </c>
      <c r="D721" t="n">
        <v>92578.89999999999</v>
      </c>
      <c r="E721">
        <f>IFERROR(VLOOKUP(B721,Crosswalk!$A$2:$C$125,3,FALSE),"Unmapped")</f>
        <v/>
      </c>
    </row>
    <row r="722">
      <c r="A722" t="n">
        <v>2015</v>
      </c>
      <c r="B722" t="inlineStr">
        <is>
          <t>BS53110</t>
        </is>
      </c>
      <c r="C722" t="inlineStr">
        <is>
          <t>Lessors of real estate</t>
        </is>
      </c>
      <c r="D722" t="n">
        <v>94949.2</v>
      </c>
      <c r="E722">
        <f>IFERROR(VLOOKUP(B722,Crosswalk!$A$2:$C$125,3,FALSE),"Unmapped")</f>
        <v/>
      </c>
    </row>
    <row r="723">
      <c r="A723" t="n">
        <v>2015</v>
      </c>
      <c r="B723" t="inlineStr">
        <is>
          <t>BS5311A</t>
        </is>
      </c>
      <c r="C723" t="inlineStr">
        <is>
          <t>Owner-occupied dwellings</t>
        </is>
      </c>
      <c r="D723" t="n">
        <v>171489</v>
      </c>
      <c r="E723">
        <f>IFERROR(VLOOKUP(B723,Crosswalk!$A$2:$C$125,3,FALSE),"Unmapped")</f>
        <v/>
      </c>
    </row>
    <row r="724">
      <c r="A724" t="n">
        <v>2015</v>
      </c>
      <c r="B724" t="inlineStr">
        <is>
          <t>BS53B00</t>
        </is>
      </c>
      <c r="C724" t="inlineStr">
        <is>
          <t>Rental and leasing services and lessors of non-financial intangible assets (except copyrighted works)</t>
        </is>
      </c>
      <c r="D724" t="n">
        <v>22316.8</v>
      </c>
      <c r="E724">
        <f>IFERROR(VLOOKUP(B724,Crosswalk!$A$2:$C$125,3,FALSE),"Unmapped")</f>
        <v/>
      </c>
    </row>
    <row r="725">
      <c r="A725" t="n">
        <v>2015</v>
      </c>
      <c r="B725" t="inlineStr">
        <is>
          <t>BS54180</t>
        </is>
      </c>
      <c r="C725" t="inlineStr">
        <is>
          <t>Advertising, public relations, and related services</t>
        </is>
      </c>
      <c r="D725" t="n">
        <v>9316.200000000001</v>
      </c>
      <c r="E725">
        <f>IFERROR(VLOOKUP(B725,Crosswalk!$A$2:$C$125,3,FALSE),"Unmapped")</f>
        <v/>
      </c>
    </row>
    <row r="726">
      <c r="A726" t="n">
        <v>2015</v>
      </c>
      <c r="B726" t="inlineStr">
        <is>
          <t>BS541C0</t>
        </is>
      </c>
      <c r="C726" t="inlineStr">
        <is>
          <t>Legal, accounting and architectural, engineering and related services</t>
        </is>
      </c>
      <c r="D726" t="n">
        <v>74962.89999999999</v>
      </c>
      <c r="E726">
        <f>IFERROR(VLOOKUP(B726,Crosswalk!$A$2:$C$125,3,FALSE),"Unmapped")</f>
        <v/>
      </c>
    </row>
    <row r="727">
      <c r="A727" t="n">
        <v>2015</v>
      </c>
      <c r="B727" t="inlineStr">
        <is>
          <t>BS541D0</t>
        </is>
      </c>
      <c r="C727" t="inlineStr">
        <is>
          <t>Computer systems design and other professional, scientific and technical services</t>
        </is>
      </c>
      <c r="D727" t="n">
        <v>89278.8</v>
      </c>
      <c r="E727">
        <f>IFERROR(VLOOKUP(B727,Crosswalk!$A$2:$C$125,3,FALSE),"Unmapped")</f>
        <v/>
      </c>
    </row>
    <row r="728">
      <c r="A728" t="n">
        <v>2015</v>
      </c>
      <c r="B728" t="inlineStr">
        <is>
          <t>BS56100</t>
        </is>
      </c>
      <c r="C728" t="inlineStr">
        <is>
          <t>Administrative and support services</t>
        </is>
      </c>
      <c r="D728" t="n">
        <v>76052.39999999999</v>
      </c>
      <c r="E728">
        <f>IFERROR(VLOOKUP(B728,Crosswalk!$A$2:$C$125,3,FALSE),"Unmapped")</f>
        <v/>
      </c>
    </row>
    <row r="729">
      <c r="A729" t="n">
        <v>2015</v>
      </c>
      <c r="B729" t="inlineStr">
        <is>
          <t>BS56200</t>
        </is>
      </c>
      <c r="C729" t="inlineStr">
        <is>
          <t>Waste management and remediation services</t>
        </is>
      </c>
      <c r="D729" t="n">
        <v>10627.3</v>
      </c>
      <c r="E729">
        <f>IFERROR(VLOOKUP(B729,Crosswalk!$A$2:$C$125,3,FALSE),"Unmapped")</f>
        <v/>
      </c>
    </row>
    <row r="730">
      <c r="A730" t="n">
        <v>2015</v>
      </c>
      <c r="B730" t="inlineStr">
        <is>
          <t>BS5A000</t>
        </is>
      </c>
      <c r="C730" t="inlineStr">
        <is>
          <t>Other finance, insurance and real estate services and management of companies and enterprises</t>
        </is>
      </c>
      <c r="D730" t="n">
        <v>137529.3</v>
      </c>
      <c r="E730">
        <f>IFERROR(VLOOKUP(B730,Crosswalk!$A$2:$C$125,3,FALSE),"Unmapped")</f>
        <v/>
      </c>
    </row>
    <row r="731">
      <c r="A731" t="n">
        <v>2015</v>
      </c>
      <c r="B731" t="inlineStr">
        <is>
          <t>BS61000</t>
        </is>
      </c>
      <c r="C731" t="inlineStr">
        <is>
          <t>Educational services</t>
        </is>
      </c>
      <c r="D731" t="n">
        <v>6263.7</v>
      </c>
      <c r="E731">
        <f>IFERROR(VLOOKUP(B731,Crosswalk!$A$2:$C$125,3,FALSE),"Unmapped")</f>
        <v/>
      </c>
    </row>
    <row r="732">
      <c r="A732" t="n">
        <v>2015</v>
      </c>
      <c r="B732" t="inlineStr">
        <is>
          <t>BS62000</t>
        </is>
      </c>
      <c r="C732" t="inlineStr">
        <is>
          <t>Health care and social assistance</t>
        </is>
      </c>
      <c r="D732" t="n">
        <v>71572.39999999999</v>
      </c>
      <c r="E732">
        <f>IFERROR(VLOOKUP(B732,Crosswalk!$A$2:$C$125,3,FALSE),"Unmapped")</f>
        <v/>
      </c>
    </row>
    <row r="733">
      <c r="A733" t="n">
        <v>2015</v>
      </c>
      <c r="B733" t="inlineStr">
        <is>
          <t>BS71000</t>
        </is>
      </c>
      <c r="C733" t="inlineStr">
        <is>
          <t>Arts, entertainment and recreation</t>
        </is>
      </c>
      <c r="D733" t="n">
        <v>24475.9</v>
      </c>
      <c r="E733">
        <f>IFERROR(VLOOKUP(B733,Crosswalk!$A$2:$C$125,3,FALSE),"Unmapped")</f>
        <v/>
      </c>
    </row>
    <row r="734">
      <c r="A734" t="n">
        <v>2015</v>
      </c>
      <c r="B734" t="inlineStr">
        <is>
          <t>BS72000</t>
        </is>
      </c>
      <c r="C734" t="inlineStr">
        <is>
          <t>Accommodation and food services</t>
        </is>
      </c>
      <c r="D734" t="n">
        <v>86295.39999999999</v>
      </c>
      <c r="E734">
        <f>IFERROR(VLOOKUP(B734,Crosswalk!$A$2:$C$125,3,FALSE),"Unmapped")</f>
        <v/>
      </c>
    </row>
    <row r="735">
      <c r="A735" t="n">
        <v>2015</v>
      </c>
      <c r="B735" t="inlineStr">
        <is>
          <t>BS81100</t>
        </is>
      </c>
      <c r="C735" t="inlineStr">
        <is>
          <t>Repair and maintenance</t>
        </is>
      </c>
      <c r="D735" t="n">
        <v>23479.7</v>
      </c>
      <c r="E735">
        <f>IFERROR(VLOOKUP(B735,Crosswalk!$A$2:$C$125,3,FALSE),"Unmapped")</f>
        <v/>
      </c>
    </row>
    <row r="736">
      <c r="A736" t="n">
        <v>2015</v>
      </c>
      <c r="B736" t="inlineStr">
        <is>
          <t>BS81300</t>
        </is>
      </c>
      <c r="C736" t="inlineStr">
        <is>
          <t>Business, professional and other membership organizations</t>
        </is>
      </c>
      <c r="D736" t="n">
        <v>4348.5</v>
      </c>
      <c r="E736">
        <f>IFERROR(VLOOKUP(B736,Crosswalk!$A$2:$C$125,3,FALSE),"Unmapped")</f>
        <v/>
      </c>
    </row>
    <row r="737">
      <c r="A737" t="n">
        <v>2015</v>
      </c>
      <c r="B737" t="inlineStr">
        <is>
          <t>BS81A00</t>
        </is>
      </c>
      <c r="C737" t="inlineStr">
        <is>
          <t>Personal services and private households</t>
        </is>
      </c>
      <c r="D737" t="n">
        <v>18358.2</v>
      </c>
      <c r="E737">
        <f>IFERROR(VLOOKUP(B737,Crosswalk!$A$2:$C$125,3,FALSE),"Unmapped")</f>
        <v/>
      </c>
    </row>
    <row r="738">
      <c r="A738" t="n">
        <v>2015</v>
      </c>
      <c r="B738" t="inlineStr">
        <is>
          <t>GS61130</t>
        </is>
      </c>
      <c r="C738" t="inlineStr">
        <is>
          <t>Universities</t>
        </is>
      </c>
      <c r="D738" t="n">
        <v>42340.3</v>
      </c>
      <c r="E738">
        <f>IFERROR(VLOOKUP(B738,Crosswalk!$A$2:$C$125,3,FALSE),"Unmapped")</f>
        <v/>
      </c>
    </row>
    <row r="739">
      <c r="A739" t="n">
        <v>2015</v>
      </c>
      <c r="B739" t="inlineStr">
        <is>
          <t>GS611B0</t>
        </is>
      </c>
      <c r="C739" t="inlineStr">
        <is>
          <t>Educational services (except universities)</t>
        </is>
      </c>
      <c r="D739" t="n">
        <v>71018.3</v>
      </c>
      <c r="E739">
        <f>IFERROR(VLOOKUP(B739,Crosswalk!$A$2:$C$125,3,FALSE),"Unmapped")</f>
        <v/>
      </c>
    </row>
    <row r="740">
      <c r="A740" t="n">
        <v>2015</v>
      </c>
      <c r="B740" t="inlineStr">
        <is>
          <t>GS62300</t>
        </is>
      </c>
      <c r="C740" t="inlineStr">
        <is>
          <t>Nursing and residential care facilities</t>
        </is>
      </c>
      <c r="D740" t="n">
        <v>15688.4</v>
      </c>
      <c r="E740">
        <f>IFERROR(VLOOKUP(B740,Crosswalk!$A$2:$C$125,3,FALSE),"Unmapped")</f>
        <v/>
      </c>
    </row>
    <row r="741">
      <c r="A741" t="n">
        <v>2015</v>
      </c>
      <c r="B741" t="inlineStr">
        <is>
          <t>GS62B00</t>
        </is>
      </c>
      <c r="C741" t="inlineStr">
        <is>
          <t>Health care and social assistance (except nursing and residential care facilities)</t>
        </is>
      </c>
      <c r="D741" t="n">
        <v>95560.7</v>
      </c>
      <c r="E741">
        <f>IFERROR(VLOOKUP(B741,Crosswalk!$A$2:$C$125,3,FALSE),"Unmapped")</f>
        <v/>
      </c>
    </row>
    <row r="742">
      <c r="A742" t="n">
        <v>2015</v>
      </c>
      <c r="B742" t="inlineStr">
        <is>
          <t>GS91100</t>
        </is>
      </c>
      <c r="C742" t="inlineStr">
        <is>
          <t>Other federal government services</t>
        </is>
      </c>
      <c r="D742" t="n">
        <v>73941.10000000001</v>
      </c>
      <c r="E742">
        <f>IFERROR(VLOOKUP(B742,Crosswalk!$A$2:$C$125,3,FALSE),"Unmapped")</f>
        <v/>
      </c>
    </row>
    <row r="743">
      <c r="A743" t="n">
        <v>2015</v>
      </c>
      <c r="B743" t="inlineStr">
        <is>
          <t>GS91200</t>
        </is>
      </c>
      <c r="C743" t="inlineStr">
        <is>
          <t>Other provincial and territorial government services</t>
        </is>
      </c>
      <c r="D743" t="n">
        <v>119987.3</v>
      </c>
      <c r="E743">
        <f>IFERROR(VLOOKUP(B743,Crosswalk!$A$2:$C$125,3,FALSE),"Unmapped")</f>
        <v/>
      </c>
    </row>
    <row r="744">
      <c r="A744" t="n">
        <v>2015</v>
      </c>
      <c r="B744" t="inlineStr">
        <is>
          <t>GS91300</t>
        </is>
      </c>
      <c r="C744" t="inlineStr">
        <is>
          <t>Other municipal government services</t>
        </is>
      </c>
      <c r="D744" t="n">
        <v>82219.3</v>
      </c>
      <c r="E744">
        <f>IFERROR(VLOOKUP(B744,Crosswalk!$A$2:$C$125,3,FALSE),"Unmapped")</f>
        <v/>
      </c>
    </row>
    <row r="745">
      <c r="A745" t="n">
        <v>2015</v>
      </c>
      <c r="B745" t="inlineStr">
        <is>
          <t>GS91400</t>
        </is>
      </c>
      <c r="C745" t="inlineStr">
        <is>
          <t>Other Indigenous government services</t>
        </is>
      </c>
      <c r="D745" t="n">
        <v>7084.8</v>
      </c>
      <c r="E745">
        <f>IFERROR(VLOOKUP(B745,Crosswalk!$A$2:$C$125,3,FALSE),"Unmapped")</f>
        <v/>
      </c>
    </row>
    <row r="746">
      <c r="A746" t="n">
        <v>2015</v>
      </c>
      <c r="B746" t="inlineStr">
        <is>
          <t>NP61000</t>
        </is>
      </c>
      <c r="C746" t="inlineStr">
        <is>
          <t>Educational services</t>
        </is>
      </c>
      <c r="D746" t="n">
        <v>5092.2</v>
      </c>
      <c r="E746">
        <f>IFERROR(VLOOKUP(B746,Crosswalk!$A$2:$C$125,3,FALSE),"Unmapped")</f>
        <v/>
      </c>
    </row>
    <row r="747">
      <c r="A747" t="n">
        <v>2015</v>
      </c>
      <c r="B747" t="inlineStr">
        <is>
          <t>NP62400</t>
        </is>
      </c>
      <c r="C747" t="inlineStr">
        <is>
          <t>Social assistance</t>
        </is>
      </c>
      <c r="D747" t="n">
        <v>10113.6</v>
      </c>
      <c r="E747">
        <f>IFERROR(VLOOKUP(B747,Crosswalk!$A$2:$C$125,3,FALSE),"Unmapped")</f>
        <v/>
      </c>
    </row>
    <row r="748">
      <c r="A748" t="n">
        <v>2015</v>
      </c>
      <c r="B748" t="inlineStr">
        <is>
          <t>NP71000</t>
        </is>
      </c>
      <c r="C748" t="inlineStr">
        <is>
          <t>Arts, entertainment and recreation</t>
        </is>
      </c>
      <c r="D748" t="n">
        <v>2349.3</v>
      </c>
      <c r="E748">
        <f>IFERROR(VLOOKUP(B748,Crosswalk!$A$2:$C$125,3,FALSE),"Unmapped")</f>
        <v/>
      </c>
    </row>
    <row r="749">
      <c r="A749" t="n">
        <v>2015</v>
      </c>
      <c r="B749" t="inlineStr">
        <is>
          <t>NP81310</t>
        </is>
      </c>
      <c r="C749" t="inlineStr">
        <is>
          <t>Religious organizations</t>
        </is>
      </c>
      <c r="D749" t="n">
        <v>5628.6</v>
      </c>
      <c r="E749">
        <f>IFERROR(VLOOKUP(B749,Crosswalk!$A$2:$C$125,3,FALSE),"Unmapped")</f>
        <v/>
      </c>
    </row>
    <row r="750">
      <c r="A750" t="n">
        <v>2015</v>
      </c>
      <c r="B750" t="inlineStr">
        <is>
          <t>NPA0000</t>
        </is>
      </c>
      <c r="C750" t="inlineStr">
        <is>
          <t>Miscellaneous non-profit institutions serving households</t>
        </is>
      </c>
      <c r="D750" t="n">
        <v>22428.1</v>
      </c>
      <c r="E750">
        <f>IFERROR(VLOOKUP(B750,Crosswalk!$A$2:$C$125,3,FALSE),"Unmapped")</f>
        <v/>
      </c>
    </row>
    <row r="751">
      <c r="A751" t="n">
        <v>2016</v>
      </c>
      <c r="B751" t="inlineStr">
        <is>
          <t>BS111CL</t>
        </is>
      </c>
      <c r="C751" t="inlineStr">
        <is>
          <t>Cannabis production (licensed)</t>
        </is>
      </c>
      <c r="D751" t="n">
        <v>256.3</v>
      </c>
      <c r="E751">
        <f>IFERROR(VLOOKUP(B751,Crosswalk!$A$2:$C$125,3,FALSE),"Unmapped")</f>
        <v/>
      </c>
    </row>
    <row r="752">
      <c r="A752" t="n">
        <v>2016</v>
      </c>
      <c r="B752" t="inlineStr">
        <is>
          <t>BS111CU</t>
        </is>
      </c>
      <c r="C752" t="inlineStr">
        <is>
          <t>Cannabis production (unlicensed)</t>
        </is>
      </c>
      <c r="D752" t="n">
        <v>4638.5</v>
      </c>
      <c r="E752">
        <f>IFERROR(VLOOKUP(B752,Crosswalk!$A$2:$C$125,3,FALSE),"Unmapped")</f>
        <v/>
      </c>
    </row>
    <row r="753">
      <c r="A753" t="n">
        <v>2016</v>
      </c>
      <c r="B753" t="inlineStr">
        <is>
          <t>BS11300</t>
        </is>
      </c>
      <c r="C753" t="inlineStr">
        <is>
          <t>Forestry and logging</t>
        </is>
      </c>
      <c r="D753" t="n">
        <v>10558.9</v>
      </c>
      <c r="E753">
        <f>IFERROR(VLOOKUP(B753,Crosswalk!$A$2:$C$125,3,FALSE),"Unmapped")</f>
        <v/>
      </c>
    </row>
    <row r="754">
      <c r="A754" t="n">
        <v>2016</v>
      </c>
      <c r="B754" t="inlineStr">
        <is>
          <t>BS11400</t>
        </is>
      </c>
      <c r="C754" t="inlineStr">
        <is>
          <t>Fishing, hunting and trapping</t>
        </is>
      </c>
      <c r="D754" t="n">
        <v>3417.6</v>
      </c>
      <c r="E754">
        <f>IFERROR(VLOOKUP(B754,Crosswalk!$A$2:$C$125,3,FALSE),"Unmapped")</f>
        <v/>
      </c>
    </row>
    <row r="755">
      <c r="A755" t="n">
        <v>2016</v>
      </c>
      <c r="B755" t="inlineStr">
        <is>
          <t>BS11500</t>
        </is>
      </c>
      <c r="C755" t="inlineStr">
        <is>
          <t>Support activities for agriculture and forestry</t>
        </is>
      </c>
      <c r="D755" t="n">
        <v>3373.7</v>
      </c>
      <c r="E755">
        <f>IFERROR(VLOOKUP(B755,Crosswalk!$A$2:$C$125,3,FALSE),"Unmapped")</f>
        <v/>
      </c>
    </row>
    <row r="756">
      <c r="A756" t="n">
        <v>2016</v>
      </c>
      <c r="B756" t="inlineStr">
        <is>
          <t>BS11B00</t>
        </is>
      </c>
      <c r="C756" t="inlineStr">
        <is>
          <t>Crop and animal production (except cannabis)</t>
        </is>
      </c>
      <c r="D756" t="n">
        <v>68968.2</v>
      </c>
      <c r="E756">
        <f>IFERROR(VLOOKUP(B756,Crosswalk!$A$2:$C$125,3,FALSE),"Unmapped")</f>
        <v/>
      </c>
    </row>
    <row r="757">
      <c r="A757" t="n">
        <v>2016</v>
      </c>
      <c r="B757" t="inlineStr">
        <is>
          <t>BS21100</t>
        </is>
      </c>
      <c r="C757" t="inlineStr">
        <is>
          <t>Oil and gas extraction</t>
        </is>
      </c>
      <c r="D757" t="n">
        <v>88250.2</v>
      </c>
      <c r="E757">
        <f>IFERROR(VLOOKUP(B757,Crosswalk!$A$2:$C$125,3,FALSE),"Unmapped")</f>
        <v/>
      </c>
    </row>
    <row r="758">
      <c r="A758" t="n">
        <v>2016</v>
      </c>
      <c r="B758" t="inlineStr">
        <is>
          <t>BS21210</t>
        </is>
      </c>
      <c r="C758" t="inlineStr">
        <is>
          <t>Coal mining</t>
        </is>
      </c>
      <c r="D758" t="n">
        <v>4166.9</v>
      </c>
      <c r="E758">
        <f>IFERROR(VLOOKUP(B758,Crosswalk!$A$2:$C$125,3,FALSE),"Unmapped")</f>
        <v/>
      </c>
    </row>
    <row r="759">
      <c r="A759" t="n">
        <v>2016</v>
      </c>
      <c r="B759" t="inlineStr">
        <is>
          <t>BS21220</t>
        </is>
      </c>
      <c r="C759" t="inlineStr">
        <is>
          <t>Metal ore mining</t>
        </is>
      </c>
      <c r="D759" t="n">
        <v>23027.9</v>
      </c>
      <c r="E759">
        <f>IFERROR(VLOOKUP(B759,Crosswalk!$A$2:$C$125,3,FALSE),"Unmapped")</f>
        <v/>
      </c>
    </row>
    <row r="760">
      <c r="A760" t="n">
        <v>2016</v>
      </c>
      <c r="B760" t="inlineStr">
        <is>
          <t>BS21230</t>
        </is>
      </c>
      <c r="C760" t="inlineStr">
        <is>
          <t>Non-metallic mineral mining and quarrying</t>
        </is>
      </c>
      <c r="D760" t="n">
        <v>10676.4</v>
      </c>
      <c r="E760">
        <f>IFERROR(VLOOKUP(B760,Crosswalk!$A$2:$C$125,3,FALSE),"Unmapped")</f>
        <v/>
      </c>
    </row>
    <row r="761">
      <c r="A761" t="n">
        <v>2016</v>
      </c>
      <c r="B761" t="inlineStr">
        <is>
          <t>BS21300</t>
        </is>
      </c>
      <c r="C761" t="inlineStr">
        <is>
          <t>Support activities for mining, and oil and gas extraction</t>
        </is>
      </c>
      <c r="D761" t="n">
        <v>19057.9</v>
      </c>
      <c r="E761">
        <f>IFERROR(VLOOKUP(B761,Crosswalk!$A$2:$C$125,3,FALSE),"Unmapped")</f>
        <v/>
      </c>
    </row>
    <row r="762">
      <c r="A762" t="n">
        <v>2016</v>
      </c>
      <c r="B762" t="inlineStr">
        <is>
          <t>BS22110</t>
        </is>
      </c>
      <c r="C762" t="inlineStr">
        <is>
          <t>Electric power generation, transmission and distribution</t>
        </is>
      </c>
      <c r="D762" t="n">
        <v>48657.4</v>
      </c>
      <c r="E762">
        <f>IFERROR(VLOOKUP(B762,Crosswalk!$A$2:$C$125,3,FALSE),"Unmapped")</f>
        <v/>
      </c>
    </row>
    <row r="763">
      <c r="A763" t="n">
        <v>2016</v>
      </c>
      <c r="B763" t="inlineStr">
        <is>
          <t>BS221A0</t>
        </is>
      </c>
      <c r="C763" t="inlineStr">
        <is>
          <t>Natural gas distribution, water, sewage and other systems</t>
        </is>
      </c>
      <c r="D763" t="n">
        <v>6589.2</v>
      </c>
      <c r="E763">
        <f>IFERROR(VLOOKUP(B763,Crosswalk!$A$2:$C$125,3,FALSE),"Unmapped")</f>
        <v/>
      </c>
    </row>
    <row r="764">
      <c r="A764" t="n">
        <v>2016</v>
      </c>
      <c r="B764" t="inlineStr">
        <is>
          <t>BS23A00</t>
        </is>
      </c>
      <c r="C764" t="inlineStr">
        <is>
          <t>Residential building construction</t>
        </is>
      </c>
      <c r="D764" t="n">
        <v>112515.5</v>
      </c>
      <c r="E764">
        <f>IFERROR(VLOOKUP(B764,Crosswalk!$A$2:$C$125,3,FALSE),"Unmapped")</f>
        <v/>
      </c>
    </row>
    <row r="765">
      <c r="A765" t="n">
        <v>2016</v>
      </c>
      <c r="B765" t="inlineStr">
        <is>
          <t>BS23B00</t>
        </is>
      </c>
      <c r="C765" t="inlineStr">
        <is>
          <t>Non-residential building construction</t>
        </is>
      </c>
      <c r="D765" t="n">
        <v>45622.2</v>
      </c>
      <c r="E765">
        <f>IFERROR(VLOOKUP(B765,Crosswalk!$A$2:$C$125,3,FALSE),"Unmapped")</f>
        <v/>
      </c>
    </row>
    <row r="766">
      <c r="A766" t="n">
        <v>2016</v>
      </c>
      <c r="B766" t="inlineStr">
        <is>
          <t>BS23C10</t>
        </is>
      </c>
      <c r="C766" t="inlineStr">
        <is>
          <t>Transportation engineering construction</t>
        </is>
      </c>
      <c r="D766" t="n">
        <v>24043</v>
      </c>
      <c r="E766">
        <f>IFERROR(VLOOKUP(B766,Crosswalk!$A$2:$C$125,3,FALSE),"Unmapped")</f>
        <v/>
      </c>
    </row>
    <row r="767">
      <c r="A767" t="n">
        <v>2016</v>
      </c>
      <c r="B767" t="inlineStr">
        <is>
          <t>BS23C20</t>
        </is>
      </c>
      <c r="C767" t="inlineStr">
        <is>
          <t>Oil and gas engineering construction</t>
        </is>
      </c>
      <c r="D767" t="n">
        <v>46466.7</v>
      </c>
      <c r="E767">
        <f>IFERROR(VLOOKUP(B767,Crosswalk!$A$2:$C$125,3,FALSE),"Unmapped")</f>
        <v/>
      </c>
    </row>
    <row r="768">
      <c r="A768" t="n">
        <v>2016</v>
      </c>
      <c r="B768" t="inlineStr">
        <is>
          <t>BS23C30</t>
        </is>
      </c>
      <c r="C768" t="inlineStr">
        <is>
          <t>Electric power engineering construction</t>
        </is>
      </c>
      <c r="D768" t="n">
        <v>19421.4</v>
      </c>
      <c r="E768">
        <f>IFERROR(VLOOKUP(B768,Crosswalk!$A$2:$C$125,3,FALSE),"Unmapped")</f>
        <v/>
      </c>
    </row>
    <row r="769">
      <c r="A769" t="n">
        <v>2016</v>
      </c>
      <c r="B769" t="inlineStr">
        <is>
          <t>BS23C40</t>
        </is>
      </c>
      <c r="C769" t="inlineStr">
        <is>
          <t>Communication engineering construction</t>
        </is>
      </c>
      <c r="D769" t="n">
        <v>5664.8</v>
      </c>
      <c r="E769">
        <f>IFERROR(VLOOKUP(B769,Crosswalk!$A$2:$C$125,3,FALSE),"Unmapped")</f>
        <v/>
      </c>
    </row>
    <row r="770">
      <c r="A770" t="n">
        <v>2016</v>
      </c>
      <c r="B770" t="inlineStr">
        <is>
          <t>BS23C50</t>
        </is>
      </c>
      <c r="C770" t="inlineStr">
        <is>
          <t>Other engineering construction</t>
        </is>
      </c>
      <c r="D770" t="n">
        <v>20819.1</v>
      </c>
      <c r="E770">
        <f>IFERROR(VLOOKUP(B770,Crosswalk!$A$2:$C$125,3,FALSE),"Unmapped")</f>
        <v/>
      </c>
    </row>
    <row r="771">
      <c r="A771" t="n">
        <v>2016</v>
      </c>
      <c r="B771" t="inlineStr">
        <is>
          <t>BS23D00</t>
        </is>
      </c>
      <c r="C771" t="inlineStr">
        <is>
          <t>Repair construction</t>
        </is>
      </c>
      <c r="D771" t="n">
        <v>42457.7</v>
      </c>
      <c r="E771">
        <f>IFERROR(VLOOKUP(B771,Crosswalk!$A$2:$C$125,3,FALSE),"Unmapped")</f>
        <v/>
      </c>
    </row>
    <row r="772">
      <c r="A772" t="n">
        <v>2016</v>
      </c>
      <c r="B772" t="inlineStr">
        <is>
          <t>BS23E00</t>
        </is>
      </c>
      <c r="C772" t="inlineStr">
        <is>
          <t>Other activities of the construction industry</t>
        </is>
      </c>
      <c r="D772" t="n">
        <v>4159.1</v>
      </c>
      <c r="E772">
        <f>IFERROR(VLOOKUP(B772,Crosswalk!$A$2:$C$125,3,FALSE),"Unmapped")</f>
        <v/>
      </c>
    </row>
    <row r="773">
      <c r="A773" t="n">
        <v>2016</v>
      </c>
      <c r="B773" t="inlineStr">
        <is>
          <t>BS31110</t>
        </is>
      </c>
      <c r="C773" t="inlineStr">
        <is>
          <t>Animal food manufacturing</t>
        </is>
      </c>
      <c r="D773" t="n">
        <v>8304.700000000001</v>
      </c>
      <c r="E773">
        <f>IFERROR(VLOOKUP(B773,Crosswalk!$A$2:$C$125,3,FALSE),"Unmapped")</f>
        <v/>
      </c>
    </row>
    <row r="774">
      <c r="A774" t="n">
        <v>2016</v>
      </c>
      <c r="B774" t="inlineStr">
        <is>
          <t>BS31130</t>
        </is>
      </c>
      <c r="C774" t="inlineStr">
        <is>
          <t>Sugar and confectionery product manufacturing</t>
        </is>
      </c>
      <c r="D774" t="n">
        <v>4336.4</v>
      </c>
      <c r="E774">
        <f>IFERROR(VLOOKUP(B774,Crosswalk!$A$2:$C$125,3,FALSE),"Unmapped")</f>
        <v/>
      </c>
    </row>
    <row r="775">
      <c r="A775" t="n">
        <v>2016</v>
      </c>
      <c r="B775" t="inlineStr">
        <is>
          <t>BS31140</t>
        </is>
      </c>
      <c r="C775" t="inlineStr">
        <is>
          <t>Fruit and vegetable preserving and specialty food manufacturing</t>
        </is>
      </c>
      <c r="D775" t="n">
        <v>6925.9</v>
      </c>
      <c r="E775">
        <f>IFERROR(VLOOKUP(B775,Crosswalk!$A$2:$C$125,3,FALSE),"Unmapped")</f>
        <v/>
      </c>
    </row>
    <row r="776">
      <c r="A776" t="n">
        <v>2016</v>
      </c>
      <c r="B776" t="inlineStr">
        <is>
          <t>BS31150</t>
        </is>
      </c>
      <c r="C776" t="inlineStr">
        <is>
          <t>Dairy product manufacturing</t>
        </is>
      </c>
      <c r="D776" t="n">
        <v>14660.8</v>
      </c>
      <c r="E776">
        <f>IFERROR(VLOOKUP(B776,Crosswalk!$A$2:$C$125,3,FALSE),"Unmapped")</f>
        <v/>
      </c>
    </row>
    <row r="777">
      <c r="A777" t="n">
        <v>2016</v>
      </c>
      <c r="B777" t="inlineStr">
        <is>
          <t>BS31160</t>
        </is>
      </c>
      <c r="C777" t="inlineStr">
        <is>
          <t>Meat product manufacturing</t>
        </is>
      </c>
      <c r="D777" t="n">
        <v>27890.1</v>
      </c>
      <c r="E777">
        <f>IFERROR(VLOOKUP(B777,Crosswalk!$A$2:$C$125,3,FALSE),"Unmapped")</f>
        <v/>
      </c>
    </row>
    <row r="778">
      <c r="A778" t="n">
        <v>2016</v>
      </c>
      <c r="B778" t="inlineStr">
        <is>
          <t>BS31170</t>
        </is>
      </c>
      <c r="C778" t="inlineStr">
        <is>
          <t>Seafood product preparation and packaging</t>
        </is>
      </c>
      <c r="D778" t="n">
        <v>6165.6</v>
      </c>
      <c r="E778">
        <f>IFERROR(VLOOKUP(B778,Crosswalk!$A$2:$C$125,3,FALSE),"Unmapped")</f>
        <v/>
      </c>
    </row>
    <row r="779">
      <c r="A779" t="n">
        <v>2016</v>
      </c>
      <c r="B779" t="inlineStr">
        <is>
          <t>BS311A0</t>
        </is>
      </c>
      <c r="C779" t="inlineStr">
        <is>
          <t>Miscellaneous food manufacturing</t>
        </is>
      </c>
      <c r="D779" t="n">
        <v>31793.8</v>
      </c>
      <c r="E779">
        <f>IFERROR(VLOOKUP(B779,Crosswalk!$A$2:$C$125,3,FALSE),"Unmapped")</f>
        <v/>
      </c>
    </row>
    <row r="780">
      <c r="A780" t="n">
        <v>2016</v>
      </c>
      <c r="B780" t="inlineStr">
        <is>
          <t>BS31211</t>
        </is>
      </c>
      <c r="C780" t="inlineStr">
        <is>
          <t>Soft drink and ice manufacturing</t>
        </is>
      </c>
      <c r="D780" t="n">
        <v>4645.4</v>
      </c>
      <c r="E780">
        <f>IFERROR(VLOOKUP(B780,Crosswalk!$A$2:$C$125,3,FALSE),"Unmapped")</f>
        <v/>
      </c>
    </row>
    <row r="781">
      <c r="A781" t="n">
        <v>2016</v>
      </c>
      <c r="B781" t="inlineStr">
        <is>
          <t>BS31212</t>
        </is>
      </c>
      <c r="C781" t="inlineStr">
        <is>
          <t>Breweries</t>
        </is>
      </c>
      <c r="D781" t="n">
        <v>6210.6</v>
      </c>
      <c r="E781">
        <f>IFERROR(VLOOKUP(B781,Crosswalk!$A$2:$C$125,3,FALSE),"Unmapped")</f>
        <v/>
      </c>
    </row>
    <row r="782">
      <c r="A782" t="n">
        <v>2016</v>
      </c>
      <c r="B782" t="inlineStr">
        <is>
          <t>BS3121A</t>
        </is>
      </c>
      <c r="C782" t="inlineStr">
        <is>
          <t>Wineries and distilleries</t>
        </is>
      </c>
      <c r="D782" t="n">
        <v>2546</v>
      </c>
      <c r="E782">
        <f>IFERROR(VLOOKUP(B782,Crosswalk!$A$2:$C$125,3,FALSE),"Unmapped")</f>
        <v/>
      </c>
    </row>
    <row r="783">
      <c r="A783" t="n">
        <v>2016</v>
      </c>
      <c r="B783" t="inlineStr">
        <is>
          <t>BS312A0</t>
        </is>
      </c>
      <c r="C783" t="inlineStr">
        <is>
          <t>Tobacco and cannabis product manufacturing</t>
        </is>
      </c>
      <c r="D783" t="n">
        <v>2280</v>
      </c>
      <c r="E783">
        <f>IFERROR(VLOOKUP(B783,Crosswalk!$A$2:$C$125,3,FALSE),"Unmapped")</f>
        <v/>
      </c>
    </row>
    <row r="784">
      <c r="A784" t="n">
        <v>2016</v>
      </c>
      <c r="B784" t="inlineStr">
        <is>
          <t>BS31A00</t>
        </is>
      </c>
      <c r="C784" t="inlineStr">
        <is>
          <t>Textile and textile product mills</t>
        </is>
      </c>
      <c r="D784" t="n">
        <v>3668.5</v>
      </c>
      <c r="E784">
        <f>IFERROR(VLOOKUP(B784,Crosswalk!$A$2:$C$125,3,FALSE),"Unmapped")</f>
        <v/>
      </c>
    </row>
    <row r="785">
      <c r="A785" t="n">
        <v>2016</v>
      </c>
      <c r="B785" t="inlineStr">
        <is>
          <t>BS31B00</t>
        </is>
      </c>
      <c r="C785" t="inlineStr">
        <is>
          <t>Clothing and leather and allied product manufacturing</t>
        </is>
      </c>
      <c r="D785" t="n">
        <v>3036</v>
      </c>
      <c r="E785">
        <f>IFERROR(VLOOKUP(B785,Crosswalk!$A$2:$C$125,3,FALSE),"Unmapped")</f>
        <v/>
      </c>
    </row>
    <row r="786">
      <c r="A786" t="n">
        <v>2016</v>
      </c>
      <c r="B786" t="inlineStr">
        <is>
          <t>BS32100</t>
        </is>
      </c>
      <c r="C786" t="inlineStr">
        <is>
          <t>Wood product manufacturing</t>
        </is>
      </c>
      <c r="D786" t="n">
        <v>31305.8</v>
      </c>
      <c r="E786">
        <f>IFERROR(VLOOKUP(B786,Crosswalk!$A$2:$C$125,3,FALSE),"Unmapped")</f>
        <v/>
      </c>
    </row>
    <row r="787">
      <c r="A787" t="n">
        <v>2016</v>
      </c>
      <c r="B787" t="inlineStr">
        <is>
          <t>BS32210</t>
        </is>
      </c>
      <c r="C787" t="inlineStr">
        <is>
          <t>Pulp, paper and paperboard mills</t>
        </is>
      </c>
      <c r="D787" t="n">
        <v>16841.1</v>
      </c>
      <c r="E787">
        <f>IFERROR(VLOOKUP(B787,Crosswalk!$A$2:$C$125,3,FALSE),"Unmapped")</f>
        <v/>
      </c>
    </row>
    <row r="788">
      <c r="A788" t="n">
        <v>2016</v>
      </c>
      <c r="B788" t="inlineStr">
        <is>
          <t>BS32220</t>
        </is>
      </c>
      <c r="C788" t="inlineStr">
        <is>
          <t>Converted paper product manufacturing</t>
        </is>
      </c>
      <c r="D788" t="n">
        <v>10264.3</v>
      </c>
      <c r="E788">
        <f>IFERROR(VLOOKUP(B788,Crosswalk!$A$2:$C$125,3,FALSE),"Unmapped")</f>
        <v/>
      </c>
    </row>
    <row r="789">
      <c r="A789" t="n">
        <v>2016</v>
      </c>
      <c r="B789" t="inlineStr">
        <is>
          <t>BS32300</t>
        </is>
      </c>
      <c r="C789" t="inlineStr">
        <is>
          <t>Printing and related support activities</t>
        </is>
      </c>
      <c r="D789" t="n">
        <v>9737</v>
      </c>
      <c r="E789">
        <f>IFERROR(VLOOKUP(B789,Crosswalk!$A$2:$C$125,3,FALSE),"Unmapped")</f>
        <v/>
      </c>
    </row>
    <row r="790">
      <c r="A790" t="n">
        <v>2016</v>
      </c>
      <c r="B790" t="inlineStr">
        <is>
          <t>BS32400</t>
        </is>
      </c>
      <c r="C790" t="inlineStr">
        <is>
          <t>Petroleum and coal product manufacturing</t>
        </is>
      </c>
      <c r="D790" t="n">
        <v>56072.6</v>
      </c>
      <c r="E790">
        <f>IFERROR(VLOOKUP(B790,Crosswalk!$A$2:$C$125,3,FALSE),"Unmapped")</f>
        <v/>
      </c>
    </row>
    <row r="791">
      <c r="A791" t="n">
        <v>2016</v>
      </c>
      <c r="B791" t="inlineStr">
        <is>
          <t>BS32510</t>
        </is>
      </c>
      <c r="C791" t="inlineStr">
        <is>
          <t>Basic chemical manufacturing</t>
        </is>
      </c>
      <c r="D791" t="n">
        <v>15800.7</v>
      </c>
      <c r="E791">
        <f>IFERROR(VLOOKUP(B791,Crosswalk!$A$2:$C$125,3,FALSE),"Unmapped")</f>
        <v/>
      </c>
    </row>
    <row r="792">
      <c r="A792" t="n">
        <v>2016</v>
      </c>
      <c r="B792" t="inlineStr">
        <is>
          <t>BS32530</t>
        </is>
      </c>
      <c r="C792" t="inlineStr">
        <is>
          <t>Pesticide, fertilizer and other agricultural chemical manufacturing</t>
        </is>
      </c>
      <c r="D792" t="n">
        <v>5799.2</v>
      </c>
      <c r="E792">
        <f>IFERROR(VLOOKUP(B792,Crosswalk!$A$2:$C$125,3,FALSE),"Unmapped")</f>
        <v/>
      </c>
    </row>
    <row r="793">
      <c r="A793" t="n">
        <v>2016</v>
      </c>
      <c r="B793" t="inlineStr">
        <is>
          <t>BS32540</t>
        </is>
      </c>
      <c r="C793" t="inlineStr">
        <is>
          <t>Pharmaceutical and medicine manufacturing</t>
        </is>
      </c>
      <c r="D793" t="n">
        <v>13118.5</v>
      </c>
      <c r="E793">
        <f>IFERROR(VLOOKUP(B793,Crosswalk!$A$2:$C$125,3,FALSE),"Unmapped")</f>
        <v/>
      </c>
    </row>
    <row r="794">
      <c r="A794" t="n">
        <v>2016</v>
      </c>
      <c r="B794" t="inlineStr">
        <is>
          <t>BS325C0</t>
        </is>
      </c>
      <c r="C794" t="inlineStr">
        <is>
          <t>Miscellaneous chemical product manufacturing</t>
        </is>
      </c>
      <c r="D794" t="n">
        <v>22777.3</v>
      </c>
      <c r="E794">
        <f>IFERROR(VLOOKUP(B794,Crosswalk!$A$2:$C$125,3,FALSE),"Unmapped")</f>
        <v/>
      </c>
    </row>
    <row r="795">
      <c r="A795" t="n">
        <v>2016</v>
      </c>
      <c r="B795" t="inlineStr">
        <is>
          <t>BS32610</t>
        </is>
      </c>
      <c r="C795" t="inlineStr">
        <is>
          <t>Plastic product manufacturing</t>
        </is>
      </c>
      <c r="D795" t="n">
        <v>24741.7</v>
      </c>
      <c r="E795">
        <f>IFERROR(VLOOKUP(B795,Crosswalk!$A$2:$C$125,3,FALSE),"Unmapped")</f>
        <v/>
      </c>
    </row>
    <row r="796">
      <c r="A796" t="n">
        <v>2016</v>
      </c>
      <c r="B796" t="inlineStr">
        <is>
          <t>BS32620</t>
        </is>
      </c>
      <c r="C796" t="inlineStr">
        <is>
          <t>Rubber product manufacturing</t>
        </is>
      </c>
      <c r="D796" t="n">
        <v>5082.8</v>
      </c>
      <c r="E796">
        <f>IFERROR(VLOOKUP(B796,Crosswalk!$A$2:$C$125,3,FALSE),"Unmapped")</f>
        <v/>
      </c>
    </row>
    <row r="797">
      <c r="A797" t="n">
        <v>2016</v>
      </c>
      <c r="B797" t="inlineStr">
        <is>
          <t>BS32730</t>
        </is>
      </c>
      <c r="C797" t="inlineStr">
        <is>
          <t>Cement and concrete product manufacturing</t>
        </is>
      </c>
      <c r="D797" t="n">
        <v>9994</v>
      </c>
      <c r="E797">
        <f>IFERROR(VLOOKUP(B797,Crosswalk!$A$2:$C$125,3,FALSE),"Unmapped")</f>
        <v/>
      </c>
    </row>
    <row r="798">
      <c r="A798" t="n">
        <v>2016</v>
      </c>
      <c r="B798" t="inlineStr">
        <is>
          <t>BS327A0</t>
        </is>
      </c>
      <c r="C798" t="inlineStr">
        <is>
          <t>Non-metallic mineral product manufacturing (except cement and concrete products)</t>
        </is>
      </c>
      <c r="D798" t="n">
        <v>6198</v>
      </c>
      <c r="E798">
        <f>IFERROR(VLOOKUP(B798,Crosswalk!$A$2:$C$125,3,FALSE),"Unmapped")</f>
        <v/>
      </c>
    </row>
    <row r="799">
      <c r="A799" t="n">
        <v>2016</v>
      </c>
      <c r="B799" t="inlineStr">
        <is>
          <t>BS33100</t>
        </is>
      </c>
      <c r="C799" t="inlineStr">
        <is>
          <t>Primary metal manufacturing</t>
        </is>
      </c>
      <c r="D799" t="n">
        <v>65605.2</v>
      </c>
      <c r="E799">
        <f>IFERROR(VLOOKUP(B799,Crosswalk!$A$2:$C$125,3,FALSE),"Unmapped")</f>
        <v/>
      </c>
    </row>
    <row r="800">
      <c r="A800" t="n">
        <v>2016</v>
      </c>
      <c r="B800" t="inlineStr">
        <is>
          <t>BS33200</t>
        </is>
      </c>
      <c r="C800" t="inlineStr">
        <is>
          <t>Fabricated metal product manufacturing</t>
        </is>
      </c>
      <c r="D800" t="n">
        <v>37009.4</v>
      </c>
      <c r="E800">
        <f>IFERROR(VLOOKUP(B800,Crosswalk!$A$2:$C$125,3,FALSE),"Unmapped")</f>
        <v/>
      </c>
    </row>
    <row r="801">
      <c r="A801" t="n">
        <v>2016</v>
      </c>
      <c r="B801" t="inlineStr">
        <is>
          <t>BS33300</t>
        </is>
      </c>
      <c r="C801" t="inlineStr">
        <is>
          <t>Machinery manufacturing</t>
        </is>
      </c>
      <c r="D801" t="n">
        <v>35276</v>
      </c>
      <c r="E801">
        <f>IFERROR(VLOOKUP(B801,Crosswalk!$A$2:$C$125,3,FALSE),"Unmapped")</f>
        <v/>
      </c>
    </row>
    <row r="802">
      <c r="A802" t="n">
        <v>2016</v>
      </c>
      <c r="B802" t="inlineStr">
        <is>
          <t>BS33400</t>
        </is>
      </c>
      <c r="C802" t="inlineStr">
        <is>
          <t>Computer and electronic product manufacturing</t>
        </is>
      </c>
      <c r="D802" t="n">
        <v>14505.2</v>
      </c>
      <c r="E802">
        <f>IFERROR(VLOOKUP(B802,Crosswalk!$A$2:$C$125,3,FALSE),"Unmapped")</f>
        <v/>
      </c>
    </row>
    <row r="803">
      <c r="A803" t="n">
        <v>2016</v>
      </c>
      <c r="B803" t="inlineStr">
        <is>
          <t>BS33500</t>
        </is>
      </c>
      <c r="C803" t="inlineStr">
        <is>
          <t>Electrical equipment, appliance and component manufacturing</t>
        </is>
      </c>
      <c r="D803" t="n">
        <v>11072.8</v>
      </c>
      <c r="E803">
        <f>IFERROR(VLOOKUP(B803,Crosswalk!$A$2:$C$125,3,FALSE),"Unmapped")</f>
        <v/>
      </c>
    </row>
    <row r="804">
      <c r="A804" t="n">
        <v>2016</v>
      </c>
      <c r="B804" t="inlineStr">
        <is>
          <t>BS33610</t>
        </is>
      </c>
      <c r="C804" t="inlineStr">
        <is>
          <t>Motor vehicle manufacturing</t>
        </is>
      </c>
      <c r="D804" t="n">
        <v>68889</v>
      </c>
      <c r="E804">
        <f>IFERROR(VLOOKUP(B804,Crosswalk!$A$2:$C$125,3,FALSE),"Unmapped")</f>
        <v/>
      </c>
    </row>
    <row r="805">
      <c r="A805" t="n">
        <v>2016</v>
      </c>
      <c r="B805" t="inlineStr">
        <is>
          <t>BS33620</t>
        </is>
      </c>
      <c r="C805" t="inlineStr">
        <is>
          <t>Motor vehicle body and trailer manufacturing</t>
        </is>
      </c>
      <c r="D805" t="n">
        <v>3406.4</v>
      </c>
      <c r="E805">
        <f>IFERROR(VLOOKUP(B805,Crosswalk!$A$2:$C$125,3,FALSE),"Unmapped")</f>
        <v/>
      </c>
    </row>
    <row r="806">
      <c r="A806" t="n">
        <v>2016</v>
      </c>
      <c r="B806" t="inlineStr">
        <is>
          <t>BS33630</t>
        </is>
      </c>
      <c r="C806" t="inlineStr">
        <is>
          <t>Motor vehicle parts manufacturing</t>
        </is>
      </c>
      <c r="D806" t="n">
        <v>32911.9</v>
      </c>
      <c r="E806">
        <f>IFERROR(VLOOKUP(B806,Crosswalk!$A$2:$C$125,3,FALSE),"Unmapped")</f>
        <v/>
      </c>
    </row>
    <row r="807">
      <c r="A807" t="n">
        <v>2016</v>
      </c>
      <c r="B807" t="inlineStr">
        <is>
          <t>BS33640</t>
        </is>
      </c>
      <c r="C807" t="inlineStr">
        <is>
          <t>Aerospace product and parts manufacturing</t>
        </is>
      </c>
      <c r="D807" t="n">
        <v>23558.3</v>
      </c>
      <c r="E807">
        <f>IFERROR(VLOOKUP(B807,Crosswalk!$A$2:$C$125,3,FALSE),"Unmapped")</f>
        <v/>
      </c>
    </row>
    <row r="808">
      <c r="A808" t="n">
        <v>2016</v>
      </c>
      <c r="B808" t="inlineStr">
        <is>
          <t>BS33650</t>
        </is>
      </c>
      <c r="C808" t="inlineStr">
        <is>
          <t>Railroad rolling stock manufacturing</t>
        </is>
      </c>
      <c r="D808" t="n">
        <v>2157.3</v>
      </c>
      <c r="E808">
        <f>IFERROR(VLOOKUP(B808,Crosswalk!$A$2:$C$125,3,FALSE),"Unmapped")</f>
        <v/>
      </c>
    </row>
    <row r="809">
      <c r="A809" t="n">
        <v>2016</v>
      </c>
      <c r="B809" t="inlineStr">
        <is>
          <t>BS33660</t>
        </is>
      </c>
      <c r="C809" t="inlineStr">
        <is>
          <t>Ship and boat building</t>
        </is>
      </c>
      <c r="D809" t="n">
        <v>2028.1</v>
      </c>
      <c r="E809">
        <f>IFERROR(VLOOKUP(B809,Crosswalk!$A$2:$C$125,3,FALSE),"Unmapped")</f>
        <v/>
      </c>
    </row>
    <row r="810">
      <c r="A810" t="n">
        <v>2016</v>
      </c>
      <c r="B810" t="inlineStr">
        <is>
          <t>BS33690</t>
        </is>
      </c>
      <c r="C810" t="inlineStr">
        <is>
          <t>Other transportation equipment manufacturing</t>
        </is>
      </c>
      <c r="D810" t="n">
        <v>5903.2</v>
      </c>
      <c r="E810">
        <f>IFERROR(VLOOKUP(B810,Crosswalk!$A$2:$C$125,3,FALSE),"Unmapped")</f>
        <v/>
      </c>
    </row>
    <row r="811">
      <c r="A811" t="n">
        <v>2016</v>
      </c>
      <c r="B811" t="inlineStr">
        <is>
          <t>BS33700</t>
        </is>
      </c>
      <c r="C811" t="inlineStr">
        <is>
          <t>Furniture and related product manufacturing</t>
        </is>
      </c>
      <c r="D811" t="n">
        <v>12566</v>
      </c>
      <c r="E811">
        <f>IFERROR(VLOOKUP(B811,Crosswalk!$A$2:$C$125,3,FALSE),"Unmapped")</f>
        <v/>
      </c>
    </row>
    <row r="812">
      <c r="A812" t="n">
        <v>2016</v>
      </c>
      <c r="B812" t="inlineStr">
        <is>
          <t>BS33900</t>
        </is>
      </c>
      <c r="C812" t="inlineStr">
        <is>
          <t>Miscellaneous manufacturing</t>
        </is>
      </c>
      <c r="D812" t="n">
        <v>14077</v>
      </c>
      <c r="E812">
        <f>IFERROR(VLOOKUP(B812,Crosswalk!$A$2:$C$125,3,FALSE),"Unmapped")</f>
        <v/>
      </c>
    </row>
    <row r="813">
      <c r="A813" t="n">
        <v>2016</v>
      </c>
      <c r="B813" t="inlineStr">
        <is>
          <t>BS41000</t>
        </is>
      </c>
      <c r="C813" t="inlineStr">
        <is>
          <t>Wholesale trade</t>
        </is>
      </c>
      <c r="D813" t="n">
        <v>163046.5</v>
      </c>
      <c r="E813">
        <f>IFERROR(VLOOKUP(B813,Crosswalk!$A$2:$C$125,3,FALSE),"Unmapped")</f>
        <v/>
      </c>
    </row>
    <row r="814">
      <c r="A814" t="n">
        <v>2016</v>
      </c>
      <c r="B814" t="inlineStr">
        <is>
          <t>BS459BU</t>
        </is>
      </c>
      <c r="C814" t="inlineStr">
        <is>
          <t>Cannabis retailers (unlicensed)</t>
        </is>
      </c>
      <c r="D814" t="n">
        <v>1667.9</v>
      </c>
      <c r="E814">
        <f>IFERROR(VLOOKUP(B814,Crosswalk!$A$2:$C$125,3,FALSE),"Unmapped")</f>
        <v/>
      </c>
    </row>
    <row r="815">
      <c r="A815" t="n">
        <v>2016</v>
      </c>
      <c r="B815" t="inlineStr">
        <is>
          <t>BS48100</t>
        </is>
      </c>
      <c r="C815" t="inlineStr">
        <is>
          <t>Air transportation</t>
        </is>
      </c>
      <c r="D815" t="n">
        <v>23310.4</v>
      </c>
      <c r="E815">
        <f>IFERROR(VLOOKUP(B815,Crosswalk!$A$2:$C$125,3,FALSE),"Unmapped")</f>
        <v/>
      </c>
    </row>
    <row r="816">
      <c r="A816" t="n">
        <v>2016</v>
      </c>
      <c r="B816" t="inlineStr">
        <is>
          <t>BS48200</t>
        </is>
      </c>
      <c r="C816" t="inlineStr">
        <is>
          <t>Rail transportation</t>
        </is>
      </c>
      <c r="D816" t="n">
        <v>13504.2</v>
      </c>
      <c r="E816">
        <f>IFERROR(VLOOKUP(B816,Crosswalk!$A$2:$C$125,3,FALSE),"Unmapped")</f>
        <v/>
      </c>
    </row>
    <row r="817">
      <c r="A817" t="n">
        <v>2016</v>
      </c>
      <c r="B817" t="inlineStr">
        <is>
          <t>BS48300</t>
        </is>
      </c>
      <c r="C817" t="inlineStr">
        <is>
          <t>Water transportation</t>
        </is>
      </c>
      <c r="D817" t="n">
        <v>5031.2</v>
      </c>
      <c r="E817">
        <f>IFERROR(VLOOKUP(B817,Crosswalk!$A$2:$C$125,3,FALSE),"Unmapped")</f>
        <v/>
      </c>
    </row>
    <row r="818">
      <c r="A818" t="n">
        <v>2016</v>
      </c>
      <c r="B818" t="inlineStr">
        <is>
          <t>BS48400</t>
        </is>
      </c>
      <c r="C818" t="inlineStr">
        <is>
          <t>Truck transportation</t>
        </is>
      </c>
      <c r="D818" t="n">
        <v>56466.3</v>
      </c>
      <c r="E818">
        <f>IFERROR(VLOOKUP(B818,Crosswalk!$A$2:$C$125,3,FALSE),"Unmapped")</f>
        <v/>
      </c>
    </row>
    <row r="819">
      <c r="A819" t="n">
        <v>2016</v>
      </c>
      <c r="B819" t="inlineStr">
        <is>
          <t>BS48600</t>
        </is>
      </c>
      <c r="C819" t="inlineStr">
        <is>
          <t>Pipeline transportation</t>
        </is>
      </c>
      <c r="D819" t="n">
        <v>12189.9</v>
      </c>
      <c r="E819">
        <f>IFERROR(VLOOKUP(B819,Crosswalk!$A$2:$C$125,3,FALSE),"Unmapped")</f>
        <v/>
      </c>
    </row>
    <row r="820">
      <c r="A820" t="n">
        <v>2016</v>
      </c>
      <c r="B820" t="inlineStr">
        <is>
          <t>BS48B00</t>
        </is>
      </c>
      <c r="C820" t="inlineStr">
        <is>
          <t>Transit, ground passenger and scenic and sightseeing transportation, taxi and limousine service and support activities for transportation</t>
        </is>
      </c>
      <c r="D820" t="n">
        <v>45346.7</v>
      </c>
      <c r="E820">
        <f>IFERROR(VLOOKUP(B820,Crosswalk!$A$2:$C$125,3,FALSE),"Unmapped")</f>
        <v/>
      </c>
    </row>
    <row r="821">
      <c r="A821" t="n">
        <v>2016</v>
      </c>
      <c r="B821" t="inlineStr">
        <is>
          <t>BS49300</t>
        </is>
      </c>
      <c r="C821" t="inlineStr">
        <is>
          <t>Warehousing and storage</t>
        </is>
      </c>
      <c r="D821" t="n">
        <v>4493.9</v>
      </c>
      <c r="E821">
        <f>IFERROR(VLOOKUP(B821,Crosswalk!$A$2:$C$125,3,FALSE),"Unmapped")</f>
        <v/>
      </c>
    </row>
    <row r="822">
      <c r="A822" t="n">
        <v>2016</v>
      </c>
      <c r="B822" t="inlineStr">
        <is>
          <t>BS49A00</t>
        </is>
      </c>
      <c r="C822" t="inlineStr">
        <is>
          <t>Postal service, couriers and messengers</t>
        </is>
      </c>
      <c r="D822" t="n">
        <v>14326.9</v>
      </c>
      <c r="E822">
        <f>IFERROR(VLOOKUP(B822,Crosswalk!$A$2:$C$125,3,FALSE),"Unmapped")</f>
        <v/>
      </c>
    </row>
    <row r="823">
      <c r="A823" t="n">
        <v>2016</v>
      </c>
      <c r="B823" t="inlineStr">
        <is>
          <t>BS4AA00</t>
        </is>
      </c>
      <c r="C823" t="inlineStr">
        <is>
          <t>Retail trade (except cannabis)</t>
        </is>
      </c>
      <c r="D823" t="n">
        <v>159826.9</v>
      </c>
      <c r="E823">
        <f>IFERROR(VLOOKUP(B823,Crosswalk!$A$2:$C$125,3,FALSE),"Unmapped")</f>
        <v/>
      </c>
    </row>
    <row r="824">
      <c r="A824" t="n">
        <v>2016</v>
      </c>
      <c r="B824" t="inlineStr">
        <is>
          <t>BS51200</t>
        </is>
      </c>
      <c r="C824" t="inlineStr">
        <is>
          <t>Motion picture and sound recording industries</t>
        </is>
      </c>
      <c r="D824" t="n">
        <v>11336</v>
      </c>
      <c r="E824">
        <f>IFERROR(VLOOKUP(B824,Crosswalk!$A$2:$C$125,3,FALSE),"Unmapped")</f>
        <v/>
      </c>
    </row>
    <row r="825">
      <c r="A825" t="n">
        <v>2016</v>
      </c>
      <c r="B825" t="inlineStr">
        <is>
          <t>BS51610</t>
        </is>
      </c>
      <c r="C825" t="inlineStr">
        <is>
          <t>Radio and television broadcasting stations</t>
        </is>
      </c>
      <c r="D825" t="n">
        <v>3745.4</v>
      </c>
      <c r="E825">
        <f>IFERROR(VLOOKUP(B825,Crosswalk!$A$2:$C$125,3,FALSE),"Unmapped")</f>
        <v/>
      </c>
    </row>
    <row r="826">
      <c r="A826" t="n">
        <v>2016</v>
      </c>
      <c r="B826" t="inlineStr">
        <is>
          <t>BS51B00</t>
        </is>
      </c>
      <c r="C826" t="inlineStr">
        <is>
          <t>Publishing, pay/specialty services, telecommunications and other information services</t>
        </is>
      </c>
      <c r="D826" t="n">
        <v>89866.2</v>
      </c>
      <c r="E826">
        <f>IFERROR(VLOOKUP(B826,Crosswalk!$A$2:$C$125,3,FALSE),"Unmapped")</f>
        <v/>
      </c>
    </row>
    <row r="827">
      <c r="A827" t="n">
        <v>2016</v>
      </c>
      <c r="B827" t="inlineStr">
        <is>
          <t>BS52410</t>
        </is>
      </c>
      <c r="C827" t="inlineStr">
        <is>
          <t>Insurance carriers</t>
        </is>
      </c>
      <c r="D827" t="n">
        <v>44169</v>
      </c>
      <c r="E827">
        <f>IFERROR(VLOOKUP(B827,Crosswalk!$A$2:$C$125,3,FALSE),"Unmapped")</f>
        <v/>
      </c>
    </row>
    <row r="828">
      <c r="A828" t="n">
        <v>2016</v>
      </c>
      <c r="B828" t="inlineStr">
        <is>
          <t>BS52B00</t>
        </is>
      </c>
      <c r="C828" t="inlineStr">
        <is>
          <t>Depository credit intermediation and monetary authorities</t>
        </is>
      </c>
      <c r="D828" t="n">
        <v>97238.7</v>
      </c>
      <c r="E828">
        <f>IFERROR(VLOOKUP(B828,Crosswalk!$A$2:$C$125,3,FALSE),"Unmapped")</f>
        <v/>
      </c>
    </row>
    <row r="829">
      <c r="A829" t="n">
        <v>2016</v>
      </c>
      <c r="B829" t="inlineStr">
        <is>
          <t>BS53110</t>
        </is>
      </c>
      <c r="C829" t="inlineStr">
        <is>
          <t>Lessors of real estate</t>
        </is>
      </c>
      <c r="D829" t="n">
        <v>98831.60000000001</v>
      </c>
      <c r="E829">
        <f>IFERROR(VLOOKUP(B829,Crosswalk!$A$2:$C$125,3,FALSE),"Unmapped")</f>
        <v/>
      </c>
    </row>
    <row r="830">
      <c r="A830" t="n">
        <v>2016</v>
      </c>
      <c r="B830" t="inlineStr">
        <is>
          <t>BS5311A</t>
        </is>
      </c>
      <c r="C830" t="inlineStr">
        <is>
          <t>Owner-occupied dwellings</t>
        </is>
      </c>
      <c r="D830" t="n">
        <v>177904.3</v>
      </c>
      <c r="E830">
        <f>IFERROR(VLOOKUP(B830,Crosswalk!$A$2:$C$125,3,FALSE),"Unmapped")</f>
        <v/>
      </c>
    </row>
    <row r="831">
      <c r="A831" t="n">
        <v>2016</v>
      </c>
      <c r="B831" t="inlineStr">
        <is>
          <t>BS53B00</t>
        </is>
      </c>
      <c r="C831" t="inlineStr">
        <is>
          <t>Rental and leasing services and lessors of non-financial intangible assets (except copyrighted works)</t>
        </is>
      </c>
      <c r="D831" t="n">
        <v>22278.3</v>
      </c>
      <c r="E831">
        <f>IFERROR(VLOOKUP(B831,Crosswalk!$A$2:$C$125,3,FALSE),"Unmapped")</f>
        <v/>
      </c>
    </row>
    <row r="832">
      <c r="A832" t="n">
        <v>2016</v>
      </c>
      <c r="B832" t="inlineStr">
        <is>
          <t>BS54180</t>
        </is>
      </c>
      <c r="C832" t="inlineStr">
        <is>
          <t>Advertising, public relations, and related services</t>
        </is>
      </c>
      <c r="D832" t="n">
        <v>9937.1</v>
      </c>
      <c r="E832">
        <f>IFERROR(VLOOKUP(B832,Crosswalk!$A$2:$C$125,3,FALSE),"Unmapped")</f>
        <v/>
      </c>
    </row>
    <row r="833">
      <c r="A833" t="n">
        <v>2016</v>
      </c>
      <c r="B833" t="inlineStr">
        <is>
          <t>BS541C0</t>
        </is>
      </c>
      <c r="C833" t="inlineStr">
        <is>
          <t>Legal, accounting and architectural, engineering and related services</t>
        </is>
      </c>
      <c r="D833" t="n">
        <v>74771</v>
      </c>
      <c r="E833">
        <f>IFERROR(VLOOKUP(B833,Crosswalk!$A$2:$C$125,3,FALSE),"Unmapped")</f>
        <v/>
      </c>
    </row>
    <row r="834">
      <c r="A834" t="n">
        <v>2016</v>
      </c>
      <c r="B834" t="inlineStr">
        <is>
          <t>BS541D0</t>
        </is>
      </c>
      <c r="C834" t="inlineStr">
        <is>
          <t>Computer systems design and other professional, scientific and technical services</t>
        </is>
      </c>
      <c r="D834" t="n">
        <v>94312.3</v>
      </c>
      <c r="E834">
        <f>IFERROR(VLOOKUP(B834,Crosswalk!$A$2:$C$125,3,FALSE),"Unmapped")</f>
        <v/>
      </c>
    </row>
    <row r="835">
      <c r="A835" t="n">
        <v>2016</v>
      </c>
      <c r="B835" t="inlineStr">
        <is>
          <t>BS56100</t>
        </is>
      </c>
      <c r="C835" t="inlineStr">
        <is>
          <t>Administrative and support services</t>
        </is>
      </c>
      <c r="D835" t="n">
        <v>78170.89999999999</v>
      </c>
      <c r="E835">
        <f>IFERROR(VLOOKUP(B835,Crosswalk!$A$2:$C$125,3,FALSE),"Unmapped")</f>
        <v/>
      </c>
    </row>
    <row r="836">
      <c r="A836" t="n">
        <v>2016</v>
      </c>
      <c r="B836" t="inlineStr">
        <is>
          <t>BS56200</t>
        </is>
      </c>
      <c r="C836" t="inlineStr">
        <is>
          <t>Waste management and remediation services</t>
        </is>
      </c>
      <c r="D836" t="n">
        <v>11568.4</v>
      </c>
      <c r="E836">
        <f>IFERROR(VLOOKUP(B836,Crosswalk!$A$2:$C$125,3,FALSE),"Unmapped")</f>
        <v/>
      </c>
    </row>
    <row r="837">
      <c r="A837" t="n">
        <v>2016</v>
      </c>
      <c r="B837" t="inlineStr">
        <is>
          <t>BS5A000</t>
        </is>
      </c>
      <c r="C837" t="inlineStr">
        <is>
          <t>Other finance, insurance and real estate services and management of companies and enterprises</t>
        </is>
      </c>
      <c r="D837" t="n">
        <v>143605.9</v>
      </c>
      <c r="E837">
        <f>IFERROR(VLOOKUP(B837,Crosswalk!$A$2:$C$125,3,FALSE),"Unmapped")</f>
        <v/>
      </c>
    </row>
    <row r="838">
      <c r="A838" t="n">
        <v>2016</v>
      </c>
      <c r="B838" t="inlineStr">
        <is>
          <t>BS61000</t>
        </is>
      </c>
      <c r="C838" t="inlineStr">
        <is>
          <t>Educational services</t>
        </is>
      </c>
      <c r="D838" t="n">
        <v>6653.4</v>
      </c>
      <c r="E838">
        <f>IFERROR(VLOOKUP(B838,Crosswalk!$A$2:$C$125,3,FALSE),"Unmapped")</f>
        <v/>
      </c>
    </row>
    <row r="839">
      <c r="A839" t="n">
        <v>2016</v>
      </c>
      <c r="B839" t="inlineStr">
        <is>
          <t>BS62000</t>
        </is>
      </c>
      <c r="C839" t="inlineStr">
        <is>
          <t>Health care and social assistance</t>
        </is>
      </c>
      <c r="D839" t="n">
        <v>74726.10000000001</v>
      </c>
      <c r="E839">
        <f>IFERROR(VLOOKUP(B839,Crosswalk!$A$2:$C$125,3,FALSE),"Unmapped")</f>
        <v/>
      </c>
    </row>
    <row r="840">
      <c r="A840" t="n">
        <v>2016</v>
      </c>
      <c r="B840" t="inlineStr">
        <is>
          <t>BS71000</t>
        </is>
      </c>
      <c r="C840" t="inlineStr">
        <is>
          <t>Arts, entertainment and recreation</t>
        </is>
      </c>
      <c r="D840" t="n">
        <v>25748.3</v>
      </c>
      <c r="E840">
        <f>IFERROR(VLOOKUP(B840,Crosswalk!$A$2:$C$125,3,FALSE),"Unmapped")</f>
        <v/>
      </c>
    </row>
    <row r="841">
      <c r="A841" t="n">
        <v>2016</v>
      </c>
      <c r="B841" t="inlineStr">
        <is>
          <t>BS72000</t>
        </is>
      </c>
      <c r="C841" t="inlineStr">
        <is>
          <t>Accommodation and food services</t>
        </is>
      </c>
      <c r="D841" t="n">
        <v>92315.3</v>
      </c>
      <c r="E841">
        <f>IFERROR(VLOOKUP(B841,Crosswalk!$A$2:$C$125,3,FALSE),"Unmapped")</f>
        <v/>
      </c>
    </row>
    <row r="842">
      <c r="A842" t="n">
        <v>2016</v>
      </c>
      <c r="B842" t="inlineStr">
        <is>
          <t>BS81100</t>
        </is>
      </c>
      <c r="C842" t="inlineStr">
        <is>
          <t>Repair and maintenance</t>
        </is>
      </c>
      <c r="D842" t="n">
        <v>23252</v>
      </c>
      <c r="E842">
        <f>IFERROR(VLOOKUP(B842,Crosswalk!$A$2:$C$125,3,FALSE),"Unmapped")</f>
        <v/>
      </c>
    </row>
    <row r="843">
      <c r="A843" t="n">
        <v>2016</v>
      </c>
      <c r="B843" t="inlineStr">
        <is>
          <t>BS81300</t>
        </is>
      </c>
      <c r="C843" t="inlineStr">
        <is>
          <t>Business, professional and other membership organizations</t>
        </is>
      </c>
      <c r="D843" t="n">
        <v>4482.4</v>
      </c>
      <c r="E843">
        <f>IFERROR(VLOOKUP(B843,Crosswalk!$A$2:$C$125,3,FALSE),"Unmapped")</f>
        <v/>
      </c>
    </row>
    <row r="844">
      <c r="A844" t="n">
        <v>2016</v>
      </c>
      <c r="B844" t="inlineStr">
        <is>
          <t>BS81A00</t>
        </is>
      </c>
      <c r="C844" t="inlineStr">
        <is>
          <t>Personal services and private households</t>
        </is>
      </c>
      <c r="D844" t="n">
        <v>18629.9</v>
      </c>
      <c r="E844">
        <f>IFERROR(VLOOKUP(B844,Crosswalk!$A$2:$C$125,3,FALSE),"Unmapped")</f>
        <v/>
      </c>
    </row>
    <row r="845">
      <c r="A845" t="n">
        <v>2016</v>
      </c>
      <c r="B845" t="inlineStr">
        <is>
          <t>GS61130</t>
        </is>
      </c>
      <c r="C845" t="inlineStr">
        <is>
          <t>Universities</t>
        </is>
      </c>
      <c r="D845" t="n">
        <v>43782.3</v>
      </c>
      <c r="E845">
        <f>IFERROR(VLOOKUP(B845,Crosswalk!$A$2:$C$125,3,FALSE),"Unmapped")</f>
        <v/>
      </c>
    </row>
    <row r="846">
      <c r="A846" t="n">
        <v>2016</v>
      </c>
      <c r="B846" t="inlineStr">
        <is>
          <t>GS611B0</t>
        </is>
      </c>
      <c r="C846" t="inlineStr">
        <is>
          <t>Educational services (except universities)</t>
        </is>
      </c>
      <c r="D846" t="n">
        <v>73196.39999999999</v>
      </c>
      <c r="E846">
        <f>IFERROR(VLOOKUP(B846,Crosswalk!$A$2:$C$125,3,FALSE),"Unmapped")</f>
        <v/>
      </c>
    </row>
    <row r="847">
      <c r="A847" t="n">
        <v>2016</v>
      </c>
      <c r="B847" t="inlineStr">
        <is>
          <t>GS62300</t>
        </is>
      </c>
      <c r="C847" t="inlineStr">
        <is>
          <t>Nursing and residential care facilities</t>
        </is>
      </c>
      <c r="D847" t="n">
        <v>16072.5</v>
      </c>
      <c r="E847">
        <f>IFERROR(VLOOKUP(B847,Crosswalk!$A$2:$C$125,3,FALSE),"Unmapped")</f>
        <v/>
      </c>
    </row>
    <row r="848">
      <c r="A848" t="n">
        <v>2016</v>
      </c>
      <c r="B848" t="inlineStr">
        <is>
          <t>GS62B00</t>
        </is>
      </c>
      <c r="C848" t="inlineStr">
        <is>
          <t>Health care and social assistance (except nursing and residential care facilities)</t>
        </is>
      </c>
      <c r="D848" t="n">
        <v>97371.89999999999</v>
      </c>
      <c r="E848">
        <f>IFERROR(VLOOKUP(B848,Crosswalk!$A$2:$C$125,3,FALSE),"Unmapped")</f>
        <v/>
      </c>
    </row>
    <row r="849">
      <c r="A849" t="n">
        <v>2016</v>
      </c>
      <c r="B849" t="inlineStr">
        <is>
          <t>GS91100</t>
        </is>
      </c>
      <c r="C849" t="inlineStr">
        <is>
          <t>Other federal government services</t>
        </is>
      </c>
      <c r="D849" t="n">
        <v>75424.89999999999</v>
      </c>
      <c r="E849">
        <f>IFERROR(VLOOKUP(B849,Crosswalk!$A$2:$C$125,3,FALSE),"Unmapped")</f>
        <v/>
      </c>
    </row>
    <row r="850">
      <c r="A850" t="n">
        <v>2016</v>
      </c>
      <c r="B850" t="inlineStr">
        <is>
          <t>GS91200</t>
        </is>
      </c>
      <c r="C850" t="inlineStr">
        <is>
          <t>Other provincial and territorial government services</t>
        </is>
      </c>
      <c r="D850" t="n">
        <v>122627.9</v>
      </c>
      <c r="E850">
        <f>IFERROR(VLOOKUP(B850,Crosswalk!$A$2:$C$125,3,FALSE),"Unmapped")</f>
        <v/>
      </c>
    </row>
    <row r="851">
      <c r="A851" t="n">
        <v>2016</v>
      </c>
      <c r="B851" t="inlineStr">
        <is>
          <t>GS91300</t>
        </is>
      </c>
      <c r="C851" t="inlineStr">
        <is>
          <t>Other municipal government services</t>
        </is>
      </c>
      <c r="D851" t="n">
        <v>85509.7</v>
      </c>
      <c r="E851">
        <f>IFERROR(VLOOKUP(B851,Crosswalk!$A$2:$C$125,3,FALSE),"Unmapped")</f>
        <v/>
      </c>
    </row>
    <row r="852">
      <c r="A852" t="n">
        <v>2016</v>
      </c>
      <c r="B852" t="inlineStr">
        <is>
          <t>GS91400</t>
        </is>
      </c>
      <c r="C852" t="inlineStr">
        <is>
          <t>Other Indigenous government services</t>
        </is>
      </c>
      <c r="D852" t="n">
        <v>7300.2</v>
      </c>
      <c r="E852">
        <f>IFERROR(VLOOKUP(B852,Crosswalk!$A$2:$C$125,3,FALSE),"Unmapped")</f>
        <v/>
      </c>
    </row>
    <row r="853">
      <c r="A853" t="n">
        <v>2016</v>
      </c>
      <c r="B853" t="inlineStr">
        <is>
          <t>NP61000</t>
        </is>
      </c>
      <c r="C853" t="inlineStr">
        <is>
          <t>Educational services</t>
        </is>
      </c>
      <c r="D853" t="n">
        <v>5474.2</v>
      </c>
      <c r="E853">
        <f>IFERROR(VLOOKUP(B853,Crosswalk!$A$2:$C$125,3,FALSE),"Unmapped")</f>
        <v/>
      </c>
    </row>
    <row r="854">
      <c r="A854" t="n">
        <v>2016</v>
      </c>
      <c r="B854" t="inlineStr">
        <is>
          <t>NP62400</t>
        </is>
      </c>
      <c r="C854" t="inlineStr">
        <is>
          <t>Social assistance</t>
        </is>
      </c>
      <c r="D854" t="n">
        <v>10839.7</v>
      </c>
      <c r="E854">
        <f>IFERROR(VLOOKUP(B854,Crosswalk!$A$2:$C$125,3,FALSE),"Unmapped")</f>
        <v/>
      </c>
    </row>
    <row r="855">
      <c r="A855" t="n">
        <v>2016</v>
      </c>
      <c r="B855" t="inlineStr">
        <is>
          <t>NP71000</t>
        </is>
      </c>
      <c r="C855" t="inlineStr">
        <is>
          <t>Arts, entertainment and recreation</t>
        </is>
      </c>
      <c r="D855" t="n">
        <v>2314.8</v>
      </c>
      <c r="E855">
        <f>IFERROR(VLOOKUP(B855,Crosswalk!$A$2:$C$125,3,FALSE),"Unmapped")</f>
        <v/>
      </c>
    </row>
    <row r="856">
      <c r="A856" t="n">
        <v>2016</v>
      </c>
      <c r="B856" t="inlineStr">
        <is>
          <t>NP81310</t>
        </is>
      </c>
      <c r="C856" t="inlineStr">
        <is>
          <t>Religious organizations</t>
        </is>
      </c>
      <c r="D856" t="n">
        <v>5923.3</v>
      </c>
      <c r="E856">
        <f>IFERROR(VLOOKUP(B856,Crosswalk!$A$2:$C$125,3,FALSE),"Unmapped")</f>
        <v/>
      </c>
    </row>
    <row r="857">
      <c r="A857" t="n">
        <v>2016</v>
      </c>
      <c r="B857" t="inlineStr">
        <is>
          <t>NPA0000</t>
        </is>
      </c>
      <c r="C857" t="inlineStr">
        <is>
          <t>Miscellaneous non-profit institutions serving households</t>
        </is>
      </c>
      <c r="D857" t="n">
        <v>23962.7</v>
      </c>
      <c r="E857">
        <f>IFERROR(VLOOKUP(B857,Crosswalk!$A$2:$C$125,3,FALSE),"Unmapped")</f>
        <v/>
      </c>
    </row>
    <row r="858">
      <c r="A858" t="n">
        <v>2017</v>
      </c>
      <c r="B858" t="inlineStr">
        <is>
          <t>BS111CL</t>
        </is>
      </c>
      <c r="C858" t="inlineStr">
        <is>
          <t>Cannabis production (licensed)</t>
        </is>
      </c>
      <c r="D858" t="n">
        <v>532.3</v>
      </c>
      <c r="E858">
        <f>IFERROR(VLOOKUP(B858,Crosswalk!$A$2:$C$125,3,FALSE),"Unmapped")</f>
        <v/>
      </c>
    </row>
    <row r="859">
      <c r="A859" t="n">
        <v>2017</v>
      </c>
      <c r="B859" t="inlineStr">
        <is>
          <t>BS111CU</t>
        </is>
      </c>
      <c r="C859" t="inlineStr">
        <is>
          <t>Cannabis production (unlicensed)</t>
        </is>
      </c>
      <c r="D859" t="n">
        <v>4196.5</v>
      </c>
      <c r="E859">
        <f>IFERROR(VLOOKUP(B859,Crosswalk!$A$2:$C$125,3,FALSE),"Unmapped")</f>
        <v/>
      </c>
    </row>
    <row r="860">
      <c r="A860" t="n">
        <v>2017</v>
      </c>
      <c r="B860" t="inlineStr">
        <is>
          <t>BS11300</t>
        </is>
      </c>
      <c r="C860" t="inlineStr">
        <is>
          <t>Forestry and logging</t>
        </is>
      </c>
      <c r="D860" t="n">
        <v>11191.1</v>
      </c>
      <c r="E860">
        <f>IFERROR(VLOOKUP(B860,Crosswalk!$A$2:$C$125,3,FALSE),"Unmapped")</f>
        <v/>
      </c>
    </row>
    <row r="861">
      <c r="A861" t="n">
        <v>2017</v>
      </c>
      <c r="B861" t="inlineStr">
        <is>
          <t>BS11400</t>
        </is>
      </c>
      <c r="C861" t="inlineStr">
        <is>
          <t>Fishing, hunting and trapping</t>
        </is>
      </c>
      <c r="D861" t="n">
        <v>3951.1</v>
      </c>
      <c r="E861">
        <f>IFERROR(VLOOKUP(B861,Crosswalk!$A$2:$C$125,3,FALSE),"Unmapped")</f>
        <v/>
      </c>
    </row>
    <row r="862">
      <c r="A862" t="n">
        <v>2017</v>
      </c>
      <c r="B862" t="inlineStr">
        <is>
          <t>BS11500</t>
        </is>
      </c>
      <c r="C862" t="inlineStr">
        <is>
          <t>Support activities for agriculture and forestry</t>
        </is>
      </c>
      <c r="D862" t="n">
        <v>3590.2</v>
      </c>
      <c r="E862">
        <f>IFERROR(VLOOKUP(B862,Crosswalk!$A$2:$C$125,3,FALSE),"Unmapped")</f>
        <v/>
      </c>
    </row>
    <row r="863">
      <c r="A863" t="n">
        <v>2017</v>
      </c>
      <c r="B863" t="inlineStr">
        <is>
          <t>BS11B00</t>
        </is>
      </c>
      <c r="C863" t="inlineStr">
        <is>
          <t>Crop and animal production (except cannabis)</t>
        </is>
      </c>
      <c r="D863" t="n">
        <v>72363.5</v>
      </c>
      <c r="E863">
        <f>IFERROR(VLOOKUP(B863,Crosswalk!$A$2:$C$125,3,FALSE),"Unmapped")</f>
        <v/>
      </c>
    </row>
    <row r="864">
      <c r="A864" t="n">
        <v>2017</v>
      </c>
      <c r="B864" t="inlineStr">
        <is>
          <t>BS21100</t>
        </is>
      </c>
      <c r="C864" t="inlineStr">
        <is>
          <t>Oil and gas extraction</t>
        </is>
      </c>
      <c r="D864" t="n">
        <v>114006.7</v>
      </c>
      <c r="E864">
        <f>IFERROR(VLOOKUP(B864,Crosswalk!$A$2:$C$125,3,FALSE),"Unmapped")</f>
        <v/>
      </c>
    </row>
    <row r="865">
      <c r="A865" t="n">
        <v>2017</v>
      </c>
      <c r="B865" t="inlineStr">
        <is>
          <t>BS21210</t>
        </is>
      </c>
      <c r="C865" t="inlineStr">
        <is>
          <t>Coal mining</t>
        </is>
      </c>
      <c r="D865" t="n">
        <v>6258.8</v>
      </c>
      <c r="E865">
        <f>IFERROR(VLOOKUP(B865,Crosswalk!$A$2:$C$125,3,FALSE),"Unmapped")</f>
        <v/>
      </c>
    </row>
    <row r="866">
      <c r="A866" t="n">
        <v>2017</v>
      </c>
      <c r="B866" t="inlineStr">
        <is>
          <t>BS21220</t>
        </is>
      </c>
      <c r="C866" t="inlineStr">
        <is>
          <t>Metal ore mining</t>
        </is>
      </c>
      <c r="D866" t="n">
        <v>25719.1</v>
      </c>
      <c r="E866">
        <f>IFERROR(VLOOKUP(B866,Crosswalk!$A$2:$C$125,3,FALSE),"Unmapped")</f>
        <v/>
      </c>
    </row>
    <row r="867">
      <c r="A867" t="n">
        <v>2017</v>
      </c>
      <c r="B867" t="inlineStr">
        <is>
          <t>BS21230</t>
        </is>
      </c>
      <c r="C867" t="inlineStr">
        <is>
          <t>Non-metallic mineral mining and quarrying</t>
        </is>
      </c>
      <c r="D867" t="n">
        <v>12567.7</v>
      </c>
      <c r="E867">
        <f>IFERROR(VLOOKUP(B867,Crosswalk!$A$2:$C$125,3,FALSE),"Unmapped")</f>
        <v/>
      </c>
    </row>
    <row r="868">
      <c r="A868" t="n">
        <v>2017</v>
      </c>
      <c r="B868" t="inlineStr">
        <is>
          <t>BS21300</t>
        </is>
      </c>
      <c r="C868" t="inlineStr">
        <is>
          <t>Support activities for mining, and oil and gas extraction</t>
        </is>
      </c>
      <c r="D868" t="n">
        <v>21846.2</v>
      </c>
      <c r="E868">
        <f>IFERROR(VLOOKUP(B868,Crosswalk!$A$2:$C$125,3,FALSE),"Unmapped")</f>
        <v/>
      </c>
    </row>
    <row r="869">
      <c r="A869" t="n">
        <v>2017</v>
      </c>
      <c r="B869" t="inlineStr">
        <is>
          <t>BS22110</t>
        </is>
      </c>
      <c r="C869" t="inlineStr">
        <is>
          <t>Electric power generation, transmission and distribution</t>
        </is>
      </c>
      <c r="D869" t="n">
        <v>48483.2</v>
      </c>
      <c r="E869">
        <f>IFERROR(VLOOKUP(B869,Crosswalk!$A$2:$C$125,3,FALSE),"Unmapped")</f>
        <v/>
      </c>
    </row>
    <row r="870">
      <c r="A870" t="n">
        <v>2017</v>
      </c>
      <c r="B870" t="inlineStr">
        <is>
          <t>BS221A0</t>
        </is>
      </c>
      <c r="C870" t="inlineStr">
        <is>
          <t>Natural gas distribution, water, sewage and other systems</t>
        </is>
      </c>
      <c r="D870" t="n">
        <v>6985.4</v>
      </c>
      <c r="E870">
        <f>IFERROR(VLOOKUP(B870,Crosswalk!$A$2:$C$125,3,FALSE),"Unmapped")</f>
        <v/>
      </c>
    </row>
    <row r="871">
      <c r="A871" t="n">
        <v>2017</v>
      </c>
      <c r="B871" t="inlineStr">
        <is>
          <t>BS23A00</t>
        </is>
      </c>
      <c r="C871" t="inlineStr">
        <is>
          <t>Residential building construction</t>
        </is>
      </c>
      <c r="D871" t="n">
        <v>121370.3</v>
      </c>
      <c r="E871">
        <f>IFERROR(VLOOKUP(B871,Crosswalk!$A$2:$C$125,3,FALSE),"Unmapped")</f>
        <v/>
      </c>
    </row>
    <row r="872">
      <c r="A872" t="n">
        <v>2017</v>
      </c>
      <c r="B872" t="inlineStr">
        <is>
          <t>BS23B00</t>
        </is>
      </c>
      <c r="C872" t="inlineStr">
        <is>
          <t>Non-residential building construction</t>
        </is>
      </c>
      <c r="D872" t="n">
        <v>46531.9</v>
      </c>
      <c r="E872">
        <f>IFERROR(VLOOKUP(B872,Crosswalk!$A$2:$C$125,3,FALSE),"Unmapped")</f>
        <v/>
      </c>
    </row>
    <row r="873">
      <c r="A873" t="n">
        <v>2017</v>
      </c>
      <c r="B873" t="inlineStr">
        <is>
          <t>BS23C10</t>
        </is>
      </c>
      <c r="C873" t="inlineStr">
        <is>
          <t>Transportation engineering construction</t>
        </is>
      </c>
      <c r="D873" t="n">
        <v>26880.7</v>
      </c>
      <c r="E873">
        <f>IFERROR(VLOOKUP(B873,Crosswalk!$A$2:$C$125,3,FALSE),"Unmapped")</f>
        <v/>
      </c>
    </row>
    <row r="874">
      <c r="A874" t="n">
        <v>2017</v>
      </c>
      <c r="B874" t="inlineStr">
        <is>
          <t>BS23C20</t>
        </is>
      </c>
      <c r="C874" t="inlineStr">
        <is>
          <t>Oil and gas engineering construction</t>
        </is>
      </c>
      <c r="D874" t="n">
        <v>46882.4</v>
      </c>
      <c r="E874">
        <f>IFERROR(VLOOKUP(B874,Crosswalk!$A$2:$C$125,3,FALSE),"Unmapped")</f>
        <v/>
      </c>
    </row>
    <row r="875">
      <c r="A875" t="n">
        <v>2017</v>
      </c>
      <c r="B875" t="inlineStr">
        <is>
          <t>BS23C30</t>
        </is>
      </c>
      <c r="C875" t="inlineStr">
        <is>
          <t>Electric power engineering construction</t>
        </is>
      </c>
      <c r="D875" t="n">
        <v>19315.1</v>
      </c>
      <c r="E875">
        <f>IFERROR(VLOOKUP(B875,Crosswalk!$A$2:$C$125,3,FALSE),"Unmapped")</f>
        <v/>
      </c>
    </row>
    <row r="876">
      <c r="A876" t="n">
        <v>2017</v>
      </c>
      <c r="B876" t="inlineStr">
        <is>
          <t>BS23C40</t>
        </is>
      </c>
      <c r="C876" t="inlineStr">
        <is>
          <t>Communication engineering construction</t>
        </is>
      </c>
      <c r="D876" t="n">
        <v>5774.5</v>
      </c>
      <c r="E876">
        <f>IFERROR(VLOOKUP(B876,Crosswalk!$A$2:$C$125,3,FALSE),"Unmapped")</f>
        <v/>
      </c>
    </row>
    <row r="877">
      <c r="A877" t="n">
        <v>2017</v>
      </c>
      <c r="B877" t="inlineStr">
        <is>
          <t>BS23C50</t>
        </is>
      </c>
      <c r="C877" t="inlineStr">
        <is>
          <t>Other engineering construction</t>
        </is>
      </c>
      <c r="D877" t="n">
        <v>18986.2</v>
      </c>
      <c r="E877">
        <f>IFERROR(VLOOKUP(B877,Crosswalk!$A$2:$C$125,3,FALSE),"Unmapped")</f>
        <v/>
      </c>
    </row>
    <row r="878">
      <c r="A878" t="n">
        <v>2017</v>
      </c>
      <c r="B878" t="inlineStr">
        <is>
          <t>BS23D00</t>
        </is>
      </c>
      <c r="C878" t="inlineStr">
        <is>
          <t>Repair construction</t>
        </is>
      </c>
      <c r="D878" t="n">
        <v>44619.3</v>
      </c>
      <c r="E878">
        <f>IFERROR(VLOOKUP(B878,Crosswalk!$A$2:$C$125,3,FALSE),"Unmapped")</f>
        <v/>
      </c>
    </row>
    <row r="879">
      <c r="A879" t="n">
        <v>2017</v>
      </c>
      <c r="B879" t="inlineStr">
        <is>
          <t>BS23E00</t>
        </is>
      </c>
      <c r="C879" t="inlineStr">
        <is>
          <t>Other activities of the construction industry</t>
        </is>
      </c>
      <c r="D879" t="n">
        <v>4375.3</v>
      </c>
      <c r="E879">
        <f>IFERROR(VLOOKUP(B879,Crosswalk!$A$2:$C$125,3,FALSE),"Unmapped")</f>
        <v/>
      </c>
    </row>
    <row r="880">
      <c r="A880" t="n">
        <v>2017</v>
      </c>
      <c r="B880" t="inlineStr">
        <is>
          <t>BS31110</t>
        </is>
      </c>
      <c r="C880" t="inlineStr">
        <is>
          <t>Animal food manufacturing</t>
        </is>
      </c>
      <c r="D880" t="n">
        <v>8575.4</v>
      </c>
      <c r="E880">
        <f>IFERROR(VLOOKUP(B880,Crosswalk!$A$2:$C$125,3,FALSE),"Unmapped")</f>
        <v/>
      </c>
    </row>
    <row r="881">
      <c r="A881" t="n">
        <v>2017</v>
      </c>
      <c r="B881" t="inlineStr">
        <is>
          <t>BS31130</t>
        </is>
      </c>
      <c r="C881" t="inlineStr">
        <is>
          <t>Sugar and confectionery product manufacturing</t>
        </is>
      </c>
      <c r="D881" t="n">
        <v>4731.2</v>
      </c>
      <c r="E881">
        <f>IFERROR(VLOOKUP(B881,Crosswalk!$A$2:$C$125,3,FALSE),"Unmapped")</f>
        <v/>
      </c>
    </row>
    <row r="882">
      <c r="A882" t="n">
        <v>2017</v>
      </c>
      <c r="B882" t="inlineStr">
        <is>
          <t>BS31140</t>
        </is>
      </c>
      <c r="C882" t="inlineStr">
        <is>
          <t>Fruit and vegetable preserving and specialty food manufacturing</t>
        </is>
      </c>
      <c r="D882" t="n">
        <v>7471.2</v>
      </c>
      <c r="E882">
        <f>IFERROR(VLOOKUP(B882,Crosswalk!$A$2:$C$125,3,FALSE),"Unmapped")</f>
        <v/>
      </c>
    </row>
    <row r="883">
      <c r="A883" t="n">
        <v>2017</v>
      </c>
      <c r="B883" t="inlineStr">
        <is>
          <t>BS31150</t>
        </is>
      </c>
      <c r="C883" t="inlineStr">
        <is>
          <t>Dairy product manufacturing</t>
        </is>
      </c>
      <c r="D883" t="n">
        <v>15484.9</v>
      </c>
      <c r="E883">
        <f>IFERROR(VLOOKUP(B883,Crosswalk!$A$2:$C$125,3,FALSE),"Unmapped")</f>
        <v/>
      </c>
    </row>
    <row r="884">
      <c r="A884" t="n">
        <v>2017</v>
      </c>
      <c r="B884" t="inlineStr">
        <is>
          <t>BS31160</t>
        </is>
      </c>
      <c r="C884" t="inlineStr">
        <is>
          <t>Meat product manufacturing</t>
        </is>
      </c>
      <c r="D884" t="n">
        <v>29983</v>
      </c>
      <c r="E884">
        <f>IFERROR(VLOOKUP(B884,Crosswalk!$A$2:$C$125,3,FALSE),"Unmapped")</f>
        <v/>
      </c>
    </row>
    <row r="885">
      <c r="A885" t="n">
        <v>2017</v>
      </c>
      <c r="B885" t="inlineStr">
        <is>
          <t>BS31170</t>
        </is>
      </c>
      <c r="C885" t="inlineStr">
        <is>
          <t>Seafood product preparation and packaging</t>
        </is>
      </c>
      <c r="D885" t="n">
        <v>6376</v>
      </c>
      <c r="E885">
        <f>IFERROR(VLOOKUP(B885,Crosswalk!$A$2:$C$125,3,FALSE),"Unmapped")</f>
        <v/>
      </c>
    </row>
    <row r="886">
      <c r="A886" t="n">
        <v>2017</v>
      </c>
      <c r="B886" t="inlineStr">
        <is>
          <t>BS311A0</t>
        </is>
      </c>
      <c r="C886" t="inlineStr">
        <is>
          <t>Miscellaneous food manufacturing</t>
        </is>
      </c>
      <c r="D886" t="n">
        <v>32977.1</v>
      </c>
      <c r="E886">
        <f>IFERROR(VLOOKUP(B886,Crosswalk!$A$2:$C$125,3,FALSE),"Unmapped")</f>
        <v/>
      </c>
    </row>
    <row r="887">
      <c r="A887" t="n">
        <v>2017</v>
      </c>
      <c r="B887" t="inlineStr">
        <is>
          <t>BS31211</t>
        </is>
      </c>
      <c r="C887" t="inlineStr">
        <is>
          <t>Soft drink and ice manufacturing</t>
        </is>
      </c>
      <c r="D887" t="n">
        <v>4537.8</v>
      </c>
      <c r="E887">
        <f>IFERROR(VLOOKUP(B887,Crosswalk!$A$2:$C$125,3,FALSE),"Unmapped")</f>
        <v/>
      </c>
    </row>
    <row r="888">
      <c r="A888" t="n">
        <v>2017</v>
      </c>
      <c r="B888" t="inlineStr">
        <is>
          <t>BS31212</t>
        </is>
      </c>
      <c r="C888" t="inlineStr">
        <is>
          <t>Breweries</t>
        </is>
      </c>
      <c r="D888" t="n">
        <v>6531.5</v>
      </c>
      <c r="E888">
        <f>IFERROR(VLOOKUP(B888,Crosswalk!$A$2:$C$125,3,FALSE),"Unmapped")</f>
        <v/>
      </c>
    </row>
    <row r="889">
      <c r="A889" t="n">
        <v>2017</v>
      </c>
      <c r="B889" t="inlineStr">
        <is>
          <t>BS3121A</t>
        </is>
      </c>
      <c r="C889" t="inlineStr">
        <is>
          <t>Wineries and distilleries</t>
        </is>
      </c>
      <c r="D889" t="n">
        <v>2608.1</v>
      </c>
      <c r="E889">
        <f>IFERROR(VLOOKUP(B889,Crosswalk!$A$2:$C$125,3,FALSE),"Unmapped")</f>
        <v/>
      </c>
    </row>
    <row r="890">
      <c r="A890" t="n">
        <v>2017</v>
      </c>
      <c r="B890" t="inlineStr">
        <is>
          <t>BS312A0</t>
        </is>
      </c>
      <c r="C890" t="inlineStr">
        <is>
          <t>Tobacco and cannabis product manufacturing</t>
        </is>
      </c>
      <c r="D890" t="n">
        <v>2354.8</v>
      </c>
      <c r="E890">
        <f>IFERROR(VLOOKUP(B890,Crosswalk!$A$2:$C$125,3,FALSE),"Unmapped")</f>
        <v/>
      </c>
    </row>
    <row r="891">
      <c r="A891" t="n">
        <v>2017</v>
      </c>
      <c r="B891" t="inlineStr">
        <is>
          <t>BS31A00</t>
        </is>
      </c>
      <c r="C891" t="inlineStr">
        <is>
          <t>Textile and textile product mills</t>
        </is>
      </c>
      <c r="D891" t="n">
        <v>3634.4</v>
      </c>
      <c r="E891">
        <f>IFERROR(VLOOKUP(B891,Crosswalk!$A$2:$C$125,3,FALSE),"Unmapped")</f>
        <v/>
      </c>
    </row>
    <row r="892">
      <c r="A892" t="n">
        <v>2017</v>
      </c>
      <c r="B892" t="inlineStr">
        <is>
          <t>BS31B00</t>
        </is>
      </c>
      <c r="C892" t="inlineStr">
        <is>
          <t>Clothing and leather and allied product manufacturing</t>
        </is>
      </c>
      <c r="D892" t="n">
        <v>3109.4</v>
      </c>
      <c r="E892">
        <f>IFERROR(VLOOKUP(B892,Crosswalk!$A$2:$C$125,3,FALSE),"Unmapped")</f>
        <v/>
      </c>
    </row>
    <row r="893">
      <c r="A893" t="n">
        <v>2017</v>
      </c>
      <c r="B893" t="inlineStr">
        <is>
          <t>BS32100</t>
        </is>
      </c>
      <c r="C893" t="inlineStr">
        <is>
          <t>Wood product manufacturing</t>
        </is>
      </c>
      <c r="D893" t="n">
        <v>34228</v>
      </c>
      <c r="E893">
        <f>IFERROR(VLOOKUP(B893,Crosswalk!$A$2:$C$125,3,FALSE),"Unmapped")</f>
        <v/>
      </c>
    </row>
    <row r="894">
      <c r="A894" t="n">
        <v>2017</v>
      </c>
      <c r="B894" t="inlineStr">
        <is>
          <t>BS32210</t>
        </is>
      </c>
      <c r="C894" t="inlineStr">
        <is>
          <t>Pulp, paper and paperboard mills</t>
        </is>
      </c>
      <c r="D894" t="n">
        <v>17691.8</v>
      </c>
      <c r="E894">
        <f>IFERROR(VLOOKUP(B894,Crosswalk!$A$2:$C$125,3,FALSE),"Unmapped")</f>
        <v/>
      </c>
    </row>
    <row r="895">
      <c r="A895" t="n">
        <v>2017</v>
      </c>
      <c r="B895" t="inlineStr">
        <is>
          <t>BS32220</t>
        </is>
      </c>
      <c r="C895" t="inlineStr">
        <is>
          <t>Converted paper product manufacturing</t>
        </is>
      </c>
      <c r="D895" t="n">
        <v>10876.2</v>
      </c>
      <c r="E895">
        <f>IFERROR(VLOOKUP(B895,Crosswalk!$A$2:$C$125,3,FALSE),"Unmapped")</f>
        <v/>
      </c>
    </row>
    <row r="896">
      <c r="A896" t="n">
        <v>2017</v>
      </c>
      <c r="B896" t="inlineStr">
        <is>
          <t>BS32300</t>
        </is>
      </c>
      <c r="C896" t="inlineStr">
        <is>
          <t>Printing and related support activities</t>
        </is>
      </c>
      <c r="D896" t="n">
        <v>9870.5</v>
      </c>
      <c r="E896">
        <f>IFERROR(VLOOKUP(B896,Crosswalk!$A$2:$C$125,3,FALSE),"Unmapped")</f>
        <v/>
      </c>
    </row>
    <row r="897">
      <c r="A897" t="n">
        <v>2017</v>
      </c>
      <c r="B897" t="inlineStr">
        <is>
          <t>BS32400</t>
        </is>
      </c>
      <c r="C897" t="inlineStr">
        <is>
          <t>Petroleum and coal product manufacturing</t>
        </is>
      </c>
      <c r="D897" t="n">
        <v>67869.10000000001</v>
      </c>
      <c r="E897">
        <f>IFERROR(VLOOKUP(B897,Crosswalk!$A$2:$C$125,3,FALSE),"Unmapped")</f>
        <v/>
      </c>
    </row>
    <row r="898">
      <c r="A898" t="n">
        <v>2017</v>
      </c>
      <c r="B898" t="inlineStr">
        <is>
          <t>BS32510</t>
        </is>
      </c>
      <c r="C898" t="inlineStr">
        <is>
          <t>Basic chemical manufacturing</t>
        </is>
      </c>
      <c r="D898" t="n">
        <v>17317.6</v>
      </c>
      <c r="E898">
        <f>IFERROR(VLOOKUP(B898,Crosswalk!$A$2:$C$125,3,FALSE),"Unmapped")</f>
        <v/>
      </c>
    </row>
    <row r="899">
      <c r="A899" t="n">
        <v>2017</v>
      </c>
      <c r="B899" t="inlineStr">
        <is>
          <t>BS32530</t>
        </is>
      </c>
      <c r="C899" t="inlineStr">
        <is>
          <t>Pesticide, fertilizer and other agricultural chemical manufacturing</t>
        </is>
      </c>
      <c r="D899" t="n">
        <v>5859.9</v>
      </c>
      <c r="E899">
        <f>IFERROR(VLOOKUP(B899,Crosswalk!$A$2:$C$125,3,FALSE),"Unmapped")</f>
        <v/>
      </c>
    </row>
    <row r="900">
      <c r="A900" t="n">
        <v>2017</v>
      </c>
      <c r="B900" t="inlineStr">
        <is>
          <t>BS32540</t>
        </is>
      </c>
      <c r="C900" t="inlineStr">
        <is>
          <t>Pharmaceutical and medicine manufacturing</t>
        </is>
      </c>
      <c r="D900" t="n">
        <v>12638.4</v>
      </c>
      <c r="E900">
        <f>IFERROR(VLOOKUP(B900,Crosswalk!$A$2:$C$125,3,FALSE),"Unmapped")</f>
        <v/>
      </c>
    </row>
    <row r="901">
      <c r="A901" t="n">
        <v>2017</v>
      </c>
      <c r="B901" t="inlineStr">
        <is>
          <t>BS325C0</t>
        </is>
      </c>
      <c r="C901" t="inlineStr">
        <is>
          <t>Miscellaneous chemical product manufacturing</t>
        </is>
      </c>
      <c r="D901" t="n">
        <v>22937.1</v>
      </c>
      <c r="E901">
        <f>IFERROR(VLOOKUP(B901,Crosswalk!$A$2:$C$125,3,FALSE),"Unmapped")</f>
        <v/>
      </c>
    </row>
    <row r="902">
      <c r="A902" t="n">
        <v>2017</v>
      </c>
      <c r="B902" t="inlineStr">
        <is>
          <t>BS32610</t>
        </is>
      </c>
      <c r="C902" t="inlineStr">
        <is>
          <t>Plastic product manufacturing</t>
        </is>
      </c>
      <c r="D902" t="n">
        <v>25461.8</v>
      </c>
      <c r="E902">
        <f>IFERROR(VLOOKUP(B902,Crosswalk!$A$2:$C$125,3,FALSE),"Unmapped")</f>
        <v/>
      </c>
    </row>
    <row r="903">
      <c r="A903" t="n">
        <v>2017</v>
      </c>
      <c r="B903" t="inlineStr">
        <is>
          <t>BS32620</t>
        </is>
      </c>
      <c r="C903" t="inlineStr">
        <is>
          <t>Rubber product manufacturing</t>
        </is>
      </c>
      <c r="D903" t="n">
        <v>5414.1</v>
      </c>
      <c r="E903">
        <f>IFERROR(VLOOKUP(B903,Crosswalk!$A$2:$C$125,3,FALSE),"Unmapped")</f>
        <v/>
      </c>
    </row>
    <row r="904">
      <c r="A904" t="n">
        <v>2017</v>
      </c>
      <c r="B904" t="inlineStr">
        <is>
          <t>BS32730</t>
        </is>
      </c>
      <c r="C904" t="inlineStr">
        <is>
          <t>Cement and concrete product manufacturing</t>
        </is>
      </c>
      <c r="D904" t="n">
        <v>10441.5</v>
      </c>
      <c r="E904">
        <f>IFERROR(VLOOKUP(B904,Crosswalk!$A$2:$C$125,3,FALSE),"Unmapped")</f>
        <v/>
      </c>
    </row>
    <row r="905">
      <c r="A905" t="n">
        <v>2017</v>
      </c>
      <c r="B905" t="inlineStr">
        <is>
          <t>BS327A0</t>
        </is>
      </c>
      <c r="C905" t="inlineStr">
        <is>
          <t>Non-metallic mineral product manufacturing (except cement and concrete products)</t>
        </is>
      </c>
      <c r="D905" t="n">
        <v>6823.4</v>
      </c>
      <c r="E905">
        <f>IFERROR(VLOOKUP(B905,Crosswalk!$A$2:$C$125,3,FALSE),"Unmapped")</f>
        <v/>
      </c>
    </row>
    <row r="906">
      <c r="A906" t="n">
        <v>2017</v>
      </c>
      <c r="B906" t="inlineStr">
        <is>
          <t>BS33100</t>
        </is>
      </c>
      <c r="C906" t="inlineStr">
        <is>
          <t>Primary metal manufacturing</t>
        </is>
      </c>
      <c r="D906" t="n">
        <v>71931.3</v>
      </c>
      <c r="E906">
        <f>IFERROR(VLOOKUP(B906,Crosswalk!$A$2:$C$125,3,FALSE),"Unmapped")</f>
        <v/>
      </c>
    </row>
    <row r="907">
      <c r="A907" t="n">
        <v>2017</v>
      </c>
      <c r="B907" t="inlineStr">
        <is>
          <t>BS33200</t>
        </is>
      </c>
      <c r="C907" t="inlineStr">
        <is>
          <t>Fabricated metal product manufacturing</t>
        </is>
      </c>
      <c r="D907" t="n">
        <v>37135.2</v>
      </c>
      <c r="E907">
        <f>IFERROR(VLOOKUP(B907,Crosswalk!$A$2:$C$125,3,FALSE),"Unmapped")</f>
        <v/>
      </c>
    </row>
    <row r="908">
      <c r="A908" t="n">
        <v>2017</v>
      </c>
      <c r="B908" t="inlineStr">
        <is>
          <t>BS33300</t>
        </is>
      </c>
      <c r="C908" t="inlineStr">
        <is>
          <t>Machinery manufacturing</t>
        </is>
      </c>
      <c r="D908" t="n">
        <v>38923.5</v>
      </c>
      <c r="E908">
        <f>IFERROR(VLOOKUP(B908,Crosswalk!$A$2:$C$125,3,FALSE),"Unmapped")</f>
        <v/>
      </c>
    </row>
    <row r="909">
      <c r="A909" t="n">
        <v>2017</v>
      </c>
      <c r="B909" t="inlineStr">
        <is>
          <t>BS33400</t>
        </is>
      </c>
      <c r="C909" t="inlineStr">
        <is>
          <t>Computer and electronic product manufacturing</t>
        </is>
      </c>
      <c r="D909" t="n">
        <v>14790.1</v>
      </c>
      <c r="E909">
        <f>IFERROR(VLOOKUP(B909,Crosswalk!$A$2:$C$125,3,FALSE),"Unmapped")</f>
        <v/>
      </c>
    </row>
    <row r="910">
      <c r="A910" t="n">
        <v>2017</v>
      </c>
      <c r="B910" t="inlineStr">
        <is>
          <t>BS33500</t>
        </is>
      </c>
      <c r="C910" t="inlineStr">
        <is>
          <t>Electrical equipment, appliance and component manufacturing</t>
        </is>
      </c>
      <c r="D910" t="n">
        <v>11350.5</v>
      </c>
      <c r="E910">
        <f>IFERROR(VLOOKUP(B910,Crosswalk!$A$2:$C$125,3,FALSE),"Unmapped")</f>
        <v/>
      </c>
    </row>
    <row r="911">
      <c r="A911" t="n">
        <v>2017</v>
      </c>
      <c r="B911" t="inlineStr">
        <is>
          <t>BS33610</t>
        </is>
      </c>
      <c r="C911" t="inlineStr">
        <is>
          <t>Motor vehicle manufacturing</t>
        </is>
      </c>
      <c r="D911" t="n">
        <v>64346.8</v>
      </c>
      <c r="E911">
        <f>IFERROR(VLOOKUP(B911,Crosswalk!$A$2:$C$125,3,FALSE),"Unmapped")</f>
        <v/>
      </c>
    </row>
    <row r="912">
      <c r="A912" t="n">
        <v>2017</v>
      </c>
      <c r="B912" t="inlineStr">
        <is>
          <t>BS33620</t>
        </is>
      </c>
      <c r="C912" t="inlineStr">
        <is>
          <t>Motor vehicle body and trailer manufacturing</t>
        </is>
      </c>
      <c r="D912" t="n">
        <v>3771.4</v>
      </c>
      <c r="E912">
        <f>IFERROR(VLOOKUP(B912,Crosswalk!$A$2:$C$125,3,FALSE),"Unmapped")</f>
        <v/>
      </c>
    </row>
    <row r="913">
      <c r="A913" t="n">
        <v>2017</v>
      </c>
      <c r="B913" t="inlineStr">
        <is>
          <t>BS33630</t>
        </is>
      </c>
      <c r="C913" t="inlineStr">
        <is>
          <t>Motor vehicle parts manufacturing</t>
        </is>
      </c>
      <c r="D913" t="n">
        <v>33407.1</v>
      </c>
      <c r="E913">
        <f>IFERROR(VLOOKUP(B913,Crosswalk!$A$2:$C$125,3,FALSE),"Unmapped")</f>
        <v/>
      </c>
    </row>
    <row r="914">
      <c r="A914" t="n">
        <v>2017</v>
      </c>
      <c r="B914" t="inlineStr">
        <is>
          <t>BS33640</t>
        </is>
      </c>
      <c r="C914" t="inlineStr">
        <is>
          <t>Aerospace product and parts manufacturing</t>
        </is>
      </c>
      <c r="D914" t="n">
        <v>23922</v>
      </c>
      <c r="E914">
        <f>IFERROR(VLOOKUP(B914,Crosswalk!$A$2:$C$125,3,FALSE),"Unmapped")</f>
        <v/>
      </c>
    </row>
    <row r="915">
      <c r="A915" t="n">
        <v>2017</v>
      </c>
      <c r="B915" t="inlineStr">
        <is>
          <t>BS33650</t>
        </is>
      </c>
      <c r="C915" t="inlineStr">
        <is>
          <t>Railroad rolling stock manufacturing</t>
        </is>
      </c>
      <c r="D915" t="n">
        <v>2209.8</v>
      </c>
      <c r="E915">
        <f>IFERROR(VLOOKUP(B915,Crosswalk!$A$2:$C$125,3,FALSE),"Unmapped")</f>
        <v/>
      </c>
    </row>
    <row r="916">
      <c r="A916" t="n">
        <v>2017</v>
      </c>
      <c r="B916" t="inlineStr">
        <is>
          <t>BS33660</t>
        </is>
      </c>
      <c r="C916" t="inlineStr">
        <is>
          <t>Ship and boat building</t>
        </is>
      </c>
      <c r="D916" t="n">
        <v>2171.2</v>
      </c>
      <c r="E916">
        <f>IFERROR(VLOOKUP(B916,Crosswalk!$A$2:$C$125,3,FALSE),"Unmapped")</f>
        <v/>
      </c>
    </row>
    <row r="917">
      <c r="A917" t="n">
        <v>2017</v>
      </c>
      <c r="B917" t="inlineStr">
        <is>
          <t>BS33690</t>
        </is>
      </c>
      <c r="C917" t="inlineStr">
        <is>
          <t>Other transportation equipment manufacturing</t>
        </is>
      </c>
      <c r="D917" t="n">
        <v>5988.2</v>
      </c>
      <c r="E917">
        <f>IFERROR(VLOOKUP(B917,Crosswalk!$A$2:$C$125,3,FALSE),"Unmapped")</f>
        <v/>
      </c>
    </row>
    <row r="918">
      <c r="A918" t="n">
        <v>2017</v>
      </c>
      <c r="B918" t="inlineStr">
        <is>
          <t>BS33700</t>
        </is>
      </c>
      <c r="C918" t="inlineStr">
        <is>
          <t>Furniture and related product manufacturing</t>
        </is>
      </c>
      <c r="D918" t="n">
        <v>12661.8</v>
      </c>
      <c r="E918">
        <f>IFERROR(VLOOKUP(B918,Crosswalk!$A$2:$C$125,3,FALSE),"Unmapped")</f>
        <v/>
      </c>
    </row>
    <row r="919">
      <c r="A919" t="n">
        <v>2017</v>
      </c>
      <c r="B919" t="inlineStr">
        <is>
          <t>BS33900</t>
        </is>
      </c>
      <c r="C919" t="inlineStr">
        <is>
          <t>Miscellaneous manufacturing</t>
        </is>
      </c>
      <c r="D919" t="n">
        <v>13951.3</v>
      </c>
      <c r="E919">
        <f>IFERROR(VLOOKUP(B919,Crosswalk!$A$2:$C$125,3,FALSE),"Unmapped")</f>
        <v/>
      </c>
    </row>
    <row r="920">
      <c r="A920" t="n">
        <v>2017</v>
      </c>
      <c r="B920" t="inlineStr">
        <is>
          <t>BS41000</t>
        </is>
      </c>
      <c r="C920" t="inlineStr">
        <is>
          <t>Wholesale trade</t>
        </is>
      </c>
      <c r="D920" t="n">
        <v>170286.1</v>
      </c>
      <c r="E920">
        <f>IFERROR(VLOOKUP(B920,Crosswalk!$A$2:$C$125,3,FALSE),"Unmapped")</f>
        <v/>
      </c>
    </row>
    <row r="921">
      <c r="A921" t="n">
        <v>2017</v>
      </c>
      <c r="B921" t="inlineStr">
        <is>
          <t>BS459BU</t>
        </is>
      </c>
      <c r="C921" t="inlineStr">
        <is>
          <t>Cannabis retailers (unlicensed)</t>
        </is>
      </c>
      <c r="D921" t="n">
        <v>1508.4</v>
      </c>
      <c r="E921">
        <f>IFERROR(VLOOKUP(B921,Crosswalk!$A$2:$C$125,3,FALSE),"Unmapped")</f>
        <v/>
      </c>
    </row>
    <row r="922">
      <c r="A922" t="n">
        <v>2017</v>
      </c>
      <c r="B922" t="inlineStr">
        <is>
          <t>BS48100</t>
        </is>
      </c>
      <c r="C922" t="inlineStr">
        <is>
          <t>Air transportation</t>
        </is>
      </c>
      <c r="D922" t="n">
        <v>25529.7</v>
      </c>
      <c r="E922">
        <f>IFERROR(VLOOKUP(B922,Crosswalk!$A$2:$C$125,3,FALSE),"Unmapped")</f>
        <v/>
      </c>
    </row>
    <row r="923">
      <c r="A923" t="n">
        <v>2017</v>
      </c>
      <c r="B923" t="inlineStr">
        <is>
          <t>BS48200</t>
        </is>
      </c>
      <c r="C923" t="inlineStr">
        <is>
          <t>Rail transportation</t>
        </is>
      </c>
      <c r="D923" t="n">
        <v>14570.5</v>
      </c>
      <c r="E923">
        <f>IFERROR(VLOOKUP(B923,Crosswalk!$A$2:$C$125,3,FALSE),"Unmapped")</f>
        <v/>
      </c>
    </row>
    <row r="924">
      <c r="A924" t="n">
        <v>2017</v>
      </c>
      <c r="B924" t="inlineStr">
        <is>
          <t>BS48300</t>
        </is>
      </c>
      <c r="C924" t="inlineStr">
        <is>
          <t>Water transportation</t>
        </is>
      </c>
      <c r="D924" t="n">
        <v>5129.3</v>
      </c>
      <c r="E924">
        <f>IFERROR(VLOOKUP(B924,Crosswalk!$A$2:$C$125,3,FALSE),"Unmapped")</f>
        <v/>
      </c>
    </row>
    <row r="925">
      <c r="A925" t="n">
        <v>2017</v>
      </c>
      <c r="B925" t="inlineStr">
        <is>
          <t>BS48400</t>
        </is>
      </c>
      <c r="C925" t="inlineStr">
        <is>
          <t>Truck transportation</t>
        </is>
      </c>
      <c r="D925" t="n">
        <v>59488</v>
      </c>
      <c r="E925">
        <f>IFERROR(VLOOKUP(B925,Crosswalk!$A$2:$C$125,3,FALSE),"Unmapped")</f>
        <v/>
      </c>
    </row>
    <row r="926">
      <c r="A926" t="n">
        <v>2017</v>
      </c>
      <c r="B926" t="inlineStr">
        <is>
          <t>BS48600</t>
        </is>
      </c>
      <c r="C926" t="inlineStr">
        <is>
          <t>Pipeline transportation</t>
        </is>
      </c>
      <c r="D926" t="n">
        <v>12460.4</v>
      </c>
      <c r="E926">
        <f>IFERROR(VLOOKUP(B926,Crosswalk!$A$2:$C$125,3,FALSE),"Unmapped")</f>
        <v/>
      </c>
    </row>
    <row r="927">
      <c r="A927" t="n">
        <v>2017</v>
      </c>
      <c r="B927" t="inlineStr">
        <is>
          <t>BS48B00</t>
        </is>
      </c>
      <c r="C927" t="inlineStr">
        <is>
          <t>Transit, ground passenger and scenic and sightseeing transportation, taxi and limousine service and support activities for transportation</t>
        </is>
      </c>
      <c r="D927" t="n">
        <v>48463.3</v>
      </c>
      <c r="E927">
        <f>IFERROR(VLOOKUP(B927,Crosswalk!$A$2:$C$125,3,FALSE),"Unmapped")</f>
        <v/>
      </c>
    </row>
    <row r="928">
      <c r="A928" t="n">
        <v>2017</v>
      </c>
      <c r="B928" t="inlineStr">
        <is>
          <t>BS49300</t>
        </is>
      </c>
      <c r="C928" t="inlineStr">
        <is>
          <t>Warehousing and storage</t>
        </is>
      </c>
      <c r="D928" t="n">
        <v>5138.6</v>
      </c>
      <c r="E928">
        <f>IFERROR(VLOOKUP(B928,Crosswalk!$A$2:$C$125,3,FALSE),"Unmapped")</f>
        <v/>
      </c>
    </row>
    <row r="929">
      <c r="A929" t="n">
        <v>2017</v>
      </c>
      <c r="B929" t="inlineStr">
        <is>
          <t>BS49A00</t>
        </is>
      </c>
      <c r="C929" t="inlineStr">
        <is>
          <t>Postal service, couriers and messengers</t>
        </is>
      </c>
      <c r="D929" t="n">
        <v>14910.4</v>
      </c>
      <c r="E929">
        <f>IFERROR(VLOOKUP(B929,Crosswalk!$A$2:$C$125,3,FALSE),"Unmapped")</f>
        <v/>
      </c>
    </row>
    <row r="930">
      <c r="A930" t="n">
        <v>2017</v>
      </c>
      <c r="B930" t="inlineStr">
        <is>
          <t>BS4AA00</t>
        </is>
      </c>
      <c r="C930" t="inlineStr">
        <is>
          <t>Retail trade (except cannabis)</t>
        </is>
      </c>
      <c r="D930" t="n">
        <v>166907.7</v>
      </c>
      <c r="E930">
        <f>IFERROR(VLOOKUP(B930,Crosswalk!$A$2:$C$125,3,FALSE),"Unmapped")</f>
        <v/>
      </c>
    </row>
    <row r="931">
      <c r="A931" t="n">
        <v>2017</v>
      </c>
      <c r="B931" t="inlineStr">
        <is>
          <t>BS51200</t>
        </is>
      </c>
      <c r="C931" t="inlineStr">
        <is>
          <t>Motion picture and sound recording industries</t>
        </is>
      </c>
      <c r="D931" t="n">
        <v>12682.3</v>
      </c>
      <c r="E931">
        <f>IFERROR(VLOOKUP(B931,Crosswalk!$A$2:$C$125,3,FALSE),"Unmapped")</f>
        <v/>
      </c>
    </row>
    <row r="932">
      <c r="A932" t="n">
        <v>2017</v>
      </c>
      <c r="B932" t="inlineStr">
        <is>
          <t>BS51610</t>
        </is>
      </c>
      <c r="C932" t="inlineStr">
        <is>
          <t>Radio and television broadcasting stations</t>
        </is>
      </c>
      <c r="D932" t="n">
        <v>3685.7</v>
      </c>
      <c r="E932">
        <f>IFERROR(VLOOKUP(B932,Crosswalk!$A$2:$C$125,3,FALSE),"Unmapped")</f>
        <v/>
      </c>
    </row>
    <row r="933">
      <c r="A933" t="n">
        <v>2017</v>
      </c>
      <c r="B933" t="inlineStr">
        <is>
          <t>BS51B00</t>
        </is>
      </c>
      <c r="C933" t="inlineStr">
        <is>
          <t>Publishing, pay/specialty services, telecommunications and other information services</t>
        </is>
      </c>
      <c r="D933" t="n">
        <v>95160.5</v>
      </c>
      <c r="E933">
        <f>IFERROR(VLOOKUP(B933,Crosswalk!$A$2:$C$125,3,FALSE),"Unmapped")</f>
        <v/>
      </c>
    </row>
    <row r="934">
      <c r="A934" t="n">
        <v>2017</v>
      </c>
      <c r="B934" t="inlineStr">
        <is>
          <t>BS52410</t>
        </is>
      </c>
      <c r="C934" t="inlineStr">
        <is>
          <t>Insurance carriers</t>
        </is>
      </c>
      <c r="D934" t="n">
        <v>48971.3</v>
      </c>
      <c r="E934">
        <f>IFERROR(VLOOKUP(B934,Crosswalk!$A$2:$C$125,3,FALSE),"Unmapped")</f>
        <v/>
      </c>
    </row>
    <row r="935">
      <c r="A935" t="n">
        <v>2017</v>
      </c>
      <c r="B935" t="inlineStr">
        <is>
          <t>BS52B00</t>
        </is>
      </c>
      <c r="C935" t="inlineStr">
        <is>
          <t>Depository credit intermediation and monetary authorities</t>
        </is>
      </c>
      <c r="D935" t="n">
        <v>100826.3</v>
      </c>
      <c r="E935">
        <f>IFERROR(VLOOKUP(B935,Crosswalk!$A$2:$C$125,3,FALSE),"Unmapped")</f>
        <v/>
      </c>
    </row>
    <row r="936">
      <c r="A936" t="n">
        <v>2017</v>
      </c>
      <c r="B936" t="inlineStr">
        <is>
          <t>BS53110</t>
        </is>
      </c>
      <c r="C936" t="inlineStr">
        <is>
          <t>Lessors of real estate</t>
        </is>
      </c>
      <c r="D936" t="n">
        <v>103252.7</v>
      </c>
      <c r="E936">
        <f>IFERROR(VLOOKUP(B936,Crosswalk!$A$2:$C$125,3,FALSE),"Unmapped")</f>
        <v/>
      </c>
    </row>
    <row r="937">
      <c r="A937" t="n">
        <v>2017</v>
      </c>
      <c r="B937" t="inlineStr">
        <is>
          <t>BS5311A</t>
        </is>
      </c>
      <c r="C937" t="inlineStr">
        <is>
          <t>Owner-occupied dwellings</t>
        </is>
      </c>
      <c r="D937" t="n">
        <v>184490.6</v>
      </c>
      <c r="E937">
        <f>IFERROR(VLOOKUP(B937,Crosswalk!$A$2:$C$125,3,FALSE),"Unmapped")</f>
        <v/>
      </c>
    </row>
    <row r="938">
      <c r="A938" t="n">
        <v>2017</v>
      </c>
      <c r="B938" t="inlineStr">
        <is>
          <t>BS53B00</t>
        </is>
      </c>
      <c r="C938" t="inlineStr">
        <is>
          <t>Rental and leasing services and lessors of non-financial intangible assets (except copyrighted works)</t>
        </is>
      </c>
      <c r="D938" t="n">
        <v>23429.2</v>
      </c>
      <c r="E938">
        <f>IFERROR(VLOOKUP(B938,Crosswalk!$A$2:$C$125,3,FALSE),"Unmapped")</f>
        <v/>
      </c>
    </row>
    <row r="939">
      <c r="A939" t="n">
        <v>2017</v>
      </c>
      <c r="B939" t="inlineStr">
        <is>
          <t>BS54180</t>
        </is>
      </c>
      <c r="C939" t="inlineStr">
        <is>
          <t>Advertising, public relations, and related services</t>
        </is>
      </c>
      <c r="D939" t="n">
        <v>10685.6</v>
      </c>
      <c r="E939">
        <f>IFERROR(VLOOKUP(B939,Crosswalk!$A$2:$C$125,3,FALSE),"Unmapped")</f>
        <v/>
      </c>
    </row>
    <row r="940">
      <c r="A940" t="n">
        <v>2017</v>
      </c>
      <c r="B940" t="inlineStr">
        <is>
          <t>BS541C0</t>
        </is>
      </c>
      <c r="C940" t="inlineStr">
        <is>
          <t>Legal, accounting and architectural, engineering and related services</t>
        </is>
      </c>
      <c r="D940" t="n">
        <v>78526.7</v>
      </c>
      <c r="E940">
        <f>IFERROR(VLOOKUP(B940,Crosswalk!$A$2:$C$125,3,FALSE),"Unmapped")</f>
        <v/>
      </c>
    </row>
    <row r="941">
      <c r="A941" t="n">
        <v>2017</v>
      </c>
      <c r="B941" t="inlineStr">
        <is>
          <t>BS541D0</t>
        </is>
      </c>
      <c r="C941" t="inlineStr">
        <is>
          <t>Computer systems design and other professional, scientific and technical services</t>
        </is>
      </c>
      <c r="D941" t="n">
        <v>101383.5</v>
      </c>
      <c r="E941">
        <f>IFERROR(VLOOKUP(B941,Crosswalk!$A$2:$C$125,3,FALSE),"Unmapped")</f>
        <v/>
      </c>
    </row>
    <row r="942">
      <c r="A942" t="n">
        <v>2017</v>
      </c>
      <c r="B942" t="inlineStr">
        <is>
          <t>BS56100</t>
        </is>
      </c>
      <c r="C942" t="inlineStr">
        <is>
          <t>Administrative and support services</t>
        </is>
      </c>
      <c r="D942" t="n">
        <v>80234.10000000001</v>
      </c>
      <c r="E942">
        <f>IFERROR(VLOOKUP(B942,Crosswalk!$A$2:$C$125,3,FALSE),"Unmapped")</f>
        <v/>
      </c>
    </row>
    <row r="943">
      <c r="A943" t="n">
        <v>2017</v>
      </c>
      <c r="B943" t="inlineStr">
        <is>
          <t>BS56200</t>
        </is>
      </c>
      <c r="C943" t="inlineStr">
        <is>
          <t>Waste management and remediation services</t>
        </is>
      </c>
      <c r="D943" t="n">
        <v>12221.9</v>
      </c>
      <c r="E943">
        <f>IFERROR(VLOOKUP(B943,Crosswalk!$A$2:$C$125,3,FALSE),"Unmapped")</f>
        <v/>
      </c>
    </row>
    <row r="944">
      <c r="A944" t="n">
        <v>2017</v>
      </c>
      <c r="B944" t="inlineStr">
        <is>
          <t>BS5A000</t>
        </is>
      </c>
      <c r="C944" t="inlineStr">
        <is>
          <t>Other finance, insurance and real estate services and management of companies and enterprises</t>
        </is>
      </c>
      <c r="D944" t="n">
        <v>146236.2</v>
      </c>
      <c r="E944">
        <f>IFERROR(VLOOKUP(B944,Crosswalk!$A$2:$C$125,3,FALSE),"Unmapped")</f>
        <v/>
      </c>
    </row>
    <row r="945">
      <c r="A945" t="n">
        <v>2017</v>
      </c>
      <c r="B945" t="inlineStr">
        <is>
          <t>BS61000</t>
        </is>
      </c>
      <c r="C945" t="inlineStr">
        <is>
          <t>Educational services</t>
        </is>
      </c>
      <c r="D945" t="n">
        <v>7251.8</v>
      </c>
      <c r="E945">
        <f>IFERROR(VLOOKUP(B945,Crosswalk!$A$2:$C$125,3,FALSE),"Unmapped")</f>
        <v/>
      </c>
    </row>
    <row r="946">
      <c r="A946" t="n">
        <v>2017</v>
      </c>
      <c r="B946" t="inlineStr">
        <is>
          <t>BS62000</t>
        </is>
      </c>
      <c r="C946" t="inlineStr">
        <is>
          <t>Health care and social assistance</t>
        </is>
      </c>
      <c r="D946" t="n">
        <v>77782</v>
      </c>
      <c r="E946">
        <f>IFERROR(VLOOKUP(B946,Crosswalk!$A$2:$C$125,3,FALSE),"Unmapped")</f>
        <v/>
      </c>
    </row>
    <row r="947">
      <c r="A947" t="n">
        <v>2017</v>
      </c>
      <c r="B947" t="inlineStr">
        <is>
          <t>BS71000</t>
        </is>
      </c>
      <c r="C947" t="inlineStr">
        <is>
          <t>Arts, entertainment and recreation</t>
        </is>
      </c>
      <c r="D947" t="n">
        <v>27396.6</v>
      </c>
      <c r="E947">
        <f>IFERROR(VLOOKUP(B947,Crosswalk!$A$2:$C$125,3,FALSE),"Unmapped")</f>
        <v/>
      </c>
    </row>
    <row r="948">
      <c r="A948" t="n">
        <v>2017</v>
      </c>
      <c r="B948" t="inlineStr">
        <is>
          <t>BS72000</t>
        </is>
      </c>
      <c r="C948" t="inlineStr">
        <is>
          <t>Accommodation and food services</t>
        </is>
      </c>
      <c r="D948" t="n">
        <v>97122.60000000001</v>
      </c>
      <c r="E948">
        <f>IFERROR(VLOOKUP(B948,Crosswalk!$A$2:$C$125,3,FALSE),"Unmapped")</f>
        <v/>
      </c>
    </row>
    <row r="949">
      <c r="A949" t="n">
        <v>2017</v>
      </c>
      <c r="B949" t="inlineStr">
        <is>
          <t>BS81100</t>
        </is>
      </c>
      <c r="C949" t="inlineStr">
        <is>
          <t>Repair and maintenance</t>
        </is>
      </c>
      <c r="D949" t="n">
        <v>25316.5</v>
      </c>
      <c r="E949">
        <f>IFERROR(VLOOKUP(B949,Crosswalk!$A$2:$C$125,3,FALSE),"Unmapped")</f>
        <v/>
      </c>
    </row>
    <row r="950">
      <c r="A950" t="n">
        <v>2017</v>
      </c>
      <c r="B950" t="inlineStr">
        <is>
          <t>BS81300</t>
        </is>
      </c>
      <c r="C950" t="inlineStr">
        <is>
          <t>Business, professional and other membership organizations</t>
        </is>
      </c>
      <c r="D950" t="n">
        <v>4694</v>
      </c>
      <c r="E950">
        <f>IFERROR(VLOOKUP(B950,Crosswalk!$A$2:$C$125,3,FALSE),"Unmapped")</f>
        <v/>
      </c>
    </row>
    <row r="951">
      <c r="A951" t="n">
        <v>2017</v>
      </c>
      <c r="B951" t="inlineStr">
        <is>
          <t>BS81A00</t>
        </is>
      </c>
      <c r="C951" t="inlineStr">
        <is>
          <t>Personal services and private households</t>
        </is>
      </c>
      <c r="D951" t="n">
        <v>19394.2</v>
      </c>
      <c r="E951">
        <f>IFERROR(VLOOKUP(B951,Crosswalk!$A$2:$C$125,3,FALSE),"Unmapped")</f>
        <v/>
      </c>
    </row>
    <row r="952">
      <c r="A952" t="n">
        <v>2017</v>
      </c>
      <c r="B952" t="inlineStr">
        <is>
          <t>GS61130</t>
        </is>
      </c>
      <c r="C952" t="inlineStr">
        <is>
          <t>Universities</t>
        </is>
      </c>
      <c r="D952" t="n">
        <v>44889.2</v>
      </c>
      <c r="E952">
        <f>IFERROR(VLOOKUP(B952,Crosswalk!$A$2:$C$125,3,FALSE),"Unmapped")</f>
        <v/>
      </c>
    </row>
    <row r="953">
      <c r="A953" t="n">
        <v>2017</v>
      </c>
      <c r="B953" t="inlineStr">
        <is>
          <t>GS611B0</t>
        </is>
      </c>
      <c r="C953" t="inlineStr">
        <is>
          <t>Educational services (except universities)</t>
        </is>
      </c>
      <c r="D953" t="n">
        <v>75330.60000000001</v>
      </c>
      <c r="E953">
        <f>IFERROR(VLOOKUP(B953,Crosswalk!$A$2:$C$125,3,FALSE),"Unmapped")</f>
        <v/>
      </c>
    </row>
    <row r="954">
      <c r="A954" t="n">
        <v>2017</v>
      </c>
      <c r="B954" t="inlineStr">
        <is>
          <t>GS62300</t>
        </is>
      </c>
      <c r="C954" t="inlineStr">
        <is>
          <t>Nursing and residential care facilities</t>
        </is>
      </c>
      <c r="D954" t="n">
        <v>16535.3</v>
      </c>
      <c r="E954">
        <f>IFERROR(VLOOKUP(B954,Crosswalk!$A$2:$C$125,3,FALSE),"Unmapped")</f>
        <v/>
      </c>
    </row>
    <row r="955">
      <c r="A955" t="n">
        <v>2017</v>
      </c>
      <c r="B955" t="inlineStr">
        <is>
          <t>GS62B00</t>
        </is>
      </c>
      <c r="C955" t="inlineStr">
        <is>
          <t>Health care and social assistance (except nursing and residential care facilities)</t>
        </is>
      </c>
      <c r="D955" t="n">
        <v>100041.4</v>
      </c>
      <c r="E955">
        <f>IFERROR(VLOOKUP(B955,Crosswalk!$A$2:$C$125,3,FALSE),"Unmapped")</f>
        <v/>
      </c>
    </row>
    <row r="956">
      <c r="A956" t="n">
        <v>2017</v>
      </c>
      <c r="B956" t="inlineStr">
        <is>
          <t>GS91100</t>
        </is>
      </c>
      <c r="C956" t="inlineStr">
        <is>
          <t>Other federal government services</t>
        </is>
      </c>
      <c r="D956" t="n">
        <v>82776.10000000001</v>
      </c>
      <c r="E956">
        <f>IFERROR(VLOOKUP(B956,Crosswalk!$A$2:$C$125,3,FALSE),"Unmapped")</f>
        <v/>
      </c>
    </row>
    <row r="957">
      <c r="A957" t="n">
        <v>2017</v>
      </c>
      <c r="B957" t="inlineStr">
        <is>
          <t>GS91200</t>
        </is>
      </c>
      <c r="C957" t="inlineStr">
        <is>
          <t>Other provincial and territorial government services</t>
        </is>
      </c>
      <c r="D957" t="n">
        <v>126379.7</v>
      </c>
      <c r="E957">
        <f>IFERROR(VLOOKUP(B957,Crosswalk!$A$2:$C$125,3,FALSE),"Unmapped")</f>
        <v/>
      </c>
    </row>
    <row r="958">
      <c r="A958" t="n">
        <v>2017</v>
      </c>
      <c r="B958" t="inlineStr">
        <is>
          <t>GS91300</t>
        </is>
      </c>
      <c r="C958" t="inlineStr">
        <is>
          <t>Other municipal government services</t>
        </is>
      </c>
      <c r="D958" t="n">
        <v>88173.2</v>
      </c>
      <c r="E958">
        <f>IFERROR(VLOOKUP(B958,Crosswalk!$A$2:$C$125,3,FALSE),"Unmapped")</f>
        <v/>
      </c>
    </row>
    <row r="959">
      <c r="A959" t="n">
        <v>2017</v>
      </c>
      <c r="B959" t="inlineStr">
        <is>
          <t>GS91400</t>
        </is>
      </c>
      <c r="C959" t="inlineStr">
        <is>
          <t>Other Indigenous government services</t>
        </is>
      </c>
      <c r="D959" t="n">
        <v>8887.6</v>
      </c>
      <c r="E959">
        <f>IFERROR(VLOOKUP(B959,Crosswalk!$A$2:$C$125,3,FALSE),"Unmapped")</f>
        <v/>
      </c>
    </row>
    <row r="960">
      <c r="A960" t="n">
        <v>2017</v>
      </c>
      <c r="B960" t="inlineStr">
        <is>
          <t>NP61000</t>
        </is>
      </c>
      <c r="C960" t="inlineStr">
        <is>
          <t>Educational services</t>
        </is>
      </c>
      <c r="D960" t="n">
        <v>5625.5</v>
      </c>
      <c r="E960">
        <f>IFERROR(VLOOKUP(B960,Crosswalk!$A$2:$C$125,3,FALSE),"Unmapped")</f>
        <v/>
      </c>
    </row>
    <row r="961">
      <c r="A961" t="n">
        <v>2017</v>
      </c>
      <c r="B961" t="inlineStr">
        <is>
          <t>NP62400</t>
        </is>
      </c>
      <c r="C961" t="inlineStr">
        <is>
          <t>Social assistance</t>
        </is>
      </c>
      <c r="D961" t="n">
        <v>11746.2</v>
      </c>
      <c r="E961">
        <f>IFERROR(VLOOKUP(B961,Crosswalk!$A$2:$C$125,3,FALSE),"Unmapped")</f>
        <v/>
      </c>
    </row>
    <row r="962">
      <c r="A962" t="n">
        <v>2017</v>
      </c>
      <c r="B962" t="inlineStr">
        <is>
          <t>NP71000</t>
        </is>
      </c>
      <c r="C962" t="inlineStr">
        <is>
          <t>Arts, entertainment and recreation</t>
        </is>
      </c>
      <c r="D962" t="n">
        <v>2593.4</v>
      </c>
      <c r="E962">
        <f>IFERROR(VLOOKUP(B962,Crosswalk!$A$2:$C$125,3,FALSE),"Unmapped")</f>
        <v/>
      </c>
    </row>
    <row r="963">
      <c r="A963" t="n">
        <v>2017</v>
      </c>
      <c r="B963" t="inlineStr">
        <is>
          <t>NP81310</t>
        </is>
      </c>
      <c r="C963" t="inlineStr">
        <is>
          <t>Religious organizations</t>
        </is>
      </c>
      <c r="D963" t="n">
        <v>4756</v>
      </c>
      <c r="E963">
        <f>IFERROR(VLOOKUP(B963,Crosswalk!$A$2:$C$125,3,FALSE),"Unmapped")</f>
        <v/>
      </c>
    </row>
    <row r="964">
      <c r="A964" t="n">
        <v>2017</v>
      </c>
      <c r="B964" t="inlineStr">
        <is>
          <t>NPA0000</t>
        </is>
      </c>
      <c r="C964" t="inlineStr">
        <is>
          <t>Miscellaneous non-profit institutions serving households</t>
        </is>
      </c>
      <c r="D964" t="n">
        <v>25848.9</v>
      </c>
      <c r="E964">
        <f>IFERROR(VLOOKUP(B964,Crosswalk!$A$2:$C$125,3,FALSE),"Unmapped")</f>
        <v/>
      </c>
    </row>
    <row r="965">
      <c r="A965" t="n">
        <v>2018</v>
      </c>
      <c r="B965" t="inlineStr">
        <is>
          <t>BS111CL</t>
        </is>
      </c>
      <c r="C965" t="inlineStr">
        <is>
          <t>Cannabis production (licensed)</t>
        </is>
      </c>
      <c r="D965" t="n">
        <v>1160.5</v>
      </c>
      <c r="E965">
        <f>IFERROR(VLOOKUP(B965,Crosswalk!$A$2:$C$125,3,FALSE),"Unmapped")</f>
        <v/>
      </c>
    </row>
    <row r="966">
      <c r="A966" t="n">
        <v>2018</v>
      </c>
      <c r="B966" t="inlineStr">
        <is>
          <t>BS111CU</t>
        </is>
      </c>
      <c r="C966" t="inlineStr">
        <is>
          <t>Cannabis production (unlicensed)</t>
        </is>
      </c>
      <c r="D966" t="n">
        <v>4286.4</v>
      </c>
      <c r="E966">
        <f>IFERROR(VLOOKUP(B966,Crosswalk!$A$2:$C$125,3,FALSE),"Unmapped")</f>
        <v/>
      </c>
    </row>
    <row r="967">
      <c r="A967" t="n">
        <v>2018</v>
      </c>
      <c r="B967" t="inlineStr">
        <is>
          <t>BS11300</t>
        </is>
      </c>
      <c r="C967" t="inlineStr">
        <is>
          <t>Forestry and logging</t>
        </is>
      </c>
      <c r="D967" t="n">
        <v>11623.1</v>
      </c>
      <c r="E967">
        <f>IFERROR(VLOOKUP(B967,Crosswalk!$A$2:$C$125,3,FALSE),"Unmapped")</f>
        <v/>
      </c>
    </row>
    <row r="968">
      <c r="A968" t="n">
        <v>2018</v>
      </c>
      <c r="B968" t="inlineStr">
        <is>
          <t>BS11400</t>
        </is>
      </c>
      <c r="C968" t="inlineStr">
        <is>
          <t>Fishing, hunting and trapping</t>
        </is>
      </c>
      <c r="D968" t="n">
        <v>3800.3</v>
      </c>
      <c r="E968">
        <f>IFERROR(VLOOKUP(B968,Crosswalk!$A$2:$C$125,3,FALSE),"Unmapped")</f>
        <v/>
      </c>
    </row>
    <row r="969">
      <c r="A969" t="n">
        <v>2018</v>
      </c>
      <c r="B969" t="inlineStr">
        <is>
          <t>BS11500</t>
        </is>
      </c>
      <c r="C969" t="inlineStr">
        <is>
          <t>Support activities for agriculture and forestry</t>
        </is>
      </c>
      <c r="D969" t="n">
        <v>3963.1</v>
      </c>
      <c r="E969">
        <f>IFERROR(VLOOKUP(B969,Crosswalk!$A$2:$C$125,3,FALSE),"Unmapped")</f>
        <v/>
      </c>
    </row>
    <row r="970">
      <c r="A970" t="n">
        <v>2018</v>
      </c>
      <c r="B970" t="inlineStr">
        <is>
          <t>BS11B00</t>
        </is>
      </c>
      <c r="C970" t="inlineStr">
        <is>
          <t>Crop and animal production (except cannabis)</t>
        </is>
      </c>
      <c r="D970" t="n">
        <v>70938.60000000001</v>
      </c>
      <c r="E970">
        <f>IFERROR(VLOOKUP(B970,Crosswalk!$A$2:$C$125,3,FALSE),"Unmapped")</f>
        <v/>
      </c>
    </row>
    <row r="971">
      <c r="A971" t="n">
        <v>2018</v>
      </c>
      <c r="B971" t="inlineStr">
        <is>
          <t>BS21100</t>
        </is>
      </c>
      <c r="C971" t="inlineStr">
        <is>
          <t>Oil and gas extraction</t>
        </is>
      </c>
      <c r="D971" t="n">
        <v>129183.4</v>
      </c>
      <c r="E971">
        <f>IFERROR(VLOOKUP(B971,Crosswalk!$A$2:$C$125,3,FALSE),"Unmapped")</f>
        <v/>
      </c>
    </row>
    <row r="972">
      <c r="A972" t="n">
        <v>2018</v>
      </c>
      <c r="B972" t="inlineStr">
        <is>
          <t>BS21210</t>
        </is>
      </c>
      <c r="C972" t="inlineStr">
        <is>
          <t>Coal mining</t>
        </is>
      </c>
      <c r="D972" t="n">
        <v>6857.7</v>
      </c>
      <c r="E972">
        <f>IFERROR(VLOOKUP(B972,Crosswalk!$A$2:$C$125,3,FALSE),"Unmapped")</f>
        <v/>
      </c>
    </row>
    <row r="973">
      <c r="A973" t="n">
        <v>2018</v>
      </c>
      <c r="B973" t="inlineStr">
        <is>
          <t>BS21220</t>
        </is>
      </c>
      <c r="C973" t="inlineStr">
        <is>
          <t>Metal ore mining</t>
        </is>
      </c>
      <c r="D973" t="n">
        <v>26790.1</v>
      </c>
      <c r="E973">
        <f>IFERROR(VLOOKUP(B973,Crosswalk!$A$2:$C$125,3,FALSE),"Unmapped")</f>
        <v/>
      </c>
    </row>
    <row r="974">
      <c r="A974" t="n">
        <v>2018</v>
      </c>
      <c r="B974" t="inlineStr">
        <is>
          <t>BS21230</t>
        </is>
      </c>
      <c r="C974" t="inlineStr">
        <is>
          <t>Non-metallic mineral mining and quarrying</t>
        </is>
      </c>
      <c r="D974" t="n">
        <v>14192.6</v>
      </c>
      <c r="E974">
        <f>IFERROR(VLOOKUP(B974,Crosswalk!$A$2:$C$125,3,FALSE),"Unmapped")</f>
        <v/>
      </c>
    </row>
    <row r="975">
      <c r="A975" t="n">
        <v>2018</v>
      </c>
      <c r="B975" t="inlineStr">
        <is>
          <t>BS21300</t>
        </is>
      </c>
      <c r="C975" t="inlineStr">
        <is>
          <t>Support activities for mining, and oil and gas extraction</t>
        </is>
      </c>
      <c r="D975" t="n">
        <v>23713.1</v>
      </c>
      <c r="E975">
        <f>IFERROR(VLOOKUP(B975,Crosswalk!$A$2:$C$125,3,FALSE),"Unmapped")</f>
        <v/>
      </c>
    </row>
    <row r="976">
      <c r="A976" t="n">
        <v>2018</v>
      </c>
      <c r="B976" t="inlineStr">
        <is>
          <t>BS22110</t>
        </is>
      </c>
      <c r="C976" t="inlineStr">
        <is>
          <t>Electric power generation, transmission and distribution</t>
        </is>
      </c>
      <c r="D976" t="n">
        <v>50173.4</v>
      </c>
      <c r="E976">
        <f>IFERROR(VLOOKUP(B976,Crosswalk!$A$2:$C$125,3,FALSE),"Unmapped")</f>
        <v/>
      </c>
    </row>
    <row r="977">
      <c r="A977" t="n">
        <v>2018</v>
      </c>
      <c r="B977" t="inlineStr">
        <is>
          <t>BS221A0</t>
        </is>
      </c>
      <c r="C977" t="inlineStr">
        <is>
          <t>Natural gas distribution, water, sewage and other systems</t>
        </is>
      </c>
      <c r="D977" t="n">
        <v>7623.3</v>
      </c>
      <c r="E977">
        <f>IFERROR(VLOOKUP(B977,Crosswalk!$A$2:$C$125,3,FALSE),"Unmapped")</f>
        <v/>
      </c>
    </row>
    <row r="978">
      <c r="A978" t="n">
        <v>2018</v>
      </c>
      <c r="B978" t="inlineStr">
        <is>
          <t>BS23A00</t>
        </is>
      </c>
      <c r="C978" t="inlineStr">
        <is>
          <t>Residential building construction</t>
        </is>
      </c>
      <c r="D978" t="n">
        <v>126401.1</v>
      </c>
      <c r="E978">
        <f>IFERROR(VLOOKUP(B978,Crosswalk!$A$2:$C$125,3,FALSE),"Unmapped")</f>
        <v/>
      </c>
    </row>
    <row r="979">
      <c r="A979" t="n">
        <v>2018</v>
      </c>
      <c r="B979" t="inlineStr">
        <is>
          <t>BS23B00</t>
        </is>
      </c>
      <c r="C979" t="inlineStr">
        <is>
          <t>Non-residential building construction</t>
        </is>
      </c>
      <c r="D979" t="n">
        <v>52961.9</v>
      </c>
      <c r="E979">
        <f>IFERROR(VLOOKUP(B979,Crosswalk!$A$2:$C$125,3,FALSE),"Unmapped")</f>
        <v/>
      </c>
    </row>
    <row r="980">
      <c r="A980" t="n">
        <v>2018</v>
      </c>
      <c r="B980" t="inlineStr">
        <is>
          <t>BS23C10</t>
        </is>
      </c>
      <c r="C980" t="inlineStr">
        <is>
          <t>Transportation engineering construction</t>
        </is>
      </c>
      <c r="D980" t="n">
        <v>28386.3</v>
      </c>
      <c r="E980">
        <f>IFERROR(VLOOKUP(B980,Crosswalk!$A$2:$C$125,3,FALSE),"Unmapped")</f>
        <v/>
      </c>
    </row>
    <row r="981">
      <c r="A981" t="n">
        <v>2018</v>
      </c>
      <c r="B981" t="inlineStr">
        <is>
          <t>BS23C20</t>
        </is>
      </c>
      <c r="C981" t="inlineStr">
        <is>
          <t>Oil and gas engineering construction</t>
        </is>
      </c>
      <c r="D981" t="n">
        <v>44344.3</v>
      </c>
      <c r="E981">
        <f>IFERROR(VLOOKUP(B981,Crosswalk!$A$2:$C$125,3,FALSE),"Unmapped")</f>
        <v/>
      </c>
    </row>
    <row r="982">
      <c r="A982" t="n">
        <v>2018</v>
      </c>
      <c r="B982" t="inlineStr">
        <is>
          <t>BS23C30</t>
        </is>
      </c>
      <c r="C982" t="inlineStr">
        <is>
          <t>Electric power engineering construction</t>
        </is>
      </c>
      <c r="D982" t="n">
        <v>18191.1</v>
      </c>
      <c r="E982">
        <f>IFERROR(VLOOKUP(B982,Crosswalk!$A$2:$C$125,3,FALSE),"Unmapped")</f>
        <v/>
      </c>
    </row>
    <row r="983">
      <c r="A983" t="n">
        <v>2018</v>
      </c>
      <c r="B983" t="inlineStr">
        <is>
          <t>BS23C40</t>
        </is>
      </c>
      <c r="C983" t="inlineStr">
        <is>
          <t>Communication engineering construction</t>
        </is>
      </c>
      <c r="D983" t="n">
        <v>5782.6</v>
      </c>
      <c r="E983">
        <f>IFERROR(VLOOKUP(B983,Crosswalk!$A$2:$C$125,3,FALSE),"Unmapped")</f>
        <v/>
      </c>
    </row>
    <row r="984">
      <c r="A984" t="n">
        <v>2018</v>
      </c>
      <c r="B984" t="inlineStr">
        <is>
          <t>BS23C50</t>
        </is>
      </c>
      <c r="C984" t="inlineStr">
        <is>
          <t>Other engineering construction</t>
        </is>
      </c>
      <c r="D984" t="n">
        <v>20392.1</v>
      </c>
      <c r="E984">
        <f>IFERROR(VLOOKUP(B984,Crosswalk!$A$2:$C$125,3,FALSE),"Unmapped")</f>
        <v/>
      </c>
    </row>
    <row r="985">
      <c r="A985" t="n">
        <v>2018</v>
      </c>
      <c r="B985" t="inlineStr">
        <is>
          <t>BS23D00</t>
        </is>
      </c>
      <c r="C985" t="inlineStr">
        <is>
          <t>Repair construction</t>
        </is>
      </c>
      <c r="D985" t="n">
        <v>47747.8</v>
      </c>
      <c r="E985">
        <f>IFERROR(VLOOKUP(B985,Crosswalk!$A$2:$C$125,3,FALSE),"Unmapped")</f>
        <v/>
      </c>
    </row>
    <row r="986">
      <c r="A986" t="n">
        <v>2018</v>
      </c>
      <c r="B986" t="inlineStr">
        <is>
          <t>BS23E00</t>
        </is>
      </c>
      <c r="C986" t="inlineStr">
        <is>
          <t>Other activities of the construction industry</t>
        </is>
      </c>
      <c r="D986" t="n">
        <v>4465.4</v>
      </c>
      <c r="E986">
        <f>IFERROR(VLOOKUP(B986,Crosswalk!$A$2:$C$125,3,FALSE),"Unmapped")</f>
        <v/>
      </c>
    </row>
    <row r="987">
      <c r="A987" t="n">
        <v>2018</v>
      </c>
      <c r="B987" t="inlineStr">
        <is>
          <t>BS31110</t>
        </is>
      </c>
      <c r="C987" t="inlineStr">
        <is>
          <t>Animal food manufacturing</t>
        </is>
      </c>
      <c r="D987" t="n">
        <v>8885.9</v>
      </c>
      <c r="E987">
        <f>IFERROR(VLOOKUP(B987,Crosswalk!$A$2:$C$125,3,FALSE),"Unmapped")</f>
        <v/>
      </c>
    </row>
    <row r="988">
      <c r="A988" t="n">
        <v>2018</v>
      </c>
      <c r="B988" t="inlineStr">
        <is>
          <t>BS31130</t>
        </is>
      </c>
      <c r="C988" t="inlineStr">
        <is>
          <t>Sugar and confectionery product manufacturing</t>
        </is>
      </c>
      <c r="D988" t="n">
        <v>4773.5</v>
      </c>
      <c r="E988">
        <f>IFERROR(VLOOKUP(B988,Crosswalk!$A$2:$C$125,3,FALSE),"Unmapped")</f>
        <v/>
      </c>
    </row>
    <row r="989">
      <c r="A989" t="n">
        <v>2018</v>
      </c>
      <c r="B989" t="inlineStr">
        <is>
          <t>BS31140</t>
        </is>
      </c>
      <c r="C989" t="inlineStr">
        <is>
          <t>Fruit and vegetable preserving and specialty food manufacturing</t>
        </is>
      </c>
      <c r="D989" t="n">
        <v>7914.8</v>
      </c>
      <c r="E989">
        <f>IFERROR(VLOOKUP(B989,Crosswalk!$A$2:$C$125,3,FALSE),"Unmapped")</f>
        <v/>
      </c>
    </row>
    <row r="990">
      <c r="A990" t="n">
        <v>2018</v>
      </c>
      <c r="B990" t="inlineStr">
        <is>
          <t>BS31150</t>
        </is>
      </c>
      <c r="C990" t="inlineStr">
        <is>
          <t>Dairy product manufacturing</t>
        </is>
      </c>
      <c r="D990" t="n">
        <v>15683</v>
      </c>
      <c r="E990">
        <f>IFERROR(VLOOKUP(B990,Crosswalk!$A$2:$C$125,3,FALSE),"Unmapped")</f>
        <v/>
      </c>
    </row>
    <row r="991">
      <c r="A991" t="n">
        <v>2018</v>
      </c>
      <c r="B991" t="inlineStr">
        <is>
          <t>BS31160</t>
        </is>
      </c>
      <c r="C991" t="inlineStr">
        <is>
          <t>Meat product manufacturing</t>
        </is>
      </c>
      <c r="D991" t="n">
        <v>29587.8</v>
      </c>
      <c r="E991">
        <f>IFERROR(VLOOKUP(B991,Crosswalk!$A$2:$C$125,3,FALSE),"Unmapped")</f>
        <v/>
      </c>
    </row>
    <row r="992">
      <c r="A992" t="n">
        <v>2018</v>
      </c>
      <c r="B992" t="inlineStr">
        <is>
          <t>BS31170</t>
        </is>
      </c>
      <c r="C992" t="inlineStr">
        <is>
          <t>Seafood product preparation and packaging</t>
        </is>
      </c>
      <c r="D992" t="n">
        <v>6548.4</v>
      </c>
      <c r="E992">
        <f>IFERROR(VLOOKUP(B992,Crosswalk!$A$2:$C$125,3,FALSE),"Unmapped")</f>
        <v/>
      </c>
    </row>
    <row r="993">
      <c r="A993" t="n">
        <v>2018</v>
      </c>
      <c r="B993" t="inlineStr">
        <is>
          <t>BS311A0</t>
        </is>
      </c>
      <c r="C993" t="inlineStr">
        <is>
          <t>Miscellaneous food manufacturing</t>
        </is>
      </c>
      <c r="D993" t="n">
        <v>35788.6</v>
      </c>
      <c r="E993">
        <f>IFERROR(VLOOKUP(B993,Crosswalk!$A$2:$C$125,3,FALSE),"Unmapped")</f>
        <v/>
      </c>
    </row>
    <row r="994">
      <c r="A994" t="n">
        <v>2018</v>
      </c>
      <c r="B994" t="inlineStr">
        <is>
          <t>BS31211</t>
        </is>
      </c>
      <c r="C994" t="inlineStr">
        <is>
          <t>Soft drink and ice manufacturing</t>
        </is>
      </c>
      <c r="D994" t="n">
        <v>4532.8</v>
      </c>
      <c r="E994">
        <f>IFERROR(VLOOKUP(B994,Crosswalk!$A$2:$C$125,3,FALSE),"Unmapped")</f>
        <v/>
      </c>
    </row>
    <row r="995">
      <c r="A995" t="n">
        <v>2018</v>
      </c>
      <c r="B995" t="inlineStr">
        <is>
          <t>BS31212</t>
        </is>
      </c>
      <c r="C995" t="inlineStr">
        <is>
          <t>Breweries</t>
        </is>
      </c>
      <c r="D995" t="n">
        <v>6658.2</v>
      </c>
      <c r="E995">
        <f>IFERROR(VLOOKUP(B995,Crosswalk!$A$2:$C$125,3,FALSE),"Unmapped")</f>
        <v/>
      </c>
    </row>
    <row r="996">
      <c r="A996" t="n">
        <v>2018</v>
      </c>
      <c r="B996" t="inlineStr">
        <is>
          <t>BS3121A</t>
        </is>
      </c>
      <c r="C996" t="inlineStr">
        <is>
          <t>Wineries and distilleries</t>
        </is>
      </c>
      <c r="D996" t="n">
        <v>2790.6</v>
      </c>
      <c r="E996">
        <f>IFERROR(VLOOKUP(B996,Crosswalk!$A$2:$C$125,3,FALSE),"Unmapped")</f>
        <v/>
      </c>
    </row>
    <row r="997">
      <c r="A997" t="n">
        <v>2018</v>
      </c>
      <c r="B997" t="inlineStr">
        <is>
          <t>BS312A0</t>
        </is>
      </c>
      <c r="C997" t="inlineStr">
        <is>
          <t>Tobacco and cannabis product manufacturing</t>
        </is>
      </c>
      <c r="D997" t="n">
        <v>2521.4</v>
      </c>
      <c r="E997">
        <f>IFERROR(VLOOKUP(B997,Crosswalk!$A$2:$C$125,3,FALSE),"Unmapped")</f>
        <v/>
      </c>
    </row>
    <row r="998">
      <c r="A998" t="n">
        <v>2018</v>
      </c>
      <c r="B998" t="inlineStr">
        <is>
          <t>BS31A00</t>
        </is>
      </c>
      <c r="C998" t="inlineStr">
        <is>
          <t>Textile and textile product mills</t>
        </is>
      </c>
      <c r="D998" t="n">
        <v>3626.1</v>
      </c>
      <c r="E998">
        <f>IFERROR(VLOOKUP(B998,Crosswalk!$A$2:$C$125,3,FALSE),"Unmapped")</f>
        <v/>
      </c>
    </row>
    <row r="999">
      <c r="A999" t="n">
        <v>2018</v>
      </c>
      <c r="B999" t="inlineStr">
        <is>
          <t>BS31B00</t>
        </is>
      </c>
      <c r="C999" t="inlineStr">
        <is>
          <t>Clothing and leather and allied product manufacturing</t>
        </is>
      </c>
      <c r="D999" t="n">
        <v>3362.4</v>
      </c>
      <c r="E999">
        <f>IFERROR(VLOOKUP(B999,Crosswalk!$A$2:$C$125,3,FALSE),"Unmapped")</f>
        <v/>
      </c>
    </row>
    <row r="1000">
      <c r="A1000" t="n">
        <v>2018</v>
      </c>
      <c r="B1000" t="inlineStr">
        <is>
          <t>BS32100</t>
        </is>
      </c>
      <c r="C1000" t="inlineStr">
        <is>
          <t>Wood product manufacturing</t>
        </is>
      </c>
      <c r="D1000" t="n">
        <v>37055.3</v>
      </c>
      <c r="E1000">
        <f>IFERROR(VLOOKUP(B1000,Crosswalk!$A$2:$C$125,3,FALSE),"Unmapped")</f>
        <v/>
      </c>
    </row>
    <row r="1001">
      <c r="A1001" t="n">
        <v>2018</v>
      </c>
      <c r="B1001" t="inlineStr">
        <is>
          <t>BS32210</t>
        </is>
      </c>
      <c r="C1001" t="inlineStr">
        <is>
          <t>Pulp, paper and paperboard mills</t>
        </is>
      </c>
      <c r="D1001" t="n">
        <v>20477.9</v>
      </c>
      <c r="E1001">
        <f>IFERROR(VLOOKUP(B1001,Crosswalk!$A$2:$C$125,3,FALSE),"Unmapped")</f>
        <v/>
      </c>
    </row>
    <row r="1002">
      <c r="A1002" t="n">
        <v>2018</v>
      </c>
      <c r="B1002" t="inlineStr">
        <is>
          <t>BS32220</t>
        </is>
      </c>
      <c r="C1002" t="inlineStr">
        <is>
          <t>Converted paper product manufacturing</t>
        </is>
      </c>
      <c r="D1002" t="n">
        <v>11194.1</v>
      </c>
      <c r="E1002">
        <f>IFERROR(VLOOKUP(B1002,Crosswalk!$A$2:$C$125,3,FALSE),"Unmapped")</f>
        <v/>
      </c>
    </row>
    <row r="1003">
      <c r="A1003" t="n">
        <v>2018</v>
      </c>
      <c r="B1003" t="inlineStr">
        <is>
          <t>BS32300</t>
        </is>
      </c>
      <c r="C1003" t="inlineStr">
        <is>
          <t>Printing and related support activities</t>
        </is>
      </c>
      <c r="D1003" t="n">
        <v>10109.2</v>
      </c>
      <c r="E1003">
        <f>IFERROR(VLOOKUP(B1003,Crosswalk!$A$2:$C$125,3,FALSE),"Unmapped")</f>
        <v/>
      </c>
    </row>
    <row r="1004">
      <c r="A1004" t="n">
        <v>2018</v>
      </c>
      <c r="B1004" t="inlineStr">
        <is>
          <t>BS32400</t>
        </is>
      </c>
      <c r="C1004" t="inlineStr">
        <is>
          <t>Petroleum and coal product manufacturing</t>
        </is>
      </c>
      <c r="D1004" t="n">
        <v>78712.10000000001</v>
      </c>
      <c r="E1004">
        <f>IFERROR(VLOOKUP(B1004,Crosswalk!$A$2:$C$125,3,FALSE),"Unmapped")</f>
        <v/>
      </c>
    </row>
    <row r="1005">
      <c r="A1005" t="n">
        <v>2018</v>
      </c>
      <c r="B1005" t="inlineStr">
        <is>
          <t>BS32510</t>
        </is>
      </c>
      <c r="C1005" t="inlineStr">
        <is>
          <t>Basic chemical manufacturing</t>
        </is>
      </c>
      <c r="D1005" t="n">
        <v>18956.8</v>
      </c>
      <c r="E1005">
        <f>IFERROR(VLOOKUP(B1005,Crosswalk!$A$2:$C$125,3,FALSE),"Unmapped")</f>
        <v/>
      </c>
    </row>
    <row r="1006">
      <c r="A1006" t="n">
        <v>2018</v>
      </c>
      <c r="B1006" t="inlineStr">
        <is>
          <t>BS32530</t>
        </is>
      </c>
      <c r="C1006" t="inlineStr">
        <is>
          <t>Pesticide, fertilizer and other agricultural chemical manufacturing</t>
        </is>
      </c>
      <c r="D1006" t="n">
        <v>6123.9</v>
      </c>
      <c r="E1006">
        <f>IFERROR(VLOOKUP(B1006,Crosswalk!$A$2:$C$125,3,FALSE),"Unmapped")</f>
        <v/>
      </c>
    </row>
    <row r="1007">
      <c r="A1007" t="n">
        <v>2018</v>
      </c>
      <c r="B1007" t="inlineStr">
        <is>
          <t>BS32540</t>
        </is>
      </c>
      <c r="C1007" t="inlineStr">
        <is>
          <t>Pharmaceutical and medicine manufacturing</t>
        </is>
      </c>
      <c r="D1007" t="n">
        <v>13127.3</v>
      </c>
      <c r="E1007">
        <f>IFERROR(VLOOKUP(B1007,Crosswalk!$A$2:$C$125,3,FALSE),"Unmapped")</f>
        <v/>
      </c>
    </row>
    <row r="1008">
      <c r="A1008" t="n">
        <v>2018</v>
      </c>
      <c r="B1008" t="inlineStr">
        <is>
          <t>BS325C0</t>
        </is>
      </c>
      <c r="C1008" t="inlineStr">
        <is>
          <t>Miscellaneous chemical product manufacturing</t>
        </is>
      </c>
      <c r="D1008" t="n">
        <v>24293.9</v>
      </c>
      <c r="E1008">
        <f>IFERROR(VLOOKUP(B1008,Crosswalk!$A$2:$C$125,3,FALSE),"Unmapped")</f>
        <v/>
      </c>
    </row>
    <row r="1009">
      <c r="A1009" t="n">
        <v>2018</v>
      </c>
      <c r="B1009" t="inlineStr">
        <is>
          <t>BS32610</t>
        </is>
      </c>
      <c r="C1009" t="inlineStr">
        <is>
          <t>Plastic product manufacturing</t>
        </is>
      </c>
      <c r="D1009" t="n">
        <v>26703.8</v>
      </c>
      <c r="E1009">
        <f>IFERROR(VLOOKUP(B1009,Crosswalk!$A$2:$C$125,3,FALSE),"Unmapped")</f>
        <v/>
      </c>
    </row>
    <row r="1010">
      <c r="A1010" t="n">
        <v>2018</v>
      </c>
      <c r="B1010" t="inlineStr">
        <is>
          <t>BS32620</t>
        </is>
      </c>
      <c r="C1010" t="inlineStr">
        <is>
          <t>Rubber product manufacturing</t>
        </is>
      </c>
      <c r="D1010" t="n">
        <v>5823.5</v>
      </c>
      <c r="E1010">
        <f>IFERROR(VLOOKUP(B1010,Crosswalk!$A$2:$C$125,3,FALSE),"Unmapped")</f>
        <v/>
      </c>
    </row>
    <row r="1011">
      <c r="A1011" t="n">
        <v>2018</v>
      </c>
      <c r="B1011" t="inlineStr">
        <is>
          <t>BS32730</t>
        </is>
      </c>
      <c r="C1011" t="inlineStr">
        <is>
          <t>Cement and concrete product manufacturing</t>
        </is>
      </c>
      <c r="D1011" t="n">
        <v>10786</v>
      </c>
      <c r="E1011">
        <f>IFERROR(VLOOKUP(B1011,Crosswalk!$A$2:$C$125,3,FALSE),"Unmapped")</f>
        <v/>
      </c>
    </row>
    <row r="1012">
      <c r="A1012" t="n">
        <v>2018</v>
      </c>
      <c r="B1012" t="inlineStr">
        <is>
          <t>BS327A0</t>
        </is>
      </c>
      <c r="C1012" t="inlineStr">
        <is>
          <t>Non-metallic mineral product manufacturing (except cement and concrete products)</t>
        </is>
      </c>
      <c r="D1012" t="n">
        <v>7226.8</v>
      </c>
      <c r="E1012">
        <f>IFERROR(VLOOKUP(B1012,Crosswalk!$A$2:$C$125,3,FALSE),"Unmapped")</f>
        <v/>
      </c>
    </row>
    <row r="1013">
      <c r="A1013" t="n">
        <v>2018</v>
      </c>
      <c r="B1013" t="inlineStr">
        <is>
          <t>BS33100</t>
        </is>
      </c>
      <c r="C1013" t="inlineStr">
        <is>
          <t>Primary metal manufacturing</t>
        </is>
      </c>
      <c r="D1013" t="n">
        <v>75510.8</v>
      </c>
      <c r="E1013">
        <f>IFERROR(VLOOKUP(B1013,Crosswalk!$A$2:$C$125,3,FALSE),"Unmapped")</f>
        <v/>
      </c>
    </row>
    <row r="1014">
      <c r="A1014" t="n">
        <v>2018</v>
      </c>
      <c r="B1014" t="inlineStr">
        <is>
          <t>BS33200</t>
        </is>
      </c>
      <c r="C1014" t="inlineStr">
        <is>
          <t>Fabricated metal product manufacturing</t>
        </is>
      </c>
      <c r="D1014" t="n">
        <v>41147.4</v>
      </c>
      <c r="E1014">
        <f>IFERROR(VLOOKUP(B1014,Crosswalk!$A$2:$C$125,3,FALSE),"Unmapped")</f>
        <v/>
      </c>
    </row>
    <row r="1015">
      <c r="A1015" t="n">
        <v>2018</v>
      </c>
      <c r="B1015" t="inlineStr">
        <is>
          <t>BS33300</t>
        </is>
      </c>
      <c r="C1015" t="inlineStr">
        <is>
          <t>Machinery manufacturing</t>
        </is>
      </c>
      <c r="D1015" t="n">
        <v>42502.6</v>
      </c>
      <c r="E1015">
        <f>IFERROR(VLOOKUP(B1015,Crosswalk!$A$2:$C$125,3,FALSE),"Unmapped")</f>
        <v/>
      </c>
    </row>
    <row r="1016">
      <c r="A1016" t="n">
        <v>2018</v>
      </c>
      <c r="B1016" t="inlineStr">
        <is>
          <t>BS33400</t>
        </is>
      </c>
      <c r="C1016" t="inlineStr">
        <is>
          <t>Computer and electronic product manufacturing</t>
        </is>
      </c>
      <c r="D1016" t="n">
        <v>15975.9</v>
      </c>
      <c r="E1016">
        <f>IFERROR(VLOOKUP(B1016,Crosswalk!$A$2:$C$125,3,FALSE),"Unmapped")</f>
        <v/>
      </c>
    </row>
    <row r="1017">
      <c r="A1017" t="n">
        <v>2018</v>
      </c>
      <c r="B1017" t="inlineStr">
        <is>
          <t>BS33500</t>
        </is>
      </c>
      <c r="C1017" t="inlineStr">
        <is>
          <t>Electrical equipment, appliance and component manufacturing</t>
        </is>
      </c>
      <c r="D1017" t="n">
        <v>11621.1</v>
      </c>
      <c r="E1017">
        <f>IFERROR(VLOOKUP(B1017,Crosswalk!$A$2:$C$125,3,FALSE),"Unmapped")</f>
        <v/>
      </c>
    </row>
    <row r="1018">
      <c r="A1018" t="n">
        <v>2018</v>
      </c>
      <c r="B1018" t="inlineStr">
        <is>
          <t>BS33610</t>
        </is>
      </c>
      <c r="C1018" t="inlineStr">
        <is>
          <t>Motor vehicle manufacturing</t>
        </is>
      </c>
      <c r="D1018" t="n">
        <v>60675.8</v>
      </c>
      <c r="E1018">
        <f>IFERROR(VLOOKUP(B1018,Crosswalk!$A$2:$C$125,3,FALSE),"Unmapped")</f>
        <v/>
      </c>
    </row>
    <row r="1019">
      <c r="A1019" t="n">
        <v>2018</v>
      </c>
      <c r="B1019" t="inlineStr">
        <is>
          <t>BS33620</t>
        </is>
      </c>
      <c r="C1019" t="inlineStr">
        <is>
          <t>Motor vehicle body and trailer manufacturing</t>
        </is>
      </c>
      <c r="D1019" t="n">
        <v>4190.6</v>
      </c>
      <c r="E1019">
        <f>IFERROR(VLOOKUP(B1019,Crosswalk!$A$2:$C$125,3,FALSE),"Unmapped")</f>
        <v/>
      </c>
    </row>
    <row r="1020">
      <c r="A1020" t="n">
        <v>2018</v>
      </c>
      <c r="B1020" t="inlineStr">
        <is>
          <t>BS33630</t>
        </is>
      </c>
      <c r="C1020" t="inlineStr">
        <is>
          <t>Motor vehicle parts manufacturing</t>
        </is>
      </c>
      <c r="D1020" t="n">
        <v>34844.4</v>
      </c>
      <c r="E1020">
        <f>IFERROR(VLOOKUP(B1020,Crosswalk!$A$2:$C$125,3,FALSE),"Unmapped")</f>
        <v/>
      </c>
    </row>
    <row r="1021">
      <c r="A1021" t="n">
        <v>2018</v>
      </c>
      <c r="B1021" t="inlineStr">
        <is>
          <t>BS33640</t>
        </is>
      </c>
      <c r="C1021" t="inlineStr">
        <is>
          <t>Aerospace product and parts manufacturing</t>
        </is>
      </c>
      <c r="D1021" t="n">
        <v>24658.5</v>
      </c>
      <c r="E1021">
        <f>IFERROR(VLOOKUP(B1021,Crosswalk!$A$2:$C$125,3,FALSE),"Unmapped")</f>
        <v/>
      </c>
    </row>
    <row r="1022">
      <c r="A1022" t="n">
        <v>2018</v>
      </c>
      <c r="B1022" t="inlineStr">
        <is>
          <t>BS33650</t>
        </is>
      </c>
      <c r="C1022" t="inlineStr">
        <is>
          <t>Railroad rolling stock manufacturing</t>
        </is>
      </c>
      <c r="D1022" t="n">
        <v>2395.9</v>
      </c>
      <c r="E1022">
        <f>IFERROR(VLOOKUP(B1022,Crosswalk!$A$2:$C$125,3,FALSE),"Unmapped")</f>
        <v/>
      </c>
    </row>
    <row r="1023">
      <c r="A1023" t="n">
        <v>2018</v>
      </c>
      <c r="B1023" t="inlineStr">
        <is>
          <t>BS33660</t>
        </is>
      </c>
      <c r="C1023" t="inlineStr">
        <is>
          <t>Ship and boat building</t>
        </is>
      </c>
      <c r="D1023" t="n">
        <v>2110.3</v>
      </c>
      <c r="E1023">
        <f>IFERROR(VLOOKUP(B1023,Crosswalk!$A$2:$C$125,3,FALSE),"Unmapped")</f>
        <v/>
      </c>
    </row>
    <row r="1024">
      <c r="A1024" t="n">
        <v>2018</v>
      </c>
      <c r="B1024" t="inlineStr">
        <is>
          <t>BS33690</t>
        </is>
      </c>
      <c r="C1024" t="inlineStr">
        <is>
          <t>Other transportation equipment manufacturing</t>
        </is>
      </c>
      <c r="D1024" t="n">
        <v>6748.8</v>
      </c>
      <c r="E1024">
        <f>IFERROR(VLOOKUP(B1024,Crosswalk!$A$2:$C$125,3,FALSE),"Unmapped")</f>
        <v/>
      </c>
    </row>
    <row r="1025">
      <c r="A1025" t="n">
        <v>2018</v>
      </c>
      <c r="B1025" t="inlineStr">
        <is>
          <t>BS33700</t>
        </is>
      </c>
      <c r="C1025" t="inlineStr">
        <is>
          <t>Furniture and related product manufacturing</t>
        </is>
      </c>
      <c r="D1025" t="n">
        <v>13557.2</v>
      </c>
      <c r="E1025">
        <f>IFERROR(VLOOKUP(B1025,Crosswalk!$A$2:$C$125,3,FALSE),"Unmapped")</f>
        <v/>
      </c>
    </row>
    <row r="1026">
      <c r="A1026" t="n">
        <v>2018</v>
      </c>
      <c r="B1026" t="inlineStr">
        <is>
          <t>BS33900</t>
        </is>
      </c>
      <c r="C1026" t="inlineStr">
        <is>
          <t>Miscellaneous manufacturing</t>
        </is>
      </c>
      <c r="D1026" t="n">
        <v>14693.8</v>
      </c>
      <c r="E1026">
        <f>IFERROR(VLOOKUP(B1026,Crosswalk!$A$2:$C$125,3,FALSE),"Unmapped")</f>
        <v/>
      </c>
    </row>
    <row r="1027">
      <c r="A1027" t="n">
        <v>2018</v>
      </c>
      <c r="B1027" t="inlineStr">
        <is>
          <t>BS41000</t>
        </is>
      </c>
      <c r="C1027" t="inlineStr">
        <is>
          <t>Wholesale trade</t>
        </is>
      </c>
      <c r="D1027" t="n">
        <v>175581.4</v>
      </c>
      <c r="E1027">
        <f>IFERROR(VLOOKUP(B1027,Crosswalk!$A$2:$C$125,3,FALSE),"Unmapped")</f>
        <v/>
      </c>
    </row>
    <row r="1028">
      <c r="A1028" t="n">
        <v>2018</v>
      </c>
      <c r="B1028" t="inlineStr">
        <is>
          <t>BS459BL</t>
        </is>
      </c>
      <c r="C1028" t="inlineStr">
        <is>
          <t>Cannabis retailers (licensed)</t>
        </is>
      </c>
      <c r="D1028" t="n">
        <v>37.7</v>
      </c>
      <c r="E1028">
        <f>IFERROR(VLOOKUP(B1028,Crosswalk!$A$2:$C$125,3,FALSE),"Unmapped")</f>
        <v/>
      </c>
    </row>
    <row r="1029">
      <c r="A1029" t="n">
        <v>2018</v>
      </c>
      <c r="B1029" t="inlineStr">
        <is>
          <t>BS459BU</t>
        </is>
      </c>
      <c r="C1029" t="inlineStr">
        <is>
          <t>Cannabis retailers (unlicensed)</t>
        </is>
      </c>
      <c r="D1029" t="n">
        <v>1487.3</v>
      </c>
      <c r="E1029">
        <f>IFERROR(VLOOKUP(B1029,Crosswalk!$A$2:$C$125,3,FALSE),"Unmapped")</f>
        <v/>
      </c>
    </row>
    <row r="1030">
      <c r="A1030" t="n">
        <v>2018</v>
      </c>
      <c r="B1030" t="inlineStr">
        <is>
          <t>BS48100</t>
        </is>
      </c>
      <c r="C1030" t="inlineStr">
        <is>
          <t>Air transportation</t>
        </is>
      </c>
      <c r="D1030" t="n">
        <v>27425.6</v>
      </c>
      <c r="E1030">
        <f>IFERROR(VLOOKUP(B1030,Crosswalk!$A$2:$C$125,3,FALSE),"Unmapped")</f>
        <v/>
      </c>
    </row>
    <row r="1031">
      <c r="A1031" t="n">
        <v>2018</v>
      </c>
      <c r="B1031" t="inlineStr">
        <is>
          <t>BS48200</t>
        </is>
      </c>
      <c r="C1031" t="inlineStr">
        <is>
          <t>Rail transportation</t>
        </is>
      </c>
      <c r="D1031" t="n">
        <v>16006.9</v>
      </c>
      <c r="E1031">
        <f>IFERROR(VLOOKUP(B1031,Crosswalk!$A$2:$C$125,3,FALSE),"Unmapped")</f>
        <v/>
      </c>
    </row>
    <row r="1032">
      <c r="A1032" t="n">
        <v>2018</v>
      </c>
      <c r="B1032" t="inlineStr">
        <is>
          <t>BS48300</t>
        </is>
      </c>
      <c r="C1032" t="inlineStr">
        <is>
          <t>Water transportation</t>
        </is>
      </c>
      <c r="D1032" t="n">
        <v>4952.1</v>
      </c>
      <c r="E1032">
        <f>IFERROR(VLOOKUP(B1032,Crosswalk!$A$2:$C$125,3,FALSE),"Unmapped")</f>
        <v/>
      </c>
    </row>
    <row r="1033">
      <c r="A1033" t="n">
        <v>2018</v>
      </c>
      <c r="B1033" t="inlineStr">
        <is>
          <t>BS48400</t>
        </is>
      </c>
      <c r="C1033" t="inlineStr">
        <is>
          <t>Truck transportation</t>
        </is>
      </c>
      <c r="D1033" t="n">
        <v>65102.2</v>
      </c>
      <c r="E1033">
        <f>IFERROR(VLOOKUP(B1033,Crosswalk!$A$2:$C$125,3,FALSE),"Unmapped")</f>
        <v/>
      </c>
    </row>
    <row r="1034">
      <c r="A1034" t="n">
        <v>2018</v>
      </c>
      <c r="B1034" t="inlineStr">
        <is>
          <t>BS48600</t>
        </is>
      </c>
      <c r="C1034" t="inlineStr">
        <is>
          <t>Pipeline transportation</t>
        </is>
      </c>
      <c r="D1034" t="n">
        <v>13187.1</v>
      </c>
      <c r="E1034">
        <f>IFERROR(VLOOKUP(B1034,Crosswalk!$A$2:$C$125,3,FALSE),"Unmapped")</f>
        <v/>
      </c>
    </row>
    <row r="1035">
      <c r="A1035" t="n">
        <v>2018</v>
      </c>
      <c r="B1035" t="inlineStr">
        <is>
          <t>BS48B00</t>
        </is>
      </c>
      <c r="C1035" t="inlineStr">
        <is>
          <t>Transit, ground passenger and scenic and sightseeing transportation, taxi and limousine service and support activities for transportation</t>
        </is>
      </c>
      <c r="D1035" t="n">
        <v>52089.4</v>
      </c>
      <c r="E1035">
        <f>IFERROR(VLOOKUP(B1035,Crosswalk!$A$2:$C$125,3,FALSE),"Unmapped")</f>
        <v/>
      </c>
    </row>
    <row r="1036">
      <c r="A1036" t="n">
        <v>2018</v>
      </c>
      <c r="B1036" t="inlineStr">
        <is>
          <t>BS49300</t>
        </is>
      </c>
      <c r="C1036" t="inlineStr">
        <is>
          <t>Warehousing and storage</t>
        </is>
      </c>
      <c r="D1036" t="n">
        <v>6022.2</v>
      </c>
      <c r="E1036">
        <f>IFERROR(VLOOKUP(B1036,Crosswalk!$A$2:$C$125,3,FALSE),"Unmapped")</f>
        <v/>
      </c>
    </row>
    <row r="1037">
      <c r="A1037" t="n">
        <v>2018</v>
      </c>
      <c r="B1037" t="inlineStr">
        <is>
          <t>BS49A00</t>
        </is>
      </c>
      <c r="C1037" t="inlineStr">
        <is>
          <t>Postal service, couriers and messengers</t>
        </is>
      </c>
      <c r="D1037" t="n">
        <v>16337.7</v>
      </c>
      <c r="E1037">
        <f>IFERROR(VLOOKUP(B1037,Crosswalk!$A$2:$C$125,3,FALSE),"Unmapped")</f>
        <v/>
      </c>
    </row>
    <row r="1038">
      <c r="A1038" t="n">
        <v>2018</v>
      </c>
      <c r="B1038" t="inlineStr">
        <is>
          <t>BS4AA00</t>
        </is>
      </c>
      <c r="C1038" t="inlineStr">
        <is>
          <t>Retail trade (except cannabis)</t>
        </is>
      </c>
      <c r="D1038" t="n">
        <v>170863.6</v>
      </c>
      <c r="E1038">
        <f>IFERROR(VLOOKUP(B1038,Crosswalk!$A$2:$C$125,3,FALSE),"Unmapped")</f>
        <v/>
      </c>
    </row>
    <row r="1039">
      <c r="A1039" t="n">
        <v>2018</v>
      </c>
      <c r="B1039" t="inlineStr">
        <is>
          <t>BS51200</t>
        </is>
      </c>
      <c r="C1039" t="inlineStr">
        <is>
          <t>Motion picture and sound recording industries</t>
        </is>
      </c>
      <c r="D1039" t="n">
        <v>13389.9</v>
      </c>
      <c r="E1039">
        <f>IFERROR(VLOOKUP(B1039,Crosswalk!$A$2:$C$125,3,FALSE),"Unmapped")</f>
        <v/>
      </c>
    </row>
    <row r="1040">
      <c r="A1040" t="n">
        <v>2018</v>
      </c>
      <c r="B1040" t="inlineStr">
        <is>
          <t>BS51610</t>
        </is>
      </c>
      <c r="C1040" t="inlineStr">
        <is>
          <t>Radio and television broadcasting stations</t>
        </is>
      </c>
      <c r="D1040" t="n">
        <v>3664.8</v>
      </c>
      <c r="E1040">
        <f>IFERROR(VLOOKUP(B1040,Crosswalk!$A$2:$C$125,3,FALSE),"Unmapped")</f>
        <v/>
      </c>
    </row>
    <row r="1041">
      <c r="A1041" t="n">
        <v>2018</v>
      </c>
      <c r="B1041" t="inlineStr">
        <is>
          <t>BS51B00</t>
        </is>
      </c>
      <c r="C1041" t="inlineStr">
        <is>
          <t>Publishing, pay/specialty services, telecommunications and other information services</t>
        </is>
      </c>
      <c r="D1041" t="n">
        <v>98050.89999999999</v>
      </c>
      <c r="E1041">
        <f>IFERROR(VLOOKUP(B1041,Crosswalk!$A$2:$C$125,3,FALSE),"Unmapped")</f>
        <v/>
      </c>
    </row>
    <row r="1042">
      <c r="A1042" t="n">
        <v>2018</v>
      </c>
      <c r="B1042" t="inlineStr">
        <is>
          <t>BS52410</t>
        </is>
      </c>
      <c r="C1042" t="inlineStr">
        <is>
          <t>Insurance carriers</t>
        </is>
      </c>
      <c r="D1042" t="n">
        <v>49020.6</v>
      </c>
      <c r="E1042">
        <f>IFERROR(VLOOKUP(B1042,Crosswalk!$A$2:$C$125,3,FALSE),"Unmapped")</f>
        <v/>
      </c>
    </row>
    <row r="1043">
      <c r="A1043" t="n">
        <v>2018</v>
      </c>
      <c r="B1043" t="inlineStr">
        <is>
          <t>BS52B00</t>
        </is>
      </c>
      <c r="C1043" t="inlineStr">
        <is>
          <t>Depository credit intermediation and monetary authorities</t>
        </is>
      </c>
      <c r="D1043" t="n">
        <v>103364.3</v>
      </c>
      <c r="E1043">
        <f>IFERROR(VLOOKUP(B1043,Crosswalk!$A$2:$C$125,3,FALSE),"Unmapped")</f>
        <v/>
      </c>
    </row>
    <row r="1044">
      <c r="A1044" t="n">
        <v>2018</v>
      </c>
      <c r="B1044" t="inlineStr">
        <is>
          <t>BS53110</t>
        </is>
      </c>
      <c r="C1044" t="inlineStr">
        <is>
          <t>Lessors of real estate</t>
        </is>
      </c>
      <c r="D1044" t="n">
        <v>107379.3</v>
      </c>
      <c r="E1044">
        <f>IFERROR(VLOOKUP(B1044,Crosswalk!$A$2:$C$125,3,FALSE),"Unmapped")</f>
        <v/>
      </c>
    </row>
    <row r="1045">
      <c r="A1045" t="n">
        <v>2018</v>
      </c>
      <c r="B1045" t="inlineStr">
        <is>
          <t>BS5311A</t>
        </is>
      </c>
      <c r="C1045" t="inlineStr">
        <is>
          <t>Owner-occupied dwellings</t>
        </is>
      </c>
      <c r="D1045" t="n">
        <v>192195.8</v>
      </c>
      <c r="E1045">
        <f>IFERROR(VLOOKUP(B1045,Crosswalk!$A$2:$C$125,3,FALSE),"Unmapped")</f>
        <v/>
      </c>
    </row>
    <row r="1046">
      <c r="A1046" t="n">
        <v>2018</v>
      </c>
      <c r="B1046" t="inlineStr">
        <is>
          <t>BS53B00</t>
        </is>
      </c>
      <c r="C1046" t="inlineStr">
        <is>
          <t>Rental and leasing services and lessors of non-financial intangible assets (except copyrighted works)</t>
        </is>
      </c>
      <c r="D1046" t="n">
        <v>24943.4</v>
      </c>
      <c r="E1046">
        <f>IFERROR(VLOOKUP(B1046,Crosswalk!$A$2:$C$125,3,FALSE),"Unmapped")</f>
        <v/>
      </c>
    </row>
    <row r="1047">
      <c r="A1047" t="n">
        <v>2018</v>
      </c>
      <c r="B1047" t="inlineStr">
        <is>
          <t>BS54180</t>
        </is>
      </c>
      <c r="C1047" t="inlineStr">
        <is>
          <t>Advertising, public relations, and related services</t>
        </is>
      </c>
      <c r="D1047" t="n">
        <v>10924.7</v>
      </c>
      <c r="E1047">
        <f>IFERROR(VLOOKUP(B1047,Crosswalk!$A$2:$C$125,3,FALSE),"Unmapped")</f>
        <v/>
      </c>
    </row>
    <row r="1048">
      <c r="A1048" t="n">
        <v>2018</v>
      </c>
      <c r="B1048" t="inlineStr">
        <is>
          <t>BS541C0</t>
        </is>
      </c>
      <c r="C1048" t="inlineStr">
        <is>
          <t>Legal, accounting and architectural, engineering and related services</t>
        </is>
      </c>
      <c r="D1048" t="n">
        <v>81609.39999999999</v>
      </c>
      <c r="E1048">
        <f>IFERROR(VLOOKUP(B1048,Crosswalk!$A$2:$C$125,3,FALSE),"Unmapped")</f>
        <v/>
      </c>
    </row>
    <row r="1049">
      <c r="A1049" t="n">
        <v>2018</v>
      </c>
      <c r="B1049" t="inlineStr">
        <is>
          <t>BS541D0</t>
        </is>
      </c>
      <c r="C1049" t="inlineStr">
        <is>
          <t>Computer systems design and other professional, scientific and technical services</t>
        </is>
      </c>
      <c r="D1049" t="n">
        <v>107397.8</v>
      </c>
      <c r="E1049">
        <f>IFERROR(VLOOKUP(B1049,Crosswalk!$A$2:$C$125,3,FALSE),"Unmapped")</f>
        <v/>
      </c>
    </row>
    <row r="1050">
      <c r="A1050" t="n">
        <v>2018</v>
      </c>
      <c r="B1050" t="inlineStr">
        <is>
          <t>BS56100</t>
        </is>
      </c>
      <c r="C1050" t="inlineStr">
        <is>
          <t>Administrative and support services</t>
        </is>
      </c>
      <c r="D1050" t="n">
        <v>83962.39999999999</v>
      </c>
      <c r="E1050">
        <f>IFERROR(VLOOKUP(B1050,Crosswalk!$A$2:$C$125,3,FALSE),"Unmapped")</f>
        <v/>
      </c>
    </row>
    <row r="1051">
      <c r="A1051" t="n">
        <v>2018</v>
      </c>
      <c r="B1051" t="inlineStr">
        <is>
          <t>BS56200</t>
        </is>
      </c>
      <c r="C1051" t="inlineStr">
        <is>
          <t>Waste management and remediation services</t>
        </is>
      </c>
      <c r="D1051" t="n">
        <v>13113.6</v>
      </c>
      <c r="E1051">
        <f>IFERROR(VLOOKUP(B1051,Crosswalk!$A$2:$C$125,3,FALSE),"Unmapped")</f>
        <v/>
      </c>
    </row>
    <row r="1052">
      <c r="A1052" t="n">
        <v>2018</v>
      </c>
      <c r="B1052" t="inlineStr">
        <is>
          <t>BS5A000</t>
        </is>
      </c>
      <c r="C1052" t="inlineStr">
        <is>
          <t>Other finance, insurance and real estate services and management of companies and enterprises</t>
        </is>
      </c>
      <c r="D1052" t="n">
        <v>143920.2</v>
      </c>
      <c r="E1052">
        <f>IFERROR(VLOOKUP(B1052,Crosswalk!$A$2:$C$125,3,FALSE),"Unmapped")</f>
        <v/>
      </c>
    </row>
    <row r="1053">
      <c r="A1053" t="n">
        <v>2018</v>
      </c>
      <c r="B1053" t="inlineStr">
        <is>
          <t>BS61000</t>
        </is>
      </c>
      <c r="C1053" t="inlineStr">
        <is>
          <t>Educational services</t>
        </is>
      </c>
      <c r="D1053" t="n">
        <v>7855.1</v>
      </c>
      <c r="E1053">
        <f>IFERROR(VLOOKUP(B1053,Crosswalk!$A$2:$C$125,3,FALSE),"Unmapped")</f>
        <v/>
      </c>
    </row>
    <row r="1054">
      <c r="A1054" t="n">
        <v>2018</v>
      </c>
      <c r="B1054" t="inlineStr">
        <is>
          <t>BS62000</t>
        </is>
      </c>
      <c r="C1054" t="inlineStr">
        <is>
          <t>Health care and social assistance</t>
        </is>
      </c>
      <c r="D1054" t="n">
        <v>81757.10000000001</v>
      </c>
      <c r="E1054">
        <f>IFERROR(VLOOKUP(B1054,Crosswalk!$A$2:$C$125,3,FALSE),"Unmapped")</f>
        <v/>
      </c>
    </row>
    <row r="1055">
      <c r="A1055" t="n">
        <v>2018</v>
      </c>
      <c r="B1055" t="inlineStr">
        <is>
          <t>BS71000</t>
        </is>
      </c>
      <c r="C1055" t="inlineStr">
        <is>
          <t>Arts, entertainment and recreation</t>
        </is>
      </c>
      <c r="D1055" t="n">
        <v>28303</v>
      </c>
      <c r="E1055">
        <f>IFERROR(VLOOKUP(B1055,Crosswalk!$A$2:$C$125,3,FALSE),"Unmapped")</f>
        <v/>
      </c>
    </row>
    <row r="1056">
      <c r="A1056" t="n">
        <v>2018</v>
      </c>
      <c r="B1056" t="inlineStr">
        <is>
          <t>BS72000</t>
        </is>
      </c>
      <c r="C1056" t="inlineStr">
        <is>
          <t>Accommodation and food services</t>
        </is>
      </c>
      <c r="D1056" t="n">
        <v>101877.1</v>
      </c>
      <c r="E1056">
        <f>IFERROR(VLOOKUP(B1056,Crosswalk!$A$2:$C$125,3,FALSE),"Unmapped")</f>
        <v/>
      </c>
    </row>
    <row r="1057">
      <c r="A1057" t="n">
        <v>2018</v>
      </c>
      <c r="B1057" t="inlineStr">
        <is>
          <t>BS81100</t>
        </is>
      </c>
      <c r="C1057" t="inlineStr">
        <is>
          <t>Repair and maintenance</t>
        </is>
      </c>
      <c r="D1057" t="n">
        <v>26900.5</v>
      </c>
      <c r="E1057">
        <f>IFERROR(VLOOKUP(B1057,Crosswalk!$A$2:$C$125,3,FALSE),"Unmapped")</f>
        <v/>
      </c>
    </row>
    <row r="1058">
      <c r="A1058" t="n">
        <v>2018</v>
      </c>
      <c r="B1058" t="inlineStr">
        <is>
          <t>BS81300</t>
        </is>
      </c>
      <c r="C1058" t="inlineStr">
        <is>
          <t>Business, professional and other membership organizations</t>
        </is>
      </c>
      <c r="D1058" t="n">
        <v>4979.8</v>
      </c>
      <c r="E1058">
        <f>IFERROR(VLOOKUP(B1058,Crosswalk!$A$2:$C$125,3,FALSE),"Unmapped")</f>
        <v/>
      </c>
    </row>
    <row r="1059">
      <c r="A1059" t="n">
        <v>2018</v>
      </c>
      <c r="B1059" t="inlineStr">
        <is>
          <t>BS81A00</t>
        </is>
      </c>
      <c r="C1059" t="inlineStr">
        <is>
          <t>Personal services and private households</t>
        </is>
      </c>
      <c r="D1059" t="n">
        <v>19981.4</v>
      </c>
      <c r="E1059">
        <f>IFERROR(VLOOKUP(B1059,Crosswalk!$A$2:$C$125,3,FALSE),"Unmapped")</f>
        <v/>
      </c>
    </row>
    <row r="1060">
      <c r="A1060" t="n">
        <v>2018</v>
      </c>
      <c r="B1060" t="inlineStr">
        <is>
          <t>GS61130</t>
        </is>
      </c>
      <c r="C1060" t="inlineStr">
        <is>
          <t>Universities</t>
        </is>
      </c>
      <c r="D1060" t="n">
        <v>46427.2</v>
      </c>
      <c r="E1060">
        <f>IFERROR(VLOOKUP(B1060,Crosswalk!$A$2:$C$125,3,FALSE),"Unmapped")</f>
        <v/>
      </c>
    </row>
    <row r="1061">
      <c r="A1061" t="n">
        <v>2018</v>
      </c>
      <c r="B1061" t="inlineStr">
        <is>
          <t>GS611B0</t>
        </is>
      </c>
      <c r="C1061" t="inlineStr">
        <is>
          <t>Educational services (except universities)</t>
        </is>
      </c>
      <c r="D1061" t="n">
        <v>78295</v>
      </c>
      <c r="E1061">
        <f>IFERROR(VLOOKUP(B1061,Crosswalk!$A$2:$C$125,3,FALSE),"Unmapped")</f>
        <v/>
      </c>
    </row>
    <row r="1062">
      <c r="A1062" t="n">
        <v>2018</v>
      </c>
      <c r="B1062" t="inlineStr">
        <is>
          <t>GS62300</t>
        </is>
      </c>
      <c r="C1062" t="inlineStr">
        <is>
          <t>Nursing and residential care facilities</t>
        </is>
      </c>
      <c r="D1062" t="n">
        <v>17326.5</v>
      </c>
      <c r="E1062">
        <f>IFERROR(VLOOKUP(B1062,Crosswalk!$A$2:$C$125,3,FALSE),"Unmapped")</f>
        <v/>
      </c>
    </row>
    <row r="1063">
      <c r="A1063" t="n">
        <v>2018</v>
      </c>
      <c r="B1063" t="inlineStr">
        <is>
          <t>GS62B00</t>
        </is>
      </c>
      <c r="C1063" t="inlineStr">
        <is>
          <t>Health care and social assistance (except nursing and residential care facilities)</t>
        </is>
      </c>
      <c r="D1063" t="n">
        <v>104515.6</v>
      </c>
      <c r="E1063">
        <f>IFERROR(VLOOKUP(B1063,Crosswalk!$A$2:$C$125,3,FALSE),"Unmapped")</f>
        <v/>
      </c>
    </row>
    <row r="1064">
      <c r="A1064" t="n">
        <v>2018</v>
      </c>
      <c r="B1064" t="inlineStr">
        <is>
          <t>GS91100</t>
        </is>
      </c>
      <c r="C1064" t="inlineStr">
        <is>
          <t>Other federal government services</t>
        </is>
      </c>
      <c r="D1064" t="n">
        <v>85658.89999999999</v>
      </c>
      <c r="E1064">
        <f>IFERROR(VLOOKUP(B1064,Crosswalk!$A$2:$C$125,3,FALSE),"Unmapped")</f>
        <v/>
      </c>
    </row>
    <row r="1065">
      <c r="A1065" t="n">
        <v>2018</v>
      </c>
      <c r="B1065" t="inlineStr">
        <is>
          <t>GS91200</t>
        </is>
      </c>
      <c r="C1065" t="inlineStr">
        <is>
          <t>Other provincial and territorial government services</t>
        </is>
      </c>
      <c r="D1065" t="n">
        <v>132190.4</v>
      </c>
      <c r="E1065">
        <f>IFERROR(VLOOKUP(B1065,Crosswalk!$A$2:$C$125,3,FALSE),"Unmapped")</f>
        <v/>
      </c>
    </row>
    <row r="1066">
      <c r="A1066" t="n">
        <v>2018</v>
      </c>
      <c r="B1066" t="inlineStr">
        <is>
          <t>GS91300</t>
        </is>
      </c>
      <c r="C1066" t="inlineStr">
        <is>
          <t>Other municipal government services</t>
        </is>
      </c>
      <c r="D1066" t="n">
        <v>92770</v>
      </c>
      <c r="E1066">
        <f>IFERROR(VLOOKUP(B1066,Crosswalk!$A$2:$C$125,3,FALSE),"Unmapped")</f>
        <v/>
      </c>
    </row>
    <row r="1067">
      <c r="A1067" t="n">
        <v>2018</v>
      </c>
      <c r="B1067" t="inlineStr">
        <is>
          <t>GS91400</t>
        </is>
      </c>
      <c r="C1067" t="inlineStr">
        <is>
          <t>Other Indigenous government services</t>
        </is>
      </c>
      <c r="D1067" t="n">
        <v>10660.8</v>
      </c>
      <c r="E1067">
        <f>IFERROR(VLOOKUP(B1067,Crosswalk!$A$2:$C$125,3,FALSE),"Unmapped")</f>
        <v/>
      </c>
    </row>
    <row r="1068">
      <c r="A1068" t="n">
        <v>2018</v>
      </c>
      <c r="B1068" t="inlineStr">
        <is>
          <t>NP61000</t>
        </is>
      </c>
      <c r="C1068" t="inlineStr">
        <is>
          <t>Educational services</t>
        </is>
      </c>
      <c r="D1068" t="n">
        <v>5895.7</v>
      </c>
      <c r="E1068">
        <f>IFERROR(VLOOKUP(B1068,Crosswalk!$A$2:$C$125,3,FALSE),"Unmapped")</f>
        <v/>
      </c>
    </row>
    <row r="1069">
      <c r="A1069" t="n">
        <v>2018</v>
      </c>
      <c r="B1069" t="inlineStr">
        <is>
          <t>NP62400</t>
        </is>
      </c>
      <c r="C1069" t="inlineStr">
        <is>
          <t>Social assistance</t>
        </is>
      </c>
      <c r="D1069" t="n">
        <v>12393.2</v>
      </c>
      <c r="E1069">
        <f>IFERROR(VLOOKUP(B1069,Crosswalk!$A$2:$C$125,3,FALSE),"Unmapped")</f>
        <v/>
      </c>
    </row>
    <row r="1070">
      <c r="A1070" t="n">
        <v>2018</v>
      </c>
      <c r="B1070" t="inlineStr">
        <is>
          <t>NP71000</t>
        </is>
      </c>
      <c r="C1070" t="inlineStr">
        <is>
          <t>Arts, entertainment and recreation</t>
        </is>
      </c>
      <c r="D1070" t="n">
        <v>2734</v>
      </c>
      <c r="E1070">
        <f>IFERROR(VLOOKUP(B1070,Crosswalk!$A$2:$C$125,3,FALSE),"Unmapped")</f>
        <v/>
      </c>
    </row>
    <row r="1071">
      <c r="A1071" t="n">
        <v>2018</v>
      </c>
      <c r="B1071" t="inlineStr">
        <is>
          <t>NP81310</t>
        </is>
      </c>
      <c r="C1071" t="inlineStr">
        <is>
          <t>Religious organizations</t>
        </is>
      </c>
      <c r="D1071" t="n">
        <v>6122.7</v>
      </c>
      <c r="E1071">
        <f>IFERROR(VLOOKUP(B1071,Crosswalk!$A$2:$C$125,3,FALSE),"Unmapped")</f>
        <v/>
      </c>
    </row>
    <row r="1072">
      <c r="A1072" t="n">
        <v>2018</v>
      </c>
      <c r="B1072" t="inlineStr">
        <is>
          <t>NPA0000</t>
        </is>
      </c>
      <c r="C1072" t="inlineStr">
        <is>
          <t>Miscellaneous non-profit institutions serving households</t>
        </is>
      </c>
      <c r="D1072" t="n">
        <v>25943.6</v>
      </c>
      <c r="E1072">
        <f>IFERROR(VLOOKUP(B1072,Crosswalk!$A$2:$C$125,3,FALSE),"Unmapped")</f>
        <v/>
      </c>
    </row>
    <row r="1073">
      <c r="A1073" t="n">
        <v>2019</v>
      </c>
      <c r="B1073" t="inlineStr">
        <is>
          <t>BS111CL</t>
        </is>
      </c>
      <c r="C1073" t="inlineStr">
        <is>
          <t>Cannabis production (licensed)</t>
        </is>
      </c>
      <c r="D1073" t="n">
        <v>3015.8</v>
      </c>
      <c r="E1073">
        <f>IFERROR(VLOOKUP(B1073,Crosswalk!$A$2:$C$125,3,FALSE),"Unmapped")</f>
        <v/>
      </c>
    </row>
    <row r="1074">
      <c r="A1074" t="n">
        <v>2019</v>
      </c>
      <c r="B1074" t="inlineStr">
        <is>
          <t>BS111CU</t>
        </is>
      </c>
      <c r="C1074" t="inlineStr">
        <is>
          <t>Cannabis production (unlicensed)</t>
        </is>
      </c>
      <c r="D1074" t="n">
        <v>3401.7</v>
      </c>
      <c r="E1074">
        <f>IFERROR(VLOOKUP(B1074,Crosswalk!$A$2:$C$125,3,FALSE),"Unmapped")</f>
        <v/>
      </c>
    </row>
    <row r="1075">
      <c r="A1075" t="n">
        <v>2019</v>
      </c>
      <c r="B1075" t="inlineStr">
        <is>
          <t>BS11300</t>
        </is>
      </c>
      <c r="C1075" t="inlineStr">
        <is>
          <t>Forestry and logging</t>
        </is>
      </c>
      <c r="D1075" t="n">
        <v>10735.5</v>
      </c>
      <c r="E1075">
        <f>IFERROR(VLOOKUP(B1075,Crosswalk!$A$2:$C$125,3,FALSE),"Unmapped")</f>
        <v/>
      </c>
    </row>
    <row r="1076">
      <c r="A1076" t="n">
        <v>2019</v>
      </c>
      <c r="B1076" t="inlineStr">
        <is>
          <t>BS11400</t>
        </is>
      </c>
      <c r="C1076" t="inlineStr">
        <is>
          <t>Fishing, hunting and trapping</t>
        </is>
      </c>
      <c r="D1076" t="n">
        <v>4035.5</v>
      </c>
      <c r="E1076">
        <f>IFERROR(VLOOKUP(B1076,Crosswalk!$A$2:$C$125,3,FALSE),"Unmapped")</f>
        <v/>
      </c>
    </row>
    <row r="1077">
      <c r="A1077" t="n">
        <v>2019</v>
      </c>
      <c r="B1077" t="inlineStr">
        <is>
          <t>BS11500</t>
        </is>
      </c>
      <c r="C1077" t="inlineStr">
        <is>
          <t>Support activities for agriculture and forestry</t>
        </is>
      </c>
      <c r="D1077" t="n">
        <v>3973.6</v>
      </c>
      <c r="E1077">
        <f>IFERROR(VLOOKUP(B1077,Crosswalk!$A$2:$C$125,3,FALSE),"Unmapped")</f>
        <v/>
      </c>
    </row>
    <row r="1078">
      <c r="A1078" t="n">
        <v>2019</v>
      </c>
      <c r="B1078" t="inlineStr">
        <is>
          <t>BS11B00</t>
        </is>
      </c>
      <c r="C1078" t="inlineStr">
        <is>
          <t>Crop and animal production (except cannabis)</t>
        </is>
      </c>
      <c r="D1078" t="n">
        <v>72670.5</v>
      </c>
      <c r="E1078">
        <f>IFERROR(VLOOKUP(B1078,Crosswalk!$A$2:$C$125,3,FALSE),"Unmapped")</f>
        <v/>
      </c>
    </row>
    <row r="1079">
      <c r="A1079" t="n">
        <v>2019</v>
      </c>
      <c r="B1079" t="inlineStr">
        <is>
          <t>BS21100</t>
        </is>
      </c>
      <c r="C1079" t="inlineStr">
        <is>
          <t>Oil and gas extraction</t>
        </is>
      </c>
      <c r="D1079" t="n">
        <v>133210.7</v>
      </c>
      <c r="E1079">
        <f>IFERROR(VLOOKUP(B1079,Crosswalk!$A$2:$C$125,3,FALSE),"Unmapped")</f>
        <v/>
      </c>
    </row>
    <row r="1080">
      <c r="A1080" t="n">
        <v>2019</v>
      </c>
      <c r="B1080" t="inlineStr">
        <is>
          <t>BS21210</t>
        </is>
      </c>
      <c r="C1080" t="inlineStr">
        <is>
          <t>Coal mining</t>
        </is>
      </c>
      <c r="D1080" t="n">
        <v>6493.8</v>
      </c>
      <c r="E1080">
        <f>IFERROR(VLOOKUP(B1080,Crosswalk!$A$2:$C$125,3,FALSE),"Unmapped")</f>
        <v/>
      </c>
    </row>
    <row r="1081">
      <c r="A1081" t="n">
        <v>2019</v>
      </c>
      <c r="B1081" t="inlineStr">
        <is>
          <t>BS21220</t>
        </is>
      </c>
      <c r="C1081" t="inlineStr">
        <is>
          <t>Metal ore mining</t>
        </is>
      </c>
      <c r="D1081" t="n">
        <v>30251.7</v>
      </c>
      <c r="E1081">
        <f>IFERROR(VLOOKUP(B1081,Crosswalk!$A$2:$C$125,3,FALSE),"Unmapped")</f>
        <v/>
      </c>
    </row>
    <row r="1082">
      <c r="A1082" t="n">
        <v>2019</v>
      </c>
      <c r="B1082" t="inlineStr">
        <is>
          <t>BS21230</t>
        </is>
      </c>
      <c r="C1082" t="inlineStr">
        <is>
          <t>Non-metallic mineral mining and quarrying</t>
        </is>
      </c>
      <c r="D1082" t="n">
        <v>13885</v>
      </c>
      <c r="E1082">
        <f>IFERROR(VLOOKUP(B1082,Crosswalk!$A$2:$C$125,3,FALSE),"Unmapped")</f>
        <v/>
      </c>
    </row>
    <row r="1083">
      <c r="A1083" t="n">
        <v>2019</v>
      </c>
      <c r="B1083" t="inlineStr">
        <is>
          <t>BS21300</t>
        </is>
      </c>
      <c r="C1083" t="inlineStr">
        <is>
          <t>Support activities for mining, and oil and gas extraction</t>
        </is>
      </c>
      <c r="D1083" t="n">
        <v>22237.4</v>
      </c>
      <c r="E1083">
        <f>IFERROR(VLOOKUP(B1083,Crosswalk!$A$2:$C$125,3,FALSE),"Unmapped")</f>
        <v/>
      </c>
    </row>
    <row r="1084">
      <c r="A1084" t="n">
        <v>2019</v>
      </c>
      <c r="B1084" t="inlineStr">
        <is>
          <t>BS22110</t>
        </is>
      </c>
      <c r="C1084" t="inlineStr">
        <is>
          <t>Electric power generation, transmission and distribution</t>
        </is>
      </c>
      <c r="D1084" t="n">
        <v>51529.9</v>
      </c>
      <c r="E1084">
        <f>IFERROR(VLOOKUP(B1084,Crosswalk!$A$2:$C$125,3,FALSE),"Unmapped")</f>
        <v/>
      </c>
    </row>
    <row r="1085">
      <c r="A1085" t="n">
        <v>2019</v>
      </c>
      <c r="B1085" t="inlineStr">
        <is>
          <t>BS221A0</t>
        </is>
      </c>
      <c r="C1085" t="inlineStr">
        <is>
          <t>Natural gas distribution, water, sewage and other systems</t>
        </is>
      </c>
      <c r="D1085" t="n">
        <v>7824.4</v>
      </c>
      <c r="E1085">
        <f>IFERROR(VLOOKUP(B1085,Crosswalk!$A$2:$C$125,3,FALSE),"Unmapped")</f>
        <v/>
      </c>
    </row>
    <row r="1086">
      <c r="A1086" t="n">
        <v>2019</v>
      </c>
      <c r="B1086" t="inlineStr">
        <is>
          <t>BS23A00</t>
        </is>
      </c>
      <c r="C1086" t="inlineStr">
        <is>
          <t>Residential building construction</t>
        </is>
      </c>
      <c r="D1086" t="n">
        <v>125653.8</v>
      </c>
      <c r="E1086">
        <f>IFERROR(VLOOKUP(B1086,Crosswalk!$A$2:$C$125,3,FALSE),"Unmapped")</f>
        <v/>
      </c>
    </row>
    <row r="1087">
      <c r="A1087" t="n">
        <v>2019</v>
      </c>
      <c r="B1087" t="inlineStr">
        <is>
          <t>BS23B00</t>
        </is>
      </c>
      <c r="C1087" t="inlineStr">
        <is>
          <t>Non-residential building construction</t>
        </is>
      </c>
      <c r="D1087" t="n">
        <v>56189.3</v>
      </c>
      <c r="E1087">
        <f>IFERROR(VLOOKUP(B1087,Crosswalk!$A$2:$C$125,3,FALSE),"Unmapped")</f>
        <v/>
      </c>
    </row>
    <row r="1088">
      <c r="A1088" t="n">
        <v>2019</v>
      </c>
      <c r="B1088" t="inlineStr">
        <is>
          <t>BS23C10</t>
        </is>
      </c>
      <c r="C1088" t="inlineStr">
        <is>
          <t>Transportation engineering construction</t>
        </is>
      </c>
      <c r="D1088" t="n">
        <v>26586.6</v>
      </c>
      <c r="E1088">
        <f>IFERROR(VLOOKUP(B1088,Crosswalk!$A$2:$C$125,3,FALSE),"Unmapped")</f>
        <v/>
      </c>
    </row>
    <row r="1089">
      <c r="A1089" t="n">
        <v>2019</v>
      </c>
      <c r="B1089" t="inlineStr">
        <is>
          <t>BS23C20</t>
        </is>
      </c>
      <c r="C1089" t="inlineStr">
        <is>
          <t>Oil and gas engineering construction</t>
        </is>
      </c>
      <c r="D1089" t="n">
        <v>44975.9</v>
      </c>
      <c r="E1089">
        <f>IFERROR(VLOOKUP(B1089,Crosswalk!$A$2:$C$125,3,FALSE),"Unmapped")</f>
        <v/>
      </c>
    </row>
    <row r="1090">
      <c r="A1090" t="n">
        <v>2019</v>
      </c>
      <c r="B1090" t="inlineStr">
        <is>
          <t>BS23C30</t>
        </is>
      </c>
      <c r="C1090" t="inlineStr">
        <is>
          <t>Electric power engineering construction</t>
        </is>
      </c>
      <c r="D1090" t="n">
        <v>18581.8</v>
      </c>
      <c r="E1090">
        <f>IFERROR(VLOOKUP(B1090,Crosswalk!$A$2:$C$125,3,FALSE),"Unmapped")</f>
        <v/>
      </c>
    </row>
    <row r="1091">
      <c r="A1091" t="n">
        <v>2019</v>
      </c>
      <c r="B1091" t="inlineStr">
        <is>
          <t>BS23C40</t>
        </is>
      </c>
      <c r="C1091" t="inlineStr">
        <is>
          <t>Communication engineering construction</t>
        </is>
      </c>
      <c r="D1091" t="n">
        <v>5740.7</v>
      </c>
      <c r="E1091">
        <f>IFERROR(VLOOKUP(B1091,Crosswalk!$A$2:$C$125,3,FALSE),"Unmapped")</f>
        <v/>
      </c>
    </row>
    <row r="1092">
      <c r="A1092" t="n">
        <v>2019</v>
      </c>
      <c r="B1092" t="inlineStr">
        <is>
          <t>BS23C50</t>
        </is>
      </c>
      <c r="C1092" t="inlineStr">
        <is>
          <t>Other engineering construction</t>
        </is>
      </c>
      <c r="D1092" t="n">
        <v>21815</v>
      </c>
      <c r="E1092">
        <f>IFERROR(VLOOKUP(B1092,Crosswalk!$A$2:$C$125,3,FALSE),"Unmapped")</f>
        <v/>
      </c>
    </row>
    <row r="1093">
      <c r="A1093" t="n">
        <v>2019</v>
      </c>
      <c r="B1093" t="inlineStr">
        <is>
          <t>BS23D00</t>
        </is>
      </c>
      <c r="C1093" t="inlineStr">
        <is>
          <t>Repair construction</t>
        </is>
      </c>
      <c r="D1093" t="n">
        <v>49859.5</v>
      </c>
      <c r="E1093">
        <f>IFERROR(VLOOKUP(B1093,Crosswalk!$A$2:$C$125,3,FALSE),"Unmapped")</f>
        <v/>
      </c>
    </row>
    <row r="1094">
      <c r="A1094" t="n">
        <v>2019</v>
      </c>
      <c r="B1094" t="inlineStr">
        <is>
          <t>BS23E00</t>
        </is>
      </c>
      <c r="C1094" t="inlineStr">
        <is>
          <t>Other activities of the construction industry</t>
        </is>
      </c>
      <c r="D1094" t="n">
        <v>4596.4</v>
      </c>
      <c r="E1094">
        <f>IFERROR(VLOOKUP(B1094,Crosswalk!$A$2:$C$125,3,FALSE),"Unmapped")</f>
        <v/>
      </c>
    </row>
    <row r="1095">
      <c r="A1095" t="n">
        <v>2019</v>
      </c>
      <c r="B1095" t="inlineStr">
        <is>
          <t>BS31110</t>
        </is>
      </c>
      <c r="C1095" t="inlineStr">
        <is>
          <t>Animal food manufacturing</t>
        </is>
      </c>
      <c r="D1095" t="n">
        <v>9040.1</v>
      </c>
      <c r="E1095">
        <f>IFERROR(VLOOKUP(B1095,Crosswalk!$A$2:$C$125,3,FALSE),"Unmapped")</f>
        <v/>
      </c>
    </row>
    <row r="1096">
      <c r="A1096" t="n">
        <v>2019</v>
      </c>
      <c r="B1096" t="inlineStr">
        <is>
          <t>BS31130</t>
        </is>
      </c>
      <c r="C1096" t="inlineStr">
        <is>
          <t>Sugar and confectionery product manufacturing</t>
        </is>
      </c>
      <c r="D1096" t="n">
        <v>5074.3</v>
      </c>
      <c r="E1096">
        <f>IFERROR(VLOOKUP(B1096,Crosswalk!$A$2:$C$125,3,FALSE),"Unmapped")</f>
        <v/>
      </c>
    </row>
    <row r="1097">
      <c r="A1097" t="n">
        <v>2019</v>
      </c>
      <c r="B1097" t="inlineStr">
        <is>
          <t>BS31140</t>
        </is>
      </c>
      <c r="C1097" t="inlineStr">
        <is>
          <t>Fruit and vegetable preserving and specialty food manufacturing</t>
        </is>
      </c>
      <c r="D1097" t="n">
        <v>8069.4</v>
      </c>
      <c r="E1097">
        <f>IFERROR(VLOOKUP(B1097,Crosswalk!$A$2:$C$125,3,FALSE),"Unmapped")</f>
        <v/>
      </c>
    </row>
    <row r="1098">
      <c r="A1098" t="n">
        <v>2019</v>
      </c>
      <c r="B1098" t="inlineStr">
        <is>
          <t>BS31150</t>
        </is>
      </c>
      <c r="C1098" t="inlineStr">
        <is>
          <t>Dairy product manufacturing</t>
        </is>
      </c>
      <c r="D1098" t="n">
        <v>16109.1</v>
      </c>
      <c r="E1098">
        <f>IFERROR(VLOOKUP(B1098,Crosswalk!$A$2:$C$125,3,FALSE),"Unmapped")</f>
        <v/>
      </c>
    </row>
    <row r="1099">
      <c r="A1099" t="n">
        <v>2019</v>
      </c>
      <c r="B1099" t="inlineStr">
        <is>
          <t>BS31160</t>
        </is>
      </c>
      <c r="C1099" t="inlineStr">
        <is>
          <t>Meat product manufacturing</t>
        </is>
      </c>
      <c r="D1099" t="n">
        <v>31369.8</v>
      </c>
      <c r="E1099">
        <f>IFERROR(VLOOKUP(B1099,Crosswalk!$A$2:$C$125,3,FALSE),"Unmapped")</f>
        <v/>
      </c>
    </row>
    <row r="1100">
      <c r="A1100" t="n">
        <v>2019</v>
      </c>
      <c r="B1100" t="inlineStr">
        <is>
          <t>BS31170</t>
        </is>
      </c>
      <c r="C1100" t="inlineStr">
        <is>
          <t>Seafood product preparation and packaging</t>
        </is>
      </c>
      <c r="D1100" t="n">
        <v>6767.8</v>
      </c>
      <c r="E1100">
        <f>IFERROR(VLOOKUP(B1100,Crosswalk!$A$2:$C$125,3,FALSE),"Unmapped")</f>
        <v/>
      </c>
    </row>
    <row r="1101">
      <c r="A1101" t="n">
        <v>2019</v>
      </c>
      <c r="B1101" t="inlineStr">
        <is>
          <t>BS311A0</t>
        </is>
      </c>
      <c r="C1101" t="inlineStr">
        <is>
          <t>Miscellaneous food manufacturing</t>
        </is>
      </c>
      <c r="D1101" t="n">
        <v>37259.7</v>
      </c>
      <c r="E1101">
        <f>IFERROR(VLOOKUP(B1101,Crosswalk!$A$2:$C$125,3,FALSE),"Unmapped")</f>
        <v/>
      </c>
    </row>
    <row r="1102">
      <c r="A1102" t="n">
        <v>2019</v>
      </c>
      <c r="B1102" t="inlineStr">
        <is>
          <t>BS31211</t>
        </is>
      </c>
      <c r="C1102" t="inlineStr">
        <is>
          <t>Soft drink and ice manufacturing</t>
        </is>
      </c>
      <c r="D1102" t="n">
        <v>4921.9</v>
      </c>
      <c r="E1102">
        <f>IFERROR(VLOOKUP(B1102,Crosswalk!$A$2:$C$125,3,FALSE),"Unmapped")</f>
        <v/>
      </c>
    </row>
    <row r="1103">
      <c r="A1103" t="n">
        <v>2019</v>
      </c>
      <c r="B1103" t="inlineStr">
        <is>
          <t>BS31212</t>
        </is>
      </c>
      <c r="C1103" t="inlineStr">
        <is>
          <t>Breweries</t>
        </is>
      </c>
      <c r="D1103" t="n">
        <v>6781.1</v>
      </c>
      <c r="E1103">
        <f>IFERROR(VLOOKUP(B1103,Crosswalk!$A$2:$C$125,3,FALSE),"Unmapped")</f>
        <v/>
      </c>
    </row>
    <row r="1104">
      <c r="A1104" t="n">
        <v>2019</v>
      </c>
      <c r="B1104" t="inlineStr">
        <is>
          <t>BS3121A</t>
        </is>
      </c>
      <c r="C1104" t="inlineStr">
        <is>
          <t>Wineries and distilleries</t>
        </is>
      </c>
      <c r="D1104" t="n">
        <v>2857.8</v>
      </c>
      <c r="E1104">
        <f>IFERROR(VLOOKUP(B1104,Crosswalk!$A$2:$C$125,3,FALSE),"Unmapped")</f>
        <v/>
      </c>
    </row>
    <row r="1105">
      <c r="A1105" t="n">
        <v>2019</v>
      </c>
      <c r="B1105" t="inlineStr">
        <is>
          <t>BS312A0</t>
        </is>
      </c>
      <c r="C1105" t="inlineStr">
        <is>
          <t>Tobacco and cannabis product manufacturing</t>
        </is>
      </c>
      <c r="D1105" t="n">
        <v>3240.1</v>
      </c>
      <c r="E1105">
        <f>IFERROR(VLOOKUP(B1105,Crosswalk!$A$2:$C$125,3,FALSE),"Unmapped")</f>
        <v/>
      </c>
    </row>
    <row r="1106">
      <c r="A1106" t="n">
        <v>2019</v>
      </c>
      <c r="B1106" t="inlineStr">
        <is>
          <t>BS31A00</t>
        </is>
      </c>
      <c r="C1106" t="inlineStr">
        <is>
          <t>Textile and textile product mills</t>
        </is>
      </c>
      <c r="D1106" t="n">
        <v>3691.6</v>
      </c>
      <c r="E1106">
        <f>IFERROR(VLOOKUP(B1106,Crosswalk!$A$2:$C$125,3,FALSE),"Unmapped")</f>
        <v/>
      </c>
    </row>
    <row r="1107">
      <c r="A1107" t="n">
        <v>2019</v>
      </c>
      <c r="B1107" t="inlineStr">
        <is>
          <t>BS31B00</t>
        </is>
      </c>
      <c r="C1107" t="inlineStr">
        <is>
          <t>Clothing and leather and allied product manufacturing</t>
        </is>
      </c>
      <c r="D1107" t="n">
        <v>3318.5</v>
      </c>
      <c r="E1107">
        <f>IFERROR(VLOOKUP(B1107,Crosswalk!$A$2:$C$125,3,FALSE),"Unmapped")</f>
        <v/>
      </c>
    </row>
    <row r="1108">
      <c r="A1108" t="n">
        <v>2019</v>
      </c>
      <c r="B1108" t="inlineStr">
        <is>
          <t>BS32100</t>
        </is>
      </c>
      <c r="C1108" t="inlineStr">
        <is>
          <t>Wood product manufacturing</t>
        </is>
      </c>
      <c r="D1108" t="n">
        <v>33010.2</v>
      </c>
      <c r="E1108">
        <f>IFERROR(VLOOKUP(B1108,Crosswalk!$A$2:$C$125,3,FALSE),"Unmapped")</f>
        <v/>
      </c>
    </row>
    <row r="1109">
      <c r="A1109" t="n">
        <v>2019</v>
      </c>
      <c r="B1109" t="inlineStr">
        <is>
          <t>BS32210</t>
        </is>
      </c>
      <c r="C1109" t="inlineStr">
        <is>
          <t>Pulp, paper and paperboard mills</t>
        </is>
      </c>
      <c r="D1109" t="n">
        <v>18718.1</v>
      </c>
      <c r="E1109">
        <f>IFERROR(VLOOKUP(B1109,Crosswalk!$A$2:$C$125,3,FALSE),"Unmapped")</f>
        <v/>
      </c>
    </row>
    <row r="1110">
      <c r="A1110" t="n">
        <v>2019</v>
      </c>
      <c r="B1110" t="inlineStr">
        <is>
          <t>BS32220</t>
        </is>
      </c>
      <c r="C1110" t="inlineStr">
        <is>
          <t>Converted paper product manufacturing</t>
        </is>
      </c>
      <c r="D1110" t="n">
        <v>11673.5</v>
      </c>
      <c r="E1110">
        <f>IFERROR(VLOOKUP(B1110,Crosswalk!$A$2:$C$125,3,FALSE),"Unmapped")</f>
        <v/>
      </c>
    </row>
    <row r="1111">
      <c r="A1111" t="n">
        <v>2019</v>
      </c>
      <c r="B1111" t="inlineStr">
        <is>
          <t>BS32300</t>
        </is>
      </c>
      <c r="C1111" t="inlineStr">
        <is>
          <t>Printing and related support activities</t>
        </is>
      </c>
      <c r="D1111" t="n">
        <v>9911</v>
      </c>
      <c r="E1111">
        <f>IFERROR(VLOOKUP(B1111,Crosswalk!$A$2:$C$125,3,FALSE),"Unmapped")</f>
        <v/>
      </c>
    </row>
    <row r="1112">
      <c r="A1112" t="n">
        <v>2019</v>
      </c>
      <c r="B1112" t="inlineStr">
        <is>
          <t>BS32400</t>
        </is>
      </c>
      <c r="C1112" t="inlineStr">
        <is>
          <t>Petroleum and coal product manufacturing</t>
        </is>
      </c>
      <c r="D1112" t="n">
        <v>76582.5</v>
      </c>
      <c r="E1112">
        <f>IFERROR(VLOOKUP(B1112,Crosswalk!$A$2:$C$125,3,FALSE),"Unmapped")</f>
        <v/>
      </c>
    </row>
    <row r="1113">
      <c r="A1113" t="n">
        <v>2019</v>
      </c>
      <c r="B1113" t="inlineStr">
        <is>
          <t>BS32510</t>
        </is>
      </c>
      <c r="C1113" t="inlineStr">
        <is>
          <t>Basic chemical manufacturing</t>
        </is>
      </c>
      <c r="D1113" t="n">
        <v>17463.8</v>
      </c>
      <c r="E1113">
        <f>IFERROR(VLOOKUP(B1113,Crosswalk!$A$2:$C$125,3,FALSE),"Unmapped")</f>
        <v/>
      </c>
    </row>
    <row r="1114">
      <c r="A1114" t="n">
        <v>2019</v>
      </c>
      <c r="B1114" t="inlineStr">
        <is>
          <t>BS32530</t>
        </is>
      </c>
      <c r="C1114" t="inlineStr">
        <is>
          <t>Pesticide, fertilizer and other agricultural chemical manufacturing</t>
        </is>
      </c>
      <c r="D1114" t="n">
        <v>6047.2</v>
      </c>
      <c r="E1114">
        <f>IFERROR(VLOOKUP(B1114,Crosswalk!$A$2:$C$125,3,FALSE),"Unmapped")</f>
        <v/>
      </c>
    </row>
    <row r="1115">
      <c r="A1115" t="n">
        <v>2019</v>
      </c>
      <c r="B1115" t="inlineStr">
        <is>
          <t>BS32540</t>
        </is>
      </c>
      <c r="C1115" t="inlineStr">
        <is>
          <t>Pharmaceutical and medicine manufacturing</t>
        </is>
      </c>
      <c r="D1115" t="n">
        <v>13610.5</v>
      </c>
      <c r="E1115">
        <f>IFERROR(VLOOKUP(B1115,Crosswalk!$A$2:$C$125,3,FALSE),"Unmapped")</f>
        <v/>
      </c>
    </row>
    <row r="1116">
      <c r="A1116" t="n">
        <v>2019</v>
      </c>
      <c r="B1116" t="inlineStr">
        <is>
          <t>BS325C0</t>
        </is>
      </c>
      <c r="C1116" t="inlineStr">
        <is>
          <t>Miscellaneous chemical product manufacturing</t>
        </is>
      </c>
      <c r="D1116" t="n">
        <v>23163.1</v>
      </c>
      <c r="E1116">
        <f>IFERROR(VLOOKUP(B1116,Crosswalk!$A$2:$C$125,3,FALSE),"Unmapped")</f>
        <v/>
      </c>
    </row>
    <row r="1117">
      <c r="A1117" t="n">
        <v>2019</v>
      </c>
      <c r="B1117" t="inlineStr">
        <is>
          <t>BS32610</t>
        </is>
      </c>
      <c r="C1117" t="inlineStr">
        <is>
          <t>Plastic product manufacturing</t>
        </is>
      </c>
      <c r="D1117" t="n">
        <v>26992.3</v>
      </c>
      <c r="E1117">
        <f>IFERROR(VLOOKUP(B1117,Crosswalk!$A$2:$C$125,3,FALSE),"Unmapped")</f>
        <v/>
      </c>
    </row>
    <row r="1118">
      <c r="A1118" t="n">
        <v>2019</v>
      </c>
      <c r="B1118" t="inlineStr">
        <is>
          <t>BS32620</t>
        </is>
      </c>
      <c r="C1118" t="inlineStr">
        <is>
          <t>Rubber product manufacturing</t>
        </is>
      </c>
      <c r="D1118" t="n">
        <v>5794.5</v>
      </c>
      <c r="E1118">
        <f>IFERROR(VLOOKUP(B1118,Crosswalk!$A$2:$C$125,3,FALSE),"Unmapped")</f>
        <v/>
      </c>
    </row>
    <row r="1119">
      <c r="A1119" t="n">
        <v>2019</v>
      </c>
      <c r="B1119" t="inlineStr">
        <is>
          <t>BS32730</t>
        </is>
      </c>
      <c r="C1119" t="inlineStr">
        <is>
          <t>Cement and concrete product manufacturing</t>
        </is>
      </c>
      <c r="D1119" t="n">
        <v>11063.4</v>
      </c>
      <c r="E1119">
        <f>IFERROR(VLOOKUP(B1119,Crosswalk!$A$2:$C$125,3,FALSE),"Unmapped")</f>
        <v/>
      </c>
    </row>
    <row r="1120">
      <c r="A1120" t="n">
        <v>2019</v>
      </c>
      <c r="B1120" t="inlineStr">
        <is>
          <t>BS327A0</t>
        </is>
      </c>
      <c r="C1120" t="inlineStr">
        <is>
          <t>Non-metallic mineral product manufacturing (except cement and concrete products)</t>
        </is>
      </c>
      <c r="D1120" t="n">
        <v>6983</v>
      </c>
      <c r="E1120">
        <f>IFERROR(VLOOKUP(B1120,Crosswalk!$A$2:$C$125,3,FALSE),"Unmapped")</f>
        <v/>
      </c>
    </row>
    <row r="1121">
      <c r="A1121" t="n">
        <v>2019</v>
      </c>
      <c r="B1121" t="inlineStr">
        <is>
          <t>BS33100</t>
        </is>
      </c>
      <c r="C1121" t="inlineStr">
        <is>
          <t>Primary metal manufacturing</t>
        </is>
      </c>
      <c r="D1121" t="n">
        <v>75384.7</v>
      </c>
      <c r="E1121">
        <f>IFERROR(VLOOKUP(B1121,Crosswalk!$A$2:$C$125,3,FALSE),"Unmapped")</f>
        <v/>
      </c>
    </row>
    <row r="1122">
      <c r="A1122" t="n">
        <v>2019</v>
      </c>
      <c r="B1122" t="inlineStr">
        <is>
          <t>BS33200</t>
        </is>
      </c>
      <c r="C1122" t="inlineStr">
        <is>
          <t>Fabricated metal product manufacturing</t>
        </is>
      </c>
      <c r="D1122" t="n">
        <v>44440.8</v>
      </c>
      <c r="E1122">
        <f>IFERROR(VLOOKUP(B1122,Crosswalk!$A$2:$C$125,3,FALSE),"Unmapped")</f>
        <v/>
      </c>
    </row>
    <row r="1123">
      <c r="A1123" t="n">
        <v>2019</v>
      </c>
      <c r="B1123" t="inlineStr">
        <is>
          <t>BS33300</t>
        </is>
      </c>
      <c r="C1123" t="inlineStr">
        <is>
          <t>Machinery manufacturing</t>
        </is>
      </c>
      <c r="D1123" t="n">
        <v>43821.9</v>
      </c>
      <c r="E1123">
        <f>IFERROR(VLOOKUP(B1123,Crosswalk!$A$2:$C$125,3,FALSE),"Unmapped")</f>
        <v/>
      </c>
    </row>
    <row r="1124">
      <c r="A1124" t="n">
        <v>2019</v>
      </c>
      <c r="B1124" t="inlineStr">
        <is>
          <t>BS33400</t>
        </is>
      </c>
      <c r="C1124" t="inlineStr">
        <is>
          <t>Computer and electronic product manufacturing</t>
        </is>
      </c>
      <c r="D1124" t="n">
        <v>16810.4</v>
      </c>
      <c r="E1124">
        <f>IFERROR(VLOOKUP(B1124,Crosswalk!$A$2:$C$125,3,FALSE),"Unmapped")</f>
        <v/>
      </c>
    </row>
    <row r="1125">
      <c r="A1125" t="n">
        <v>2019</v>
      </c>
      <c r="B1125" t="inlineStr">
        <is>
          <t>BS33500</t>
        </is>
      </c>
      <c r="C1125" t="inlineStr">
        <is>
          <t>Electrical equipment, appliance and component manufacturing</t>
        </is>
      </c>
      <c r="D1125" t="n">
        <v>12359.4</v>
      </c>
      <c r="E1125">
        <f>IFERROR(VLOOKUP(B1125,Crosswalk!$A$2:$C$125,3,FALSE),"Unmapped")</f>
        <v/>
      </c>
    </row>
    <row r="1126">
      <c r="A1126" t="n">
        <v>2019</v>
      </c>
      <c r="B1126" t="inlineStr">
        <is>
          <t>BS33610</t>
        </is>
      </c>
      <c r="C1126" t="inlineStr">
        <is>
          <t>Motor vehicle manufacturing</t>
        </is>
      </c>
      <c r="D1126" t="n">
        <v>63567.4</v>
      </c>
      <c r="E1126">
        <f>IFERROR(VLOOKUP(B1126,Crosswalk!$A$2:$C$125,3,FALSE),"Unmapped")</f>
        <v/>
      </c>
    </row>
    <row r="1127">
      <c r="A1127" t="n">
        <v>2019</v>
      </c>
      <c r="B1127" t="inlineStr">
        <is>
          <t>BS33620</t>
        </is>
      </c>
      <c r="C1127" t="inlineStr">
        <is>
          <t>Motor vehicle body and trailer manufacturing</t>
        </is>
      </c>
      <c r="D1127" t="n">
        <v>4077.2</v>
      </c>
      <c r="E1127">
        <f>IFERROR(VLOOKUP(B1127,Crosswalk!$A$2:$C$125,3,FALSE),"Unmapped")</f>
        <v/>
      </c>
    </row>
    <row r="1128">
      <c r="A1128" t="n">
        <v>2019</v>
      </c>
      <c r="B1128" t="inlineStr">
        <is>
          <t>BS33630</t>
        </is>
      </c>
      <c r="C1128" t="inlineStr">
        <is>
          <t>Motor vehicle parts manufacturing</t>
        </is>
      </c>
      <c r="D1128" t="n">
        <v>34294.3</v>
      </c>
      <c r="E1128">
        <f>IFERROR(VLOOKUP(B1128,Crosswalk!$A$2:$C$125,3,FALSE),"Unmapped")</f>
        <v/>
      </c>
    </row>
    <row r="1129">
      <c r="A1129" t="n">
        <v>2019</v>
      </c>
      <c r="B1129" t="inlineStr">
        <is>
          <t>BS33640</t>
        </is>
      </c>
      <c r="C1129" t="inlineStr">
        <is>
          <t>Aerospace product and parts manufacturing</t>
        </is>
      </c>
      <c r="D1129" t="n">
        <v>28254.8</v>
      </c>
      <c r="E1129">
        <f>IFERROR(VLOOKUP(B1129,Crosswalk!$A$2:$C$125,3,FALSE),"Unmapped")</f>
        <v/>
      </c>
    </row>
    <row r="1130">
      <c r="A1130" t="n">
        <v>2019</v>
      </c>
      <c r="B1130" t="inlineStr">
        <is>
          <t>BS33650</t>
        </is>
      </c>
      <c r="C1130" t="inlineStr">
        <is>
          <t>Railroad rolling stock manufacturing</t>
        </is>
      </c>
      <c r="D1130" t="n">
        <v>2728.8</v>
      </c>
      <c r="E1130">
        <f>IFERROR(VLOOKUP(B1130,Crosswalk!$A$2:$C$125,3,FALSE),"Unmapped")</f>
        <v/>
      </c>
    </row>
    <row r="1131">
      <c r="A1131" t="n">
        <v>2019</v>
      </c>
      <c r="B1131" t="inlineStr">
        <is>
          <t>BS33660</t>
        </is>
      </c>
      <c r="C1131" t="inlineStr">
        <is>
          <t>Ship and boat building</t>
        </is>
      </c>
      <c r="D1131" t="n">
        <v>2560.9</v>
      </c>
      <c r="E1131">
        <f>IFERROR(VLOOKUP(B1131,Crosswalk!$A$2:$C$125,3,FALSE),"Unmapped")</f>
        <v/>
      </c>
    </row>
    <row r="1132">
      <c r="A1132" t="n">
        <v>2019</v>
      </c>
      <c r="B1132" t="inlineStr">
        <is>
          <t>BS33690</t>
        </is>
      </c>
      <c r="C1132" t="inlineStr">
        <is>
          <t>Other transportation equipment manufacturing</t>
        </is>
      </c>
      <c r="D1132" t="n">
        <v>7572</v>
      </c>
      <c r="E1132">
        <f>IFERROR(VLOOKUP(B1132,Crosswalk!$A$2:$C$125,3,FALSE),"Unmapped")</f>
        <v/>
      </c>
    </row>
    <row r="1133">
      <c r="A1133" t="n">
        <v>2019</v>
      </c>
      <c r="B1133" t="inlineStr">
        <is>
          <t>BS33700</t>
        </is>
      </c>
      <c r="C1133" t="inlineStr">
        <is>
          <t>Furniture and related product manufacturing</t>
        </is>
      </c>
      <c r="D1133" t="n">
        <v>13737.2</v>
      </c>
      <c r="E1133">
        <f>IFERROR(VLOOKUP(B1133,Crosswalk!$A$2:$C$125,3,FALSE),"Unmapped")</f>
        <v/>
      </c>
    </row>
    <row r="1134">
      <c r="A1134" t="n">
        <v>2019</v>
      </c>
      <c r="B1134" t="inlineStr">
        <is>
          <t>BS33900</t>
        </is>
      </c>
      <c r="C1134" t="inlineStr">
        <is>
          <t>Miscellaneous manufacturing</t>
        </is>
      </c>
      <c r="D1134" t="n">
        <v>15295.1</v>
      </c>
      <c r="E1134">
        <f>IFERROR(VLOOKUP(B1134,Crosswalk!$A$2:$C$125,3,FALSE),"Unmapped")</f>
        <v/>
      </c>
    </row>
    <row r="1135">
      <c r="A1135" t="n">
        <v>2019</v>
      </c>
      <c r="B1135" t="inlineStr">
        <is>
          <t>BS41000</t>
        </is>
      </c>
      <c r="C1135" t="inlineStr">
        <is>
          <t>Wholesale trade</t>
        </is>
      </c>
      <c r="D1135" t="n">
        <v>176881.1</v>
      </c>
      <c r="E1135">
        <f>IFERROR(VLOOKUP(B1135,Crosswalk!$A$2:$C$125,3,FALSE),"Unmapped")</f>
        <v/>
      </c>
    </row>
    <row r="1136">
      <c r="A1136" t="n">
        <v>2019</v>
      </c>
      <c r="B1136" t="inlineStr">
        <is>
          <t>BS459BL</t>
        </is>
      </c>
      <c r="C1136" t="inlineStr">
        <is>
          <t>Cannabis retailers (licensed)</t>
        </is>
      </c>
      <c r="D1136" t="n">
        <v>366.5</v>
      </c>
      <c r="E1136">
        <f>IFERROR(VLOOKUP(B1136,Crosswalk!$A$2:$C$125,3,FALSE),"Unmapped")</f>
        <v/>
      </c>
    </row>
    <row r="1137">
      <c r="A1137" t="n">
        <v>2019</v>
      </c>
      <c r="B1137" t="inlineStr">
        <is>
          <t>BS459BU</t>
        </is>
      </c>
      <c r="C1137" t="inlineStr">
        <is>
          <t>Cannabis retailers (unlicensed)</t>
        </is>
      </c>
      <c r="D1137" t="n">
        <v>1221.6</v>
      </c>
      <c r="E1137">
        <f>IFERROR(VLOOKUP(B1137,Crosswalk!$A$2:$C$125,3,FALSE),"Unmapped")</f>
        <v/>
      </c>
    </row>
    <row r="1138">
      <c r="A1138" t="n">
        <v>2019</v>
      </c>
      <c r="B1138" t="inlineStr">
        <is>
          <t>BS48100</t>
        </is>
      </c>
      <c r="C1138" t="inlineStr">
        <is>
          <t>Air transportation</t>
        </is>
      </c>
      <c r="D1138" t="n">
        <v>29391.5</v>
      </c>
      <c r="E1138">
        <f>IFERROR(VLOOKUP(B1138,Crosswalk!$A$2:$C$125,3,FALSE),"Unmapped")</f>
        <v/>
      </c>
    </row>
    <row r="1139">
      <c r="A1139" t="n">
        <v>2019</v>
      </c>
      <c r="B1139" t="inlineStr">
        <is>
          <t>BS48200</t>
        </is>
      </c>
      <c r="C1139" t="inlineStr">
        <is>
          <t>Rail transportation</t>
        </is>
      </c>
      <c r="D1139" t="n">
        <v>17060.3</v>
      </c>
      <c r="E1139">
        <f>IFERROR(VLOOKUP(B1139,Crosswalk!$A$2:$C$125,3,FALSE),"Unmapped")</f>
        <v/>
      </c>
    </row>
    <row r="1140">
      <c r="A1140" t="n">
        <v>2019</v>
      </c>
      <c r="B1140" t="inlineStr">
        <is>
          <t>BS48300</t>
        </is>
      </c>
      <c r="C1140" t="inlineStr">
        <is>
          <t>Water transportation</t>
        </is>
      </c>
      <c r="D1140" t="n">
        <v>4831.6</v>
      </c>
      <c r="E1140">
        <f>IFERROR(VLOOKUP(B1140,Crosswalk!$A$2:$C$125,3,FALSE),"Unmapped")</f>
        <v/>
      </c>
    </row>
    <row r="1141">
      <c r="A1141" t="n">
        <v>2019</v>
      </c>
      <c r="B1141" t="inlineStr">
        <is>
          <t>BS48400</t>
        </is>
      </c>
      <c r="C1141" t="inlineStr">
        <is>
          <t>Truck transportation</t>
        </is>
      </c>
      <c r="D1141" t="n">
        <v>70818.89999999999</v>
      </c>
      <c r="E1141">
        <f>IFERROR(VLOOKUP(B1141,Crosswalk!$A$2:$C$125,3,FALSE),"Unmapped")</f>
        <v/>
      </c>
    </row>
    <row r="1142">
      <c r="A1142" t="n">
        <v>2019</v>
      </c>
      <c r="B1142" t="inlineStr">
        <is>
          <t>BS48600</t>
        </is>
      </c>
      <c r="C1142" t="inlineStr">
        <is>
          <t>Pipeline transportation</t>
        </is>
      </c>
      <c r="D1142" t="n">
        <v>13704.2</v>
      </c>
      <c r="E1142">
        <f>IFERROR(VLOOKUP(B1142,Crosswalk!$A$2:$C$125,3,FALSE),"Unmapped")</f>
        <v/>
      </c>
    </row>
    <row r="1143">
      <c r="A1143" t="n">
        <v>2019</v>
      </c>
      <c r="B1143" t="inlineStr">
        <is>
          <t>BS48B00</t>
        </is>
      </c>
      <c r="C1143" t="inlineStr">
        <is>
          <t>Transit, ground passenger and scenic and sightseeing transportation, taxi and limousine service and support activities for transportation</t>
        </is>
      </c>
      <c r="D1143" t="n">
        <v>56736.4</v>
      </c>
      <c r="E1143">
        <f>IFERROR(VLOOKUP(B1143,Crosswalk!$A$2:$C$125,3,FALSE),"Unmapped")</f>
        <v/>
      </c>
    </row>
    <row r="1144">
      <c r="A1144" t="n">
        <v>2019</v>
      </c>
      <c r="B1144" t="inlineStr">
        <is>
          <t>BS49300</t>
        </is>
      </c>
      <c r="C1144" t="inlineStr">
        <is>
          <t>Warehousing and storage</t>
        </is>
      </c>
      <c r="D1144" t="n">
        <v>6941.3</v>
      </c>
      <c r="E1144">
        <f>IFERROR(VLOOKUP(B1144,Crosswalk!$A$2:$C$125,3,FALSE),"Unmapped")</f>
        <v/>
      </c>
    </row>
    <row r="1145">
      <c r="A1145" t="n">
        <v>2019</v>
      </c>
      <c r="B1145" t="inlineStr">
        <is>
          <t>BS49A00</t>
        </is>
      </c>
      <c r="C1145" t="inlineStr">
        <is>
          <t>Postal service, couriers and messengers</t>
        </is>
      </c>
      <c r="D1145" t="n">
        <v>17604</v>
      </c>
      <c r="E1145">
        <f>IFERROR(VLOOKUP(B1145,Crosswalk!$A$2:$C$125,3,FALSE),"Unmapped")</f>
        <v/>
      </c>
    </row>
    <row r="1146">
      <c r="A1146" t="n">
        <v>2019</v>
      </c>
      <c r="B1146" t="inlineStr">
        <is>
          <t>BS4AA00</t>
        </is>
      </c>
      <c r="C1146" t="inlineStr">
        <is>
          <t>Retail trade (except cannabis)</t>
        </is>
      </c>
      <c r="D1146" t="n">
        <v>175320</v>
      </c>
      <c r="E1146">
        <f>IFERROR(VLOOKUP(B1146,Crosswalk!$A$2:$C$125,3,FALSE),"Unmapped")</f>
        <v/>
      </c>
    </row>
    <row r="1147">
      <c r="A1147" t="n">
        <v>2019</v>
      </c>
      <c r="B1147" t="inlineStr">
        <is>
          <t>BS51200</t>
        </is>
      </c>
      <c r="C1147" t="inlineStr">
        <is>
          <t>Motion picture and sound recording industries</t>
        </is>
      </c>
      <c r="D1147" t="n">
        <v>13823.1</v>
      </c>
      <c r="E1147">
        <f>IFERROR(VLOOKUP(B1147,Crosswalk!$A$2:$C$125,3,FALSE),"Unmapped")</f>
        <v/>
      </c>
    </row>
    <row r="1148">
      <c r="A1148" t="n">
        <v>2019</v>
      </c>
      <c r="B1148" t="inlineStr">
        <is>
          <t>BS51610</t>
        </is>
      </c>
      <c r="C1148" t="inlineStr">
        <is>
          <t>Radio and television broadcasting stations</t>
        </is>
      </c>
      <c r="D1148" t="n">
        <v>3642.6</v>
      </c>
      <c r="E1148">
        <f>IFERROR(VLOOKUP(B1148,Crosswalk!$A$2:$C$125,3,FALSE),"Unmapped")</f>
        <v/>
      </c>
    </row>
    <row r="1149">
      <c r="A1149" t="n">
        <v>2019</v>
      </c>
      <c r="B1149" t="inlineStr">
        <is>
          <t>BS51B00</t>
        </is>
      </c>
      <c r="C1149" t="inlineStr">
        <is>
          <t>Publishing, pay/specialty services, telecommunications and other information services</t>
        </is>
      </c>
      <c r="D1149" t="n">
        <v>102543.1</v>
      </c>
      <c r="E1149">
        <f>IFERROR(VLOOKUP(B1149,Crosswalk!$A$2:$C$125,3,FALSE),"Unmapped")</f>
        <v/>
      </c>
    </row>
    <row r="1150">
      <c r="A1150" t="n">
        <v>2019</v>
      </c>
      <c r="B1150" t="inlineStr">
        <is>
          <t>BS52410</t>
        </is>
      </c>
      <c r="C1150" t="inlineStr">
        <is>
          <t>Insurance carriers</t>
        </is>
      </c>
      <c r="D1150" t="n">
        <v>50391</v>
      </c>
      <c r="E1150">
        <f>IFERROR(VLOOKUP(B1150,Crosswalk!$A$2:$C$125,3,FALSE),"Unmapped")</f>
        <v/>
      </c>
    </row>
    <row r="1151">
      <c r="A1151" t="n">
        <v>2019</v>
      </c>
      <c r="B1151" t="inlineStr">
        <is>
          <t>BS52B00</t>
        </is>
      </c>
      <c r="C1151" t="inlineStr">
        <is>
          <t>Depository credit intermediation and monetary authorities</t>
        </is>
      </c>
      <c r="D1151" t="n">
        <v>105131.3</v>
      </c>
      <c r="E1151">
        <f>IFERROR(VLOOKUP(B1151,Crosswalk!$A$2:$C$125,3,FALSE),"Unmapped")</f>
        <v/>
      </c>
    </row>
    <row r="1152">
      <c r="A1152" t="n">
        <v>2019</v>
      </c>
      <c r="B1152" t="inlineStr">
        <is>
          <t>BS53110</t>
        </is>
      </c>
      <c r="C1152" t="inlineStr">
        <is>
          <t>Lessors of real estate</t>
        </is>
      </c>
      <c r="D1152" t="n">
        <v>112874.7</v>
      </c>
      <c r="E1152">
        <f>IFERROR(VLOOKUP(B1152,Crosswalk!$A$2:$C$125,3,FALSE),"Unmapped")</f>
        <v/>
      </c>
    </row>
    <row r="1153">
      <c r="A1153" t="n">
        <v>2019</v>
      </c>
      <c r="B1153" t="inlineStr">
        <is>
          <t>BS5311A</t>
        </is>
      </c>
      <c r="C1153" t="inlineStr">
        <is>
          <t>Owner-occupied dwellings</t>
        </is>
      </c>
      <c r="D1153" t="n">
        <v>202589.9</v>
      </c>
      <c r="E1153">
        <f>IFERROR(VLOOKUP(B1153,Crosswalk!$A$2:$C$125,3,FALSE),"Unmapped")</f>
        <v/>
      </c>
    </row>
    <row r="1154">
      <c r="A1154" t="n">
        <v>2019</v>
      </c>
      <c r="B1154" t="inlineStr">
        <is>
          <t>BS53B00</t>
        </is>
      </c>
      <c r="C1154" t="inlineStr">
        <is>
          <t>Rental and leasing services and lessors of non-financial intangible assets (except copyrighted works)</t>
        </is>
      </c>
      <c r="D1154" t="n">
        <v>26007.9</v>
      </c>
      <c r="E1154">
        <f>IFERROR(VLOOKUP(B1154,Crosswalk!$A$2:$C$125,3,FALSE),"Unmapped")</f>
        <v/>
      </c>
    </row>
    <row r="1155">
      <c r="A1155" t="n">
        <v>2019</v>
      </c>
      <c r="B1155" t="inlineStr">
        <is>
          <t>BS54180</t>
        </is>
      </c>
      <c r="C1155" t="inlineStr">
        <is>
          <t>Advertising, public relations, and related services</t>
        </is>
      </c>
      <c r="D1155" t="n">
        <v>11111.4</v>
      </c>
      <c r="E1155">
        <f>IFERROR(VLOOKUP(B1155,Crosswalk!$A$2:$C$125,3,FALSE),"Unmapped")</f>
        <v/>
      </c>
    </row>
    <row r="1156">
      <c r="A1156" t="n">
        <v>2019</v>
      </c>
      <c r="B1156" t="inlineStr">
        <is>
          <t>BS541C0</t>
        </is>
      </c>
      <c r="C1156" t="inlineStr">
        <is>
          <t>Legal, accounting and architectural, engineering and related services</t>
        </is>
      </c>
      <c r="D1156" t="n">
        <v>86599.3</v>
      </c>
      <c r="E1156">
        <f>IFERROR(VLOOKUP(B1156,Crosswalk!$A$2:$C$125,3,FALSE),"Unmapped")</f>
        <v/>
      </c>
    </row>
    <row r="1157">
      <c r="A1157" t="n">
        <v>2019</v>
      </c>
      <c r="B1157" t="inlineStr">
        <is>
          <t>BS541D0</t>
        </is>
      </c>
      <c r="C1157" t="inlineStr">
        <is>
          <t>Computer systems design and other professional, scientific and technical services</t>
        </is>
      </c>
      <c r="D1157" t="n">
        <v>115328.9</v>
      </c>
      <c r="E1157">
        <f>IFERROR(VLOOKUP(B1157,Crosswalk!$A$2:$C$125,3,FALSE),"Unmapped")</f>
        <v/>
      </c>
    </row>
    <row r="1158">
      <c r="A1158" t="n">
        <v>2019</v>
      </c>
      <c r="B1158" t="inlineStr">
        <is>
          <t>BS56100</t>
        </is>
      </c>
      <c r="C1158" t="inlineStr">
        <is>
          <t>Administrative and support services</t>
        </is>
      </c>
      <c r="D1158" t="n">
        <v>87084.8</v>
      </c>
      <c r="E1158">
        <f>IFERROR(VLOOKUP(B1158,Crosswalk!$A$2:$C$125,3,FALSE),"Unmapped")</f>
        <v/>
      </c>
    </row>
    <row r="1159">
      <c r="A1159" t="n">
        <v>2019</v>
      </c>
      <c r="B1159" t="inlineStr">
        <is>
          <t>BS56200</t>
        </is>
      </c>
      <c r="C1159" t="inlineStr">
        <is>
          <t>Waste management and remediation services</t>
        </is>
      </c>
      <c r="D1159" t="n">
        <v>13723.4</v>
      </c>
      <c r="E1159">
        <f>IFERROR(VLOOKUP(B1159,Crosswalk!$A$2:$C$125,3,FALSE),"Unmapped")</f>
        <v/>
      </c>
    </row>
    <row r="1160">
      <c r="A1160" t="n">
        <v>2019</v>
      </c>
      <c r="B1160" t="inlineStr">
        <is>
          <t>BS5A000</t>
        </is>
      </c>
      <c r="C1160" t="inlineStr">
        <is>
          <t>Other finance, insurance and real estate services and management of companies and enterprises</t>
        </is>
      </c>
      <c r="D1160" t="n">
        <v>150340.4</v>
      </c>
      <c r="E1160">
        <f>IFERROR(VLOOKUP(B1160,Crosswalk!$A$2:$C$125,3,FALSE),"Unmapped")</f>
        <v/>
      </c>
    </row>
    <row r="1161">
      <c r="A1161" t="n">
        <v>2019</v>
      </c>
      <c r="B1161" t="inlineStr">
        <is>
          <t>BS61000</t>
        </is>
      </c>
      <c r="C1161" t="inlineStr">
        <is>
          <t>Educational services</t>
        </is>
      </c>
      <c r="D1161" t="n">
        <v>8586.700000000001</v>
      </c>
      <c r="E1161">
        <f>IFERROR(VLOOKUP(B1161,Crosswalk!$A$2:$C$125,3,FALSE),"Unmapped")</f>
        <v/>
      </c>
    </row>
    <row r="1162">
      <c r="A1162" t="n">
        <v>2019</v>
      </c>
      <c r="B1162" t="inlineStr">
        <is>
          <t>BS62000</t>
        </is>
      </c>
      <c r="C1162" t="inlineStr">
        <is>
          <t>Health care and social assistance</t>
        </is>
      </c>
      <c r="D1162" t="n">
        <v>87215</v>
      </c>
      <c r="E1162">
        <f>IFERROR(VLOOKUP(B1162,Crosswalk!$A$2:$C$125,3,FALSE),"Unmapped")</f>
        <v/>
      </c>
    </row>
    <row r="1163">
      <c r="A1163" t="n">
        <v>2019</v>
      </c>
      <c r="B1163" t="inlineStr">
        <is>
          <t>BS71000</t>
        </is>
      </c>
      <c r="C1163" t="inlineStr">
        <is>
          <t>Arts, entertainment and recreation</t>
        </is>
      </c>
      <c r="D1163" t="n">
        <v>29802.1</v>
      </c>
      <c r="E1163">
        <f>IFERROR(VLOOKUP(B1163,Crosswalk!$A$2:$C$125,3,FALSE),"Unmapped")</f>
        <v/>
      </c>
    </row>
    <row r="1164">
      <c r="A1164" t="n">
        <v>2019</v>
      </c>
      <c r="B1164" t="inlineStr">
        <is>
          <t>BS72000</t>
        </is>
      </c>
      <c r="C1164" t="inlineStr">
        <is>
          <t>Accommodation and food services</t>
        </is>
      </c>
      <c r="D1164" t="n">
        <v>106671.8</v>
      </c>
      <c r="E1164">
        <f>IFERROR(VLOOKUP(B1164,Crosswalk!$A$2:$C$125,3,FALSE),"Unmapped")</f>
        <v/>
      </c>
    </row>
    <row r="1165">
      <c r="A1165" t="n">
        <v>2019</v>
      </c>
      <c r="B1165" t="inlineStr">
        <is>
          <t>BS81100</t>
        </is>
      </c>
      <c r="C1165" t="inlineStr">
        <is>
          <t>Repair and maintenance</t>
        </is>
      </c>
      <c r="D1165" t="n">
        <v>28006.3</v>
      </c>
      <c r="E1165">
        <f>IFERROR(VLOOKUP(B1165,Crosswalk!$A$2:$C$125,3,FALSE),"Unmapped")</f>
        <v/>
      </c>
    </row>
    <row r="1166">
      <c r="A1166" t="n">
        <v>2019</v>
      </c>
      <c r="B1166" t="inlineStr">
        <is>
          <t>BS81300</t>
        </is>
      </c>
      <c r="C1166" t="inlineStr">
        <is>
          <t>Business, professional and other membership organizations</t>
        </is>
      </c>
      <c r="D1166" t="n">
        <v>5514</v>
      </c>
      <c r="E1166">
        <f>IFERROR(VLOOKUP(B1166,Crosswalk!$A$2:$C$125,3,FALSE),"Unmapped")</f>
        <v/>
      </c>
    </row>
    <row r="1167">
      <c r="A1167" t="n">
        <v>2019</v>
      </c>
      <c r="B1167" t="inlineStr">
        <is>
          <t>BS81A00</t>
        </is>
      </c>
      <c r="C1167" t="inlineStr">
        <is>
          <t>Personal services and private households</t>
        </is>
      </c>
      <c r="D1167" t="n">
        <v>20476.2</v>
      </c>
      <c r="E1167">
        <f>IFERROR(VLOOKUP(B1167,Crosswalk!$A$2:$C$125,3,FALSE),"Unmapped")</f>
        <v/>
      </c>
    </row>
    <row r="1168">
      <c r="A1168" t="n">
        <v>2019</v>
      </c>
      <c r="B1168" t="inlineStr">
        <is>
          <t>GS61130</t>
        </is>
      </c>
      <c r="C1168" t="inlineStr">
        <is>
          <t>Universities</t>
        </is>
      </c>
      <c r="D1168" t="n">
        <v>48290.9</v>
      </c>
      <c r="E1168">
        <f>IFERROR(VLOOKUP(B1168,Crosswalk!$A$2:$C$125,3,FALSE),"Unmapped")</f>
        <v/>
      </c>
    </row>
    <row r="1169">
      <c r="A1169" t="n">
        <v>2019</v>
      </c>
      <c r="B1169" t="inlineStr">
        <is>
          <t>GS611B0</t>
        </is>
      </c>
      <c r="C1169" t="inlineStr">
        <is>
          <t>Educational services (except universities)</t>
        </is>
      </c>
      <c r="D1169" t="n">
        <v>80500.10000000001</v>
      </c>
      <c r="E1169">
        <f>IFERROR(VLOOKUP(B1169,Crosswalk!$A$2:$C$125,3,FALSE),"Unmapped")</f>
        <v/>
      </c>
    </row>
    <row r="1170">
      <c r="A1170" t="n">
        <v>2019</v>
      </c>
      <c r="B1170" t="inlineStr">
        <is>
          <t>GS62300</t>
        </is>
      </c>
      <c r="C1170" t="inlineStr">
        <is>
          <t>Nursing and residential care facilities</t>
        </is>
      </c>
      <c r="D1170" t="n">
        <v>18198.8</v>
      </c>
      <c r="E1170">
        <f>IFERROR(VLOOKUP(B1170,Crosswalk!$A$2:$C$125,3,FALSE),"Unmapped")</f>
        <v/>
      </c>
    </row>
    <row r="1171">
      <c r="A1171" t="n">
        <v>2019</v>
      </c>
      <c r="B1171" t="inlineStr">
        <is>
          <t>GS62B00</t>
        </is>
      </c>
      <c r="C1171" t="inlineStr">
        <is>
          <t>Health care and social assistance (except nursing and residential care facilities)</t>
        </is>
      </c>
      <c r="D1171" t="n">
        <v>108749.1</v>
      </c>
      <c r="E1171">
        <f>IFERROR(VLOOKUP(B1171,Crosswalk!$A$2:$C$125,3,FALSE),"Unmapped")</f>
        <v/>
      </c>
    </row>
    <row r="1172">
      <c r="A1172" t="n">
        <v>2019</v>
      </c>
      <c r="B1172" t="inlineStr">
        <is>
          <t>GS91100</t>
        </is>
      </c>
      <c r="C1172" t="inlineStr">
        <is>
          <t>Other federal government services</t>
        </is>
      </c>
      <c r="D1172" t="n">
        <v>88601.89999999999</v>
      </c>
      <c r="E1172">
        <f>IFERROR(VLOOKUP(B1172,Crosswalk!$A$2:$C$125,3,FALSE),"Unmapped")</f>
        <v/>
      </c>
    </row>
    <row r="1173">
      <c r="A1173" t="n">
        <v>2019</v>
      </c>
      <c r="B1173" t="inlineStr">
        <is>
          <t>GS91200</t>
        </is>
      </c>
      <c r="C1173" t="inlineStr">
        <is>
          <t>Other provincial and territorial government services</t>
        </is>
      </c>
      <c r="D1173" t="n">
        <v>135337.5</v>
      </c>
      <c r="E1173">
        <f>IFERROR(VLOOKUP(B1173,Crosswalk!$A$2:$C$125,3,FALSE),"Unmapped")</f>
        <v/>
      </c>
    </row>
    <row r="1174">
      <c r="A1174" t="n">
        <v>2019</v>
      </c>
      <c r="B1174" t="inlineStr">
        <is>
          <t>GS91300</t>
        </is>
      </c>
      <c r="C1174" t="inlineStr">
        <is>
          <t>Other municipal government services</t>
        </is>
      </c>
      <c r="D1174" t="n">
        <v>95439.5</v>
      </c>
      <c r="E1174">
        <f>IFERROR(VLOOKUP(B1174,Crosswalk!$A$2:$C$125,3,FALSE),"Unmapped")</f>
        <v/>
      </c>
    </row>
    <row r="1175">
      <c r="A1175" t="n">
        <v>2019</v>
      </c>
      <c r="B1175" t="inlineStr">
        <is>
          <t>GS91400</t>
        </is>
      </c>
      <c r="C1175" t="inlineStr">
        <is>
          <t>Other Indigenous government services</t>
        </is>
      </c>
      <c r="D1175" t="n">
        <v>12292</v>
      </c>
      <c r="E1175">
        <f>IFERROR(VLOOKUP(B1175,Crosswalk!$A$2:$C$125,3,FALSE),"Unmapped")</f>
        <v/>
      </c>
    </row>
    <row r="1176">
      <c r="A1176" t="n">
        <v>2019</v>
      </c>
      <c r="B1176" t="inlineStr">
        <is>
          <t>NP61000</t>
        </is>
      </c>
      <c r="C1176" t="inlineStr">
        <is>
          <t>Educational services</t>
        </is>
      </c>
      <c r="D1176" t="n">
        <v>6189.1</v>
      </c>
      <c r="E1176">
        <f>IFERROR(VLOOKUP(B1176,Crosswalk!$A$2:$C$125,3,FALSE),"Unmapped")</f>
        <v/>
      </c>
    </row>
    <row r="1177">
      <c r="A1177" t="n">
        <v>2019</v>
      </c>
      <c r="B1177" t="inlineStr">
        <is>
          <t>NP62400</t>
        </is>
      </c>
      <c r="C1177" t="inlineStr">
        <is>
          <t>Social assistance</t>
        </is>
      </c>
      <c r="D1177" t="n">
        <v>13009.5</v>
      </c>
      <c r="E1177">
        <f>IFERROR(VLOOKUP(B1177,Crosswalk!$A$2:$C$125,3,FALSE),"Unmapped")</f>
        <v/>
      </c>
    </row>
    <row r="1178">
      <c r="A1178" t="n">
        <v>2019</v>
      </c>
      <c r="B1178" t="inlineStr">
        <is>
          <t>NP71000</t>
        </is>
      </c>
      <c r="C1178" t="inlineStr">
        <is>
          <t>Arts, entertainment and recreation</t>
        </is>
      </c>
      <c r="D1178" t="n">
        <v>2871</v>
      </c>
      <c r="E1178">
        <f>IFERROR(VLOOKUP(B1178,Crosswalk!$A$2:$C$125,3,FALSE),"Unmapped")</f>
        <v/>
      </c>
    </row>
    <row r="1179">
      <c r="A1179" t="n">
        <v>2019</v>
      </c>
      <c r="B1179" t="inlineStr">
        <is>
          <t>NP81310</t>
        </is>
      </c>
      <c r="C1179" t="inlineStr">
        <is>
          <t>Religious organizations</t>
        </is>
      </c>
      <c r="D1179" t="n">
        <v>6423.7</v>
      </c>
      <c r="E1179">
        <f>IFERROR(VLOOKUP(B1179,Crosswalk!$A$2:$C$125,3,FALSE),"Unmapped")</f>
        <v/>
      </c>
    </row>
    <row r="1180">
      <c r="A1180" t="n">
        <v>2019</v>
      </c>
      <c r="B1180" t="inlineStr">
        <is>
          <t>NPA0000</t>
        </is>
      </c>
      <c r="C1180" t="inlineStr">
        <is>
          <t>Miscellaneous non-profit institutions serving households</t>
        </is>
      </c>
      <c r="D1180" t="n">
        <v>27051.9</v>
      </c>
      <c r="E1180">
        <f>IFERROR(VLOOKUP(B1180,Crosswalk!$A$2:$C$125,3,FALSE),"Unmapped")</f>
        <v/>
      </c>
    </row>
    <row r="1181">
      <c r="A1181" t="n">
        <v>2020</v>
      </c>
      <c r="B1181" t="inlineStr">
        <is>
          <t>BS111CL</t>
        </is>
      </c>
      <c r="C1181" t="inlineStr">
        <is>
          <t>Cannabis production (licensed)</t>
        </is>
      </c>
      <c r="D1181" t="n">
        <v>3487</v>
      </c>
      <c r="E1181">
        <f>IFERROR(VLOOKUP(B1181,Crosswalk!$A$2:$C$125,3,FALSE),"Unmapped")</f>
        <v/>
      </c>
    </row>
    <row r="1182">
      <c r="A1182" t="n">
        <v>2020</v>
      </c>
      <c r="B1182" t="inlineStr">
        <is>
          <t>BS111CU</t>
        </is>
      </c>
      <c r="C1182" t="inlineStr">
        <is>
          <t>Cannabis production (unlicensed)</t>
        </is>
      </c>
      <c r="D1182" t="n">
        <v>3176.9</v>
      </c>
      <c r="E1182">
        <f>IFERROR(VLOOKUP(B1182,Crosswalk!$A$2:$C$125,3,FALSE),"Unmapped")</f>
        <v/>
      </c>
    </row>
    <row r="1183">
      <c r="A1183" t="n">
        <v>2020</v>
      </c>
      <c r="B1183" t="inlineStr">
        <is>
          <t>BS11300</t>
        </is>
      </c>
      <c r="C1183" t="inlineStr">
        <is>
          <t>Forestry and logging</t>
        </is>
      </c>
      <c r="D1183" t="n">
        <v>10327.1</v>
      </c>
      <c r="E1183">
        <f>IFERROR(VLOOKUP(B1183,Crosswalk!$A$2:$C$125,3,FALSE),"Unmapped")</f>
        <v/>
      </c>
    </row>
    <row r="1184">
      <c r="A1184" t="n">
        <v>2020</v>
      </c>
      <c r="B1184" t="inlineStr">
        <is>
          <t>BS11400</t>
        </is>
      </c>
      <c r="C1184" t="inlineStr">
        <is>
          <t>Fishing, hunting and trapping</t>
        </is>
      </c>
      <c r="D1184" t="n">
        <v>2832.6</v>
      </c>
      <c r="E1184">
        <f>IFERROR(VLOOKUP(B1184,Crosswalk!$A$2:$C$125,3,FALSE),"Unmapped")</f>
        <v/>
      </c>
    </row>
    <row r="1185">
      <c r="A1185" t="n">
        <v>2020</v>
      </c>
      <c r="B1185" t="inlineStr">
        <is>
          <t>BS11500</t>
        </is>
      </c>
      <c r="C1185" t="inlineStr">
        <is>
          <t>Support activities for agriculture and forestry</t>
        </is>
      </c>
      <c r="D1185" t="n">
        <v>4109.3</v>
      </c>
      <c r="E1185">
        <f>IFERROR(VLOOKUP(B1185,Crosswalk!$A$2:$C$125,3,FALSE),"Unmapped")</f>
        <v/>
      </c>
    </row>
    <row r="1186">
      <c r="A1186" t="n">
        <v>2020</v>
      </c>
      <c r="B1186" t="inlineStr">
        <is>
          <t>BS11B00</t>
        </is>
      </c>
      <c r="C1186" t="inlineStr">
        <is>
          <t>Crop and animal production (except cannabis)</t>
        </is>
      </c>
      <c r="D1186" t="n">
        <v>76222.39999999999</v>
      </c>
      <c r="E1186">
        <f>IFERROR(VLOOKUP(B1186,Crosswalk!$A$2:$C$125,3,FALSE),"Unmapped")</f>
        <v/>
      </c>
    </row>
    <row r="1187">
      <c r="A1187" t="n">
        <v>2020</v>
      </c>
      <c r="B1187" t="inlineStr">
        <is>
          <t>BS21100</t>
        </is>
      </c>
      <c r="C1187" t="inlineStr">
        <is>
          <t>Oil and gas extraction</t>
        </is>
      </c>
      <c r="D1187" t="n">
        <v>90781.60000000001</v>
      </c>
      <c r="E1187">
        <f>IFERROR(VLOOKUP(B1187,Crosswalk!$A$2:$C$125,3,FALSE),"Unmapped")</f>
        <v/>
      </c>
    </row>
    <row r="1188">
      <c r="A1188" t="n">
        <v>2020</v>
      </c>
      <c r="B1188" t="inlineStr">
        <is>
          <t>BS21210</t>
        </is>
      </c>
      <c r="C1188" t="inlineStr">
        <is>
          <t>Coal mining</t>
        </is>
      </c>
      <c r="D1188" t="n">
        <v>3942.5</v>
      </c>
      <c r="E1188">
        <f>IFERROR(VLOOKUP(B1188,Crosswalk!$A$2:$C$125,3,FALSE),"Unmapped")</f>
        <v/>
      </c>
    </row>
    <row r="1189">
      <c r="A1189" t="n">
        <v>2020</v>
      </c>
      <c r="B1189" t="inlineStr">
        <is>
          <t>BS21220</t>
        </is>
      </c>
      <c r="C1189" t="inlineStr">
        <is>
          <t>Metal ore mining</t>
        </is>
      </c>
      <c r="D1189" t="n">
        <v>32673.2</v>
      </c>
      <c r="E1189">
        <f>IFERROR(VLOOKUP(B1189,Crosswalk!$A$2:$C$125,3,FALSE),"Unmapped")</f>
        <v/>
      </c>
    </row>
    <row r="1190">
      <c r="A1190" t="n">
        <v>2020</v>
      </c>
      <c r="B1190" t="inlineStr">
        <is>
          <t>BS21230</t>
        </is>
      </c>
      <c r="C1190" t="inlineStr">
        <is>
          <t>Non-metallic mineral mining and quarrying</t>
        </is>
      </c>
      <c r="D1190" t="n">
        <v>12634.2</v>
      </c>
      <c r="E1190">
        <f>IFERROR(VLOOKUP(B1190,Crosswalk!$A$2:$C$125,3,FALSE),"Unmapped")</f>
        <v/>
      </c>
    </row>
    <row r="1191">
      <c r="A1191" t="n">
        <v>2020</v>
      </c>
      <c r="B1191" t="inlineStr">
        <is>
          <t>BS21300</t>
        </is>
      </c>
      <c r="C1191" t="inlineStr">
        <is>
          <t>Support activities for mining, and oil and gas extraction</t>
        </is>
      </c>
      <c r="D1191" t="n">
        <v>18516.8</v>
      </c>
      <c r="E1191">
        <f>IFERROR(VLOOKUP(B1191,Crosswalk!$A$2:$C$125,3,FALSE),"Unmapped")</f>
        <v/>
      </c>
    </row>
    <row r="1192">
      <c r="A1192" t="n">
        <v>2020</v>
      </c>
      <c r="B1192" t="inlineStr">
        <is>
          <t>BS22110</t>
        </is>
      </c>
      <c r="C1192" t="inlineStr">
        <is>
          <t>Electric power generation, transmission and distribution</t>
        </is>
      </c>
      <c r="D1192" t="n">
        <v>51104.9</v>
      </c>
      <c r="E1192">
        <f>IFERROR(VLOOKUP(B1192,Crosswalk!$A$2:$C$125,3,FALSE),"Unmapped")</f>
        <v/>
      </c>
    </row>
    <row r="1193">
      <c r="A1193" t="n">
        <v>2020</v>
      </c>
      <c r="B1193" t="inlineStr">
        <is>
          <t>BS221A0</t>
        </is>
      </c>
      <c r="C1193" t="inlineStr">
        <is>
          <t>Natural gas distribution, water, sewage and other systems</t>
        </is>
      </c>
      <c r="D1193" t="n">
        <v>7681.6</v>
      </c>
      <c r="E1193">
        <f>IFERROR(VLOOKUP(B1193,Crosswalk!$A$2:$C$125,3,FALSE),"Unmapped")</f>
        <v/>
      </c>
    </row>
    <row r="1194">
      <c r="A1194" t="n">
        <v>2020</v>
      </c>
      <c r="B1194" t="inlineStr">
        <is>
          <t>BS23A00</t>
        </is>
      </c>
      <c r="C1194" t="inlineStr">
        <is>
          <t>Residential building construction</t>
        </is>
      </c>
      <c r="D1194" t="n">
        <v>133194.6</v>
      </c>
      <c r="E1194">
        <f>IFERROR(VLOOKUP(B1194,Crosswalk!$A$2:$C$125,3,FALSE),"Unmapped")</f>
        <v/>
      </c>
    </row>
    <row r="1195">
      <c r="A1195" t="n">
        <v>2020</v>
      </c>
      <c r="B1195" t="inlineStr">
        <is>
          <t>BS23B00</t>
        </is>
      </c>
      <c r="C1195" t="inlineStr">
        <is>
          <t>Non-residential building construction</t>
        </is>
      </c>
      <c r="D1195" t="n">
        <v>52164.8</v>
      </c>
      <c r="E1195">
        <f>IFERROR(VLOOKUP(B1195,Crosswalk!$A$2:$C$125,3,FALSE),"Unmapped")</f>
        <v/>
      </c>
    </row>
    <row r="1196">
      <c r="A1196" t="n">
        <v>2020</v>
      </c>
      <c r="B1196" t="inlineStr">
        <is>
          <t>BS23C10</t>
        </is>
      </c>
      <c r="C1196" t="inlineStr">
        <is>
          <t>Transportation engineering construction</t>
        </is>
      </c>
      <c r="D1196" t="n">
        <v>27789.5</v>
      </c>
      <c r="E1196">
        <f>IFERROR(VLOOKUP(B1196,Crosswalk!$A$2:$C$125,3,FALSE),"Unmapped")</f>
        <v/>
      </c>
    </row>
    <row r="1197">
      <c r="A1197" t="n">
        <v>2020</v>
      </c>
      <c r="B1197" t="inlineStr">
        <is>
          <t>BS23C20</t>
        </is>
      </c>
      <c r="C1197" t="inlineStr">
        <is>
          <t>Oil and gas engineering construction</t>
        </is>
      </c>
      <c r="D1197" t="n">
        <v>36878.8</v>
      </c>
      <c r="E1197">
        <f>IFERROR(VLOOKUP(B1197,Crosswalk!$A$2:$C$125,3,FALSE),"Unmapped")</f>
        <v/>
      </c>
    </row>
    <row r="1198">
      <c r="A1198" t="n">
        <v>2020</v>
      </c>
      <c r="B1198" t="inlineStr">
        <is>
          <t>BS23C30</t>
        </is>
      </c>
      <c r="C1198" t="inlineStr">
        <is>
          <t>Electric power engineering construction</t>
        </is>
      </c>
      <c r="D1198" t="n">
        <v>17728.8</v>
      </c>
      <c r="E1198">
        <f>IFERROR(VLOOKUP(B1198,Crosswalk!$A$2:$C$125,3,FALSE),"Unmapped")</f>
        <v/>
      </c>
    </row>
    <row r="1199">
      <c r="A1199" t="n">
        <v>2020</v>
      </c>
      <c r="B1199" t="inlineStr">
        <is>
          <t>BS23C40</t>
        </is>
      </c>
      <c r="C1199" t="inlineStr">
        <is>
          <t>Communication engineering construction</t>
        </is>
      </c>
      <c r="D1199" t="n">
        <v>6615.1</v>
      </c>
      <c r="E1199">
        <f>IFERROR(VLOOKUP(B1199,Crosswalk!$A$2:$C$125,3,FALSE),"Unmapped")</f>
        <v/>
      </c>
    </row>
    <row r="1200">
      <c r="A1200" t="n">
        <v>2020</v>
      </c>
      <c r="B1200" t="inlineStr">
        <is>
          <t>BS23C50</t>
        </is>
      </c>
      <c r="C1200" t="inlineStr">
        <is>
          <t>Other engineering construction</t>
        </is>
      </c>
      <c r="D1200" t="n">
        <v>21762.7</v>
      </c>
      <c r="E1200">
        <f>IFERROR(VLOOKUP(B1200,Crosswalk!$A$2:$C$125,3,FALSE),"Unmapped")</f>
        <v/>
      </c>
    </row>
    <row r="1201">
      <c r="A1201" t="n">
        <v>2020</v>
      </c>
      <c r="B1201" t="inlineStr">
        <is>
          <t>BS23D00</t>
        </is>
      </c>
      <c r="C1201" t="inlineStr">
        <is>
          <t>Repair construction</t>
        </is>
      </c>
      <c r="D1201" t="n">
        <v>51407.9</v>
      </c>
      <c r="E1201">
        <f>IFERROR(VLOOKUP(B1201,Crosswalk!$A$2:$C$125,3,FALSE),"Unmapped")</f>
        <v/>
      </c>
    </row>
    <row r="1202">
      <c r="A1202" t="n">
        <v>2020</v>
      </c>
      <c r="B1202" t="inlineStr">
        <is>
          <t>BS23E00</t>
        </is>
      </c>
      <c r="C1202" t="inlineStr">
        <is>
          <t>Other activities of the construction industry</t>
        </is>
      </c>
      <c r="D1202" t="n">
        <v>4301</v>
      </c>
      <c r="E1202">
        <f>IFERROR(VLOOKUP(B1202,Crosswalk!$A$2:$C$125,3,FALSE),"Unmapped")</f>
        <v/>
      </c>
    </row>
    <row r="1203">
      <c r="A1203" t="n">
        <v>2020</v>
      </c>
      <c r="B1203" t="inlineStr">
        <is>
          <t>BS31110</t>
        </is>
      </c>
      <c r="C1203" t="inlineStr">
        <is>
          <t>Animal food manufacturing</t>
        </is>
      </c>
      <c r="D1203" t="n">
        <v>9256.700000000001</v>
      </c>
      <c r="E1203">
        <f>IFERROR(VLOOKUP(B1203,Crosswalk!$A$2:$C$125,3,FALSE),"Unmapped")</f>
        <v/>
      </c>
    </row>
    <row r="1204">
      <c r="A1204" t="n">
        <v>2020</v>
      </c>
      <c r="B1204" t="inlineStr">
        <is>
          <t>BS31130</t>
        </is>
      </c>
      <c r="C1204" t="inlineStr">
        <is>
          <t>Sugar and confectionery product manufacturing</t>
        </is>
      </c>
      <c r="D1204" t="n">
        <v>4971.8</v>
      </c>
      <c r="E1204">
        <f>IFERROR(VLOOKUP(B1204,Crosswalk!$A$2:$C$125,3,FALSE),"Unmapped")</f>
        <v/>
      </c>
    </row>
    <row r="1205">
      <c r="A1205" t="n">
        <v>2020</v>
      </c>
      <c r="B1205" t="inlineStr">
        <is>
          <t>BS31140</t>
        </is>
      </c>
      <c r="C1205" t="inlineStr">
        <is>
          <t>Fruit and vegetable preserving and specialty food manufacturing</t>
        </is>
      </c>
      <c r="D1205" t="n">
        <v>8480.6</v>
      </c>
      <c r="E1205">
        <f>IFERROR(VLOOKUP(B1205,Crosswalk!$A$2:$C$125,3,FALSE),"Unmapped")</f>
        <v/>
      </c>
    </row>
    <row r="1206">
      <c r="A1206" t="n">
        <v>2020</v>
      </c>
      <c r="B1206" t="inlineStr">
        <is>
          <t>BS31150</t>
        </is>
      </c>
      <c r="C1206" t="inlineStr">
        <is>
          <t>Dairy product manufacturing</t>
        </is>
      </c>
      <c r="D1206" t="n">
        <v>16533.9</v>
      </c>
      <c r="E1206">
        <f>IFERROR(VLOOKUP(B1206,Crosswalk!$A$2:$C$125,3,FALSE),"Unmapped")</f>
        <v/>
      </c>
    </row>
    <row r="1207">
      <c r="A1207" t="n">
        <v>2020</v>
      </c>
      <c r="B1207" t="inlineStr">
        <is>
          <t>BS31160</t>
        </is>
      </c>
      <c r="C1207" t="inlineStr">
        <is>
          <t>Meat product manufacturing</t>
        </is>
      </c>
      <c r="D1207" t="n">
        <v>32461.5</v>
      </c>
      <c r="E1207">
        <f>IFERROR(VLOOKUP(B1207,Crosswalk!$A$2:$C$125,3,FALSE),"Unmapped")</f>
        <v/>
      </c>
    </row>
    <row r="1208">
      <c r="A1208" t="n">
        <v>2020</v>
      </c>
      <c r="B1208" t="inlineStr">
        <is>
          <t>BS31170</t>
        </is>
      </c>
      <c r="C1208" t="inlineStr">
        <is>
          <t>Seafood product preparation and packaging</t>
        </is>
      </c>
      <c r="D1208" t="n">
        <v>5610.5</v>
      </c>
      <c r="E1208">
        <f>IFERROR(VLOOKUP(B1208,Crosswalk!$A$2:$C$125,3,FALSE),"Unmapped")</f>
        <v/>
      </c>
    </row>
    <row r="1209">
      <c r="A1209" t="n">
        <v>2020</v>
      </c>
      <c r="B1209" t="inlineStr">
        <is>
          <t>BS311A0</t>
        </is>
      </c>
      <c r="C1209" t="inlineStr">
        <is>
          <t>Miscellaneous food manufacturing</t>
        </is>
      </c>
      <c r="D1209" t="n">
        <v>39561.4</v>
      </c>
      <c r="E1209">
        <f>IFERROR(VLOOKUP(B1209,Crosswalk!$A$2:$C$125,3,FALSE),"Unmapped")</f>
        <v/>
      </c>
    </row>
    <row r="1210">
      <c r="A1210" t="n">
        <v>2020</v>
      </c>
      <c r="B1210" t="inlineStr">
        <is>
          <t>BS31211</t>
        </is>
      </c>
      <c r="C1210" t="inlineStr">
        <is>
          <t>Soft drink and ice manufacturing</t>
        </is>
      </c>
      <c r="D1210" t="n">
        <v>4891.2</v>
      </c>
      <c r="E1210">
        <f>IFERROR(VLOOKUP(B1210,Crosswalk!$A$2:$C$125,3,FALSE),"Unmapped")</f>
        <v/>
      </c>
    </row>
    <row r="1211">
      <c r="A1211" t="n">
        <v>2020</v>
      </c>
      <c r="B1211" t="inlineStr">
        <is>
          <t>BS31212</t>
        </is>
      </c>
      <c r="C1211" t="inlineStr">
        <is>
          <t>Breweries</t>
        </is>
      </c>
      <c r="D1211" t="n">
        <v>6877.9</v>
      </c>
      <c r="E1211">
        <f>IFERROR(VLOOKUP(B1211,Crosswalk!$A$2:$C$125,3,FALSE),"Unmapped")</f>
        <v/>
      </c>
    </row>
    <row r="1212">
      <c r="A1212" t="n">
        <v>2020</v>
      </c>
      <c r="B1212" t="inlineStr">
        <is>
          <t>BS3121A</t>
        </is>
      </c>
      <c r="C1212" t="inlineStr">
        <is>
          <t>Wineries and distilleries</t>
        </is>
      </c>
      <c r="D1212" t="n">
        <v>3099.2</v>
      </c>
      <c r="E1212">
        <f>IFERROR(VLOOKUP(B1212,Crosswalk!$A$2:$C$125,3,FALSE),"Unmapped")</f>
        <v/>
      </c>
    </row>
    <row r="1213">
      <c r="A1213" t="n">
        <v>2020</v>
      </c>
      <c r="B1213" t="inlineStr">
        <is>
          <t>BS312A0</t>
        </is>
      </c>
      <c r="C1213" t="inlineStr">
        <is>
          <t>Tobacco and cannabis product manufacturing</t>
        </is>
      </c>
      <c r="D1213" t="n">
        <v>3412.8</v>
      </c>
      <c r="E1213">
        <f>IFERROR(VLOOKUP(B1213,Crosswalk!$A$2:$C$125,3,FALSE),"Unmapped")</f>
        <v/>
      </c>
    </row>
    <row r="1214">
      <c r="A1214" t="n">
        <v>2020</v>
      </c>
      <c r="B1214" t="inlineStr">
        <is>
          <t>BS31A00</t>
        </is>
      </c>
      <c r="C1214" t="inlineStr">
        <is>
          <t>Textile and textile product mills</t>
        </is>
      </c>
      <c r="D1214" t="n">
        <v>3590.4</v>
      </c>
      <c r="E1214">
        <f>IFERROR(VLOOKUP(B1214,Crosswalk!$A$2:$C$125,3,FALSE),"Unmapped")</f>
        <v/>
      </c>
    </row>
    <row r="1215">
      <c r="A1215" t="n">
        <v>2020</v>
      </c>
      <c r="B1215" t="inlineStr">
        <is>
          <t>BS31B00</t>
        </is>
      </c>
      <c r="C1215" t="inlineStr">
        <is>
          <t>Clothing and leather and allied product manufacturing</t>
        </is>
      </c>
      <c r="D1215" t="n">
        <v>2760.1</v>
      </c>
      <c r="E1215">
        <f>IFERROR(VLOOKUP(B1215,Crosswalk!$A$2:$C$125,3,FALSE),"Unmapped")</f>
        <v/>
      </c>
    </row>
    <row r="1216">
      <c r="A1216" t="n">
        <v>2020</v>
      </c>
      <c r="B1216" t="inlineStr">
        <is>
          <t>BS32100</t>
        </is>
      </c>
      <c r="C1216" t="inlineStr">
        <is>
          <t>Wood product manufacturing</t>
        </is>
      </c>
      <c r="D1216" t="n">
        <v>36738.9</v>
      </c>
      <c r="E1216">
        <f>IFERROR(VLOOKUP(B1216,Crosswalk!$A$2:$C$125,3,FALSE),"Unmapped")</f>
        <v/>
      </c>
    </row>
    <row r="1217">
      <c r="A1217" t="n">
        <v>2020</v>
      </c>
      <c r="B1217" t="inlineStr">
        <is>
          <t>BS32210</t>
        </is>
      </c>
      <c r="C1217" t="inlineStr">
        <is>
          <t>Pulp, paper and paperboard mills</t>
        </is>
      </c>
      <c r="D1217" t="n">
        <v>16393.6</v>
      </c>
      <c r="E1217">
        <f>IFERROR(VLOOKUP(B1217,Crosswalk!$A$2:$C$125,3,FALSE),"Unmapped")</f>
        <v/>
      </c>
    </row>
    <row r="1218">
      <c r="A1218" t="n">
        <v>2020</v>
      </c>
      <c r="B1218" t="inlineStr">
        <is>
          <t>BS32220</t>
        </is>
      </c>
      <c r="C1218" t="inlineStr">
        <is>
          <t>Converted paper product manufacturing</t>
        </is>
      </c>
      <c r="D1218" t="n">
        <v>11219.9</v>
      </c>
      <c r="E1218">
        <f>IFERROR(VLOOKUP(B1218,Crosswalk!$A$2:$C$125,3,FALSE),"Unmapped")</f>
        <v/>
      </c>
    </row>
    <row r="1219">
      <c r="A1219" t="n">
        <v>2020</v>
      </c>
      <c r="B1219" t="inlineStr">
        <is>
          <t>BS32300</t>
        </is>
      </c>
      <c r="C1219" t="inlineStr">
        <is>
          <t>Printing and related support activities</t>
        </is>
      </c>
      <c r="D1219" t="n">
        <v>8320.700000000001</v>
      </c>
      <c r="E1219">
        <f>IFERROR(VLOOKUP(B1219,Crosswalk!$A$2:$C$125,3,FALSE),"Unmapped")</f>
        <v/>
      </c>
    </row>
    <row r="1220">
      <c r="A1220" t="n">
        <v>2020</v>
      </c>
      <c r="B1220" t="inlineStr">
        <is>
          <t>BS32400</t>
        </is>
      </c>
      <c r="C1220" t="inlineStr">
        <is>
          <t>Petroleum and coal product manufacturing</t>
        </is>
      </c>
      <c r="D1220" t="n">
        <v>53266.8</v>
      </c>
      <c r="E1220">
        <f>IFERROR(VLOOKUP(B1220,Crosswalk!$A$2:$C$125,3,FALSE),"Unmapped")</f>
        <v/>
      </c>
    </row>
    <row r="1221">
      <c r="A1221" t="n">
        <v>2020</v>
      </c>
      <c r="B1221" t="inlineStr">
        <is>
          <t>BS32510</t>
        </is>
      </c>
      <c r="C1221" t="inlineStr">
        <is>
          <t>Basic chemical manufacturing</t>
        </is>
      </c>
      <c r="D1221" t="n">
        <v>15401.4</v>
      </c>
      <c r="E1221">
        <f>IFERROR(VLOOKUP(B1221,Crosswalk!$A$2:$C$125,3,FALSE),"Unmapped")</f>
        <v/>
      </c>
    </row>
    <row r="1222">
      <c r="A1222" t="n">
        <v>2020</v>
      </c>
      <c r="B1222" t="inlineStr">
        <is>
          <t>BS32530</t>
        </is>
      </c>
      <c r="C1222" t="inlineStr">
        <is>
          <t>Pesticide, fertilizer and other agricultural chemical manufacturing</t>
        </is>
      </c>
      <c r="D1222" t="n">
        <v>6223.3</v>
      </c>
      <c r="E1222">
        <f>IFERROR(VLOOKUP(B1222,Crosswalk!$A$2:$C$125,3,FALSE),"Unmapped")</f>
        <v/>
      </c>
    </row>
    <row r="1223">
      <c r="A1223" t="n">
        <v>2020</v>
      </c>
      <c r="B1223" t="inlineStr">
        <is>
          <t>BS32540</t>
        </is>
      </c>
      <c r="C1223" t="inlineStr">
        <is>
          <t>Pharmaceutical and medicine manufacturing</t>
        </is>
      </c>
      <c r="D1223" t="n">
        <v>14781.3</v>
      </c>
      <c r="E1223">
        <f>IFERROR(VLOOKUP(B1223,Crosswalk!$A$2:$C$125,3,FALSE),"Unmapped")</f>
        <v/>
      </c>
    </row>
    <row r="1224">
      <c r="A1224" t="n">
        <v>2020</v>
      </c>
      <c r="B1224" t="inlineStr">
        <is>
          <t>BS325C0</t>
        </is>
      </c>
      <c r="C1224" t="inlineStr">
        <is>
          <t>Miscellaneous chemical product manufacturing</t>
        </is>
      </c>
      <c r="D1224" t="n">
        <v>22311.2</v>
      </c>
      <c r="E1224">
        <f>IFERROR(VLOOKUP(B1224,Crosswalk!$A$2:$C$125,3,FALSE),"Unmapped")</f>
        <v/>
      </c>
    </row>
    <row r="1225">
      <c r="A1225" t="n">
        <v>2020</v>
      </c>
      <c r="B1225" t="inlineStr">
        <is>
          <t>BS32610</t>
        </is>
      </c>
      <c r="C1225" t="inlineStr">
        <is>
          <t>Plastic product manufacturing</t>
        </is>
      </c>
      <c r="D1225" t="n">
        <v>25606.8</v>
      </c>
      <c r="E1225">
        <f>IFERROR(VLOOKUP(B1225,Crosswalk!$A$2:$C$125,3,FALSE),"Unmapped")</f>
        <v/>
      </c>
    </row>
    <row r="1226">
      <c r="A1226" t="n">
        <v>2020</v>
      </c>
      <c r="B1226" t="inlineStr">
        <is>
          <t>BS32620</t>
        </is>
      </c>
      <c r="C1226" t="inlineStr">
        <is>
          <t>Rubber product manufacturing</t>
        </is>
      </c>
      <c r="D1226" t="n">
        <v>4866.8</v>
      </c>
      <c r="E1226">
        <f>IFERROR(VLOOKUP(B1226,Crosswalk!$A$2:$C$125,3,FALSE),"Unmapped")</f>
        <v/>
      </c>
    </row>
    <row r="1227">
      <c r="A1227" t="n">
        <v>2020</v>
      </c>
      <c r="B1227" t="inlineStr">
        <is>
          <t>BS32730</t>
        </is>
      </c>
      <c r="C1227" t="inlineStr">
        <is>
          <t>Cement and concrete product manufacturing</t>
        </is>
      </c>
      <c r="D1227" t="n">
        <v>10931.7</v>
      </c>
      <c r="E1227">
        <f>IFERROR(VLOOKUP(B1227,Crosswalk!$A$2:$C$125,3,FALSE),"Unmapped")</f>
        <v/>
      </c>
    </row>
    <row r="1228">
      <c r="A1228" t="n">
        <v>2020</v>
      </c>
      <c r="B1228" t="inlineStr">
        <is>
          <t>BS327A0</t>
        </is>
      </c>
      <c r="C1228" t="inlineStr">
        <is>
          <t>Non-metallic mineral product manufacturing (except cement and concrete products)</t>
        </is>
      </c>
      <c r="D1228" t="n">
        <v>6676.1</v>
      </c>
      <c r="E1228">
        <f>IFERROR(VLOOKUP(B1228,Crosswalk!$A$2:$C$125,3,FALSE),"Unmapped")</f>
        <v/>
      </c>
    </row>
    <row r="1229">
      <c r="A1229" t="n">
        <v>2020</v>
      </c>
      <c r="B1229" t="inlineStr">
        <is>
          <t>BS33100</t>
        </is>
      </c>
      <c r="C1229" t="inlineStr">
        <is>
          <t>Primary metal manufacturing</t>
        </is>
      </c>
      <c r="D1229" t="n">
        <v>73647.10000000001</v>
      </c>
      <c r="E1229">
        <f>IFERROR(VLOOKUP(B1229,Crosswalk!$A$2:$C$125,3,FALSE),"Unmapped")</f>
        <v/>
      </c>
    </row>
    <row r="1230">
      <c r="A1230" t="n">
        <v>2020</v>
      </c>
      <c r="B1230" t="inlineStr">
        <is>
          <t>BS33200</t>
        </is>
      </c>
      <c r="C1230" t="inlineStr">
        <is>
          <t>Fabricated metal product manufacturing</t>
        </is>
      </c>
      <c r="D1230" t="n">
        <v>42211.3</v>
      </c>
      <c r="E1230">
        <f>IFERROR(VLOOKUP(B1230,Crosswalk!$A$2:$C$125,3,FALSE),"Unmapped")</f>
        <v/>
      </c>
    </row>
    <row r="1231">
      <c r="A1231" t="n">
        <v>2020</v>
      </c>
      <c r="B1231" t="inlineStr">
        <is>
          <t>BS33300</t>
        </is>
      </c>
      <c r="C1231" t="inlineStr">
        <is>
          <t>Machinery manufacturing</t>
        </is>
      </c>
      <c r="D1231" t="n">
        <v>39712.7</v>
      </c>
      <c r="E1231">
        <f>IFERROR(VLOOKUP(B1231,Crosswalk!$A$2:$C$125,3,FALSE),"Unmapped")</f>
        <v/>
      </c>
    </row>
    <row r="1232">
      <c r="A1232" t="n">
        <v>2020</v>
      </c>
      <c r="B1232" t="inlineStr">
        <is>
          <t>BS33400</t>
        </is>
      </c>
      <c r="C1232" t="inlineStr">
        <is>
          <t>Computer and electronic product manufacturing</t>
        </is>
      </c>
      <c r="D1232" t="n">
        <v>15911</v>
      </c>
      <c r="E1232">
        <f>IFERROR(VLOOKUP(B1232,Crosswalk!$A$2:$C$125,3,FALSE),"Unmapped")</f>
        <v/>
      </c>
    </row>
    <row r="1233">
      <c r="A1233" t="n">
        <v>2020</v>
      </c>
      <c r="B1233" t="inlineStr">
        <is>
          <t>BS33500</t>
        </is>
      </c>
      <c r="C1233" t="inlineStr">
        <is>
          <t>Electrical equipment, appliance and component manufacturing</t>
        </is>
      </c>
      <c r="D1233" t="n">
        <v>11560.5</v>
      </c>
      <c r="E1233">
        <f>IFERROR(VLOOKUP(B1233,Crosswalk!$A$2:$C$125,3,FALSE),"Unmapped")</f>
        <v/>
      </c>
    </row>
    <row r="1234">
      <c r="A1234" t="n">
        <v>2020</v>
      </c>
      <c r="B1234" t="inlineStr">
        <is>
          <t>BS33610</t>
        </is>
      </c>
      <c r="C1234" t="inlineStr">
        <is>
          <t>Motor vehicle manufacturing</t>
        </is>
      </c>
      <c r="D1234" t="n">
        <v>45131.1</v>
      </c>
      <c r="E1234">
        <f>IFERROR(VLOOKUP(B1234,Crosswalk!$A$2:$C$125,3,FALSE),"Unmapped")</f>
        <v/>
      </c>
    </row>
    <row r="1235">
      <c r="A1235" t="n">
        <v>2020</v>
      </c>
      <c r="B1235" t="inlineStr">
        <is>
          <t>BS33620</t>
        </is>
      </c>
      <c r="C1235" t="inlineStr">
        <is>
          <t>Motor vehicle body and trailer manufacturing</t>
        </is>
      </c>
      <c r="D1235" t="n">
        <v>3534.3</v>
      </c>
      <c r="E1235">
        <f>IFERROR(VLOOKUP(B1235,Crosswalk!$A$2:$C$125,3,FALSE),"Unmapped")</f>
        <v/>
      </c>
    </row>
    <row r="1236">
      <c r="A1236" t="n">
        <v>2020</v>
      </c>
      <c r="B1236" t="inlineStr">
        <is>
          <t>BS33630</t>
        </is>
      </c>
      <c r="C1236" t="inlineStr">
        <is>
          <t>Motor vehicle parts manufacturing</t>
        </is>
      </c>
      <c r="D1236" t="n">
        <v>27874.1</v>
      </c>
      <c r="E1236">
        <f>IFERROR(VLOOKUP(B1236,Crosswalk!$A$2:$C$125,3,FALSE),"Unmapped")</f>
        <v/>
      </c>
    </row>
    <row r="1237">
      <c r="A1237" t="n">
        <v>2020</v>
      </c>
      <c r="B1237" t="inlineStr">
        <is>
          <t>BS33640</t>
        </is>
      </c>
      <c r="C1237" t="inlineStr">
        <is>
          <t>Aerospace product and parts manufacturing</t>
        </is>
      </c>
      <c r="D1237" t="n">
        <v>22150.3</v>
      </c>
      <c r="E1237">
        <f>IFERROR(VLOOKUP(B1237,Crosswalk!$A$2:$C$125,3,FALSE),"Unmapped")</f>
        <v/>
      </c>
    </row>
    <row r="1238">
      <c r="A1238" t="n">
        <v>2020</v>
      </c>
      <c r="B1238" t="inlineStr">
        <is>
          <t>BS33650</t>
        </is>
      </c>
      <c r="C1238" t="inlineStr">
        <is>
          <t>Railroad rolling stock manufacturing</t>
        </is>
      </c>
      <c r="D1238" t="n">
        <v>2349.3</v>
      </c>
      <c r="E1238">
        <f>IFERROR(VLOOKUP(B1238,Crosswalk!$A$2:$C$125,3,FALSE),"Unmapped")</f>
        <v/>
      </c>
    </row>
    <row r="1239">
      <c r="A1239" t="n">
        <v>2020</v>
      </c>
      <c r="B1239" t="inlineStr">
        <is>
          <t>BS33660</t>
        </is>
      </c>
      <c r="C1239" t="inlineStr">
        <is>
          <t>Ship and boat building</t>
        </is>
      </c>
      <c r="D1239" t="n">
        <v>2804.7</v>
      </c>
      <c r="E1239">
        <f>IFERROR(VLOOKUP(B1239,Crosswalk!$A$2:$C$125,3,FALSE),"Unmapped")</f>
        <v/>
      </c>
    </row>
    <row r="1240">
      <c r="A1240" t="n">
        <v>2020</v>
      </c>
      <c r="B1240" t="inlineStr">
        <is>
          <t>BS33690</t>
        </is>
      </c>
      <c r="C1240" t="inlineStr">
        <is>
          <t>Other transportation equipment manufacturing</t>
        </is>
      </c>
      <c r="D1240" t="n">
        <v>7578.6</v>
      </c>
      <c r="E1240">
        <f>IFERROR(VLOOKUP(B1240,Crosswalk!$A$2:$C$125,3,FALSE),"Unmapped")</f>
        <v/>
      </c>
    </row>
    <row r="1241">
      <c r="A1241" t="n">
        <v>2020</v>
      </c>
      <c r="B1241" t="inlineStr">
        <is>
          <t>BS33700</t>
        </is>
      </c>
      <c r="C1241" t="inlineStr">
        <is>
          <t>Furniture and related product manufacturing</t>
        </is>
      </c>
      <c r="D1241" t="n">
        <v>12152.8</v>
      </c>
      <c r="E1241">
        <f>IFERROR(VLOOKUP(B1241,Crosswalk!$A$2:$C$125,3,FALSE),"Unmapped")</f>
        <v/>
      </c>
    </row>
    <row r="1242">
      <c r="A1242" t="n">
        <v>2020</v>
      </c>
      <c r="B1242" t="inlineStr">
        <is>
          <t>BS33900</t>
        </is>
      </c>
      <c r="C1242" t="inlineStr">
        <is>
          <t>Miscellaneous manufacturing</t>
        </is>
      </c>
      <c r="D1242" t="n">
        <v>17379.2</v>
      </c>
      <c r="E1242">
        <f>IFERROR(VLOOKUP(B1242,Crosswalk!$A$2:$C$125,3,FALSE),"Unmapped")</f>
        <v/>
      </c>
    </row>
    <row r="1243">
      <c r="A1243" t="n">
        <v>2020</v>
      </c>
      <c r="B1243" t="inlineStr">
        <is>
          <t>BS41000</t>
        </is>
      </c>
      <c r="C1243" t="inlineStr">
        <is>
          <t>Wholesale trade</t>
        </is>
      </c>
      <c r="D1243" t="n">
        <v>173938.2</v>
      </c>
      <c r="E1243">
        <f>IFERROR(VLOOKUP(B1243,Crosswalk!$A$2:$C$125,3,FALSE),"Unmapped")</f>
        <v/>
      </c>
    </row>
    <row r="1244">
      <c r="A1244" t="n">
        <v>2020</v>
      </c>
      <c r="B1244" t="inlineStr">
        <is>
          <t>BS459BL</t>
        </is>
      </c>
      <c r="C1244" t="inlineStr">
        <is>
          <t>Cannabis retailers (licensed)</t>
        </is>
      </c>
      <c r="D1244" t="n">
        <v>662.9</v>
      </c>
      <c r="E1244">
        <f>IFERROR(VLOOKUP(B1244,Crosswalk!$A$2:$C$125,3,FALSE),"Unmapped")</f>
        <v/>
      </c>
    </row>
    <row r="1245">
      <c r="A1245" t="n">
        <v>2020</v>
      </c>
      <c r="B1245" t="inlineStr">
        <is>
          <t>BS459BU</t>
        </is>
      </c>
      <c r="C1245" t="inlineStr">
        <is>
          <t>Cannabis retailers (unlicensed)</t>
        </is>
      </c>
      <c r="D1245" t="n">
        <v>966.2</v>
      </c>
      <c r="E1245">
        <f>IFERROR(VLOOKUP(B1245,Crosswalk!$A$2:$C$125,3,FALSE),"Unmapped")</f>
        <v/>
      </c>
    </row>
    <row r="1246">
      <c r="A1246" t="n">
        <v>2020</v>
      </c>
      <c r="B1246" t="inlineStr">
        <is>
          <t>BS48100</t>
        </is>
      </c>
      <c r="C1246" t="inlineStr">
        <is>
          <t>Air transportation</t>
        </is>
      </c>
      <c r="D1246" t="n">
        <v>12767.8</v>
      </c>
      <c r="E1246">
        <f>IFERROR(VLOOKUP(B1246,Crosswalk!$A$2:$C$125,3,FALSE),"Unmapped")</f>
        <v/>
      </c>
    </row>
    <row r="1247">
      <c r="A1247" t="n">
        <v>2020</v>
      </c>
      <c r="B1247" t="inlineStr">
        <is>
          <t>BS48200</t>
        </is>
      </c>
      <c r="C1247" t="inlineStr">
        <is>
          <t>Rail transportation</t>
        </is>
      </c>
      <c r="D1247" t="n">
        <v>15832.1</v>
      </c>
      <c r="E1247">
        <f>IFERROR(VLOOKUP(B1247,Crosswalk!$A$2:$C$125,3,FALSE),"Unmapped")</f>
        <v/>
      </c>
    </row>
    <row r="1248">
      <c r="A1248" t="n">
        <v>2020</v>
      </c>
      <c r="B1248" t="inlineStr">
        <is>
          <t>BS48300</t>
        </is>
      </c>
      <c r="C1248" t="inlineStr">
        <is>
          <t>Water transportation</t>
        </is>
      </c>
      <c r="D1248" t="n">
        <v>4206.6</v>
      </c>
      <c r="E1248">
        <f>IFERROR(VLOOKUP(B1248,Crosswalk!$A$2:$C$125,3,FALSE),"Unmapped")</f>
        <v/>
      </c>
    </row>
    <row r="1249">
      <c r="A1249" t="n">
        <v>2020</v>
      </c>
      <c r="B1249" t="inlineStr">
        <is>
          <t>BS48400</t>
        </is>
      </c>
      <c r="C1249" t="inlineStr">
        <is>
          <t>Truck transportation</t>
        </is>
      </c>
      <c r="D1249" t="n">
        <v>68294.60000000001</v>
      </c>
      <c r="E1249">
        <f>IFERROR(VLOOKUP(B1249,Crosswalk!$A$2:$C$125,3,FALSE),"Unmapped")</f>
        <v/>
      </c>
    </row>
    <row r="1250">
      <c r="A1250" t="n">
        <v>2020</v>
      </c>
      <c r="B1250" t="inlineStr">
        <is>
          <t>BS48600</t>
        </is>
      </c>
      <c r="C1250" t="inlineStr">
        <is>
          <t>Pipeline transportation</t>
        </is>
      </c>
      <c r="D1250" t="n">
        <v>13732.1</v>
      </c>
      <c r="E1250">
        <f>IFERROR(VLOOKUP(B1250,Crosswalk!$A$2:$C$125,3,FALSE),"Unmapped")</f>
        <v/>
      </c>
    </row>
    <row r="1251">
      <c r="A1251" t="n">
        <v>2020</v>
      </c>
      <c r="B1251" t="inlineStr">
        <is>
          <t>BS48B00</t>
        </is>
      </c>
      <c r="C1251" t="inlineStr">
        <is>
          <t>Transit, ground passenger and scenic and sightseeing transportation, taxi and limousine service and support activities for transportation</t>
        </is>
      </c>
      <c r="D1251" t="n">
        <v>48728.8</v>
      </c>
      <c r="E1251">
        <f>IFERROR(VLOOKUP(B1251,Crosswalk!$A$2:$C$125,3,FALSE),"Unmapped")</f>
        <v/>
      </c>
    </row>
    <row r="1252">
      <c r="A1252" t="n">
        <v>2020</v>
      </c>
      <c r="B1252" t="inlineStr">
        <is>
          <t>BS49300</t>
        </is>
      </c>
      <c r="C1252" t="inlineStr">
        <is>
          <t>Warehousing and storage</t>
        </is>
      </c>
      <c r="D1252" t="n">
        <v>8480</v>
      </c>
      <c r="E1252">
        <f>IFERROR(VLOOKUP(B1252,Crosswalk!$A$2:$C$125,3,FALSE),"Unmapped")</f>
        <v/>
      </c>
    </row>
    <row r="1253">
      <c r="A1253" t="n">
        <v>2020</v>
      </c>
      <c r="B1253" t="inlineStr">
        <is>
          <t>BS49A00</t>
        </is>
      </c>
      <c r="C1253" t="inlineStr">
        <is>
          <t>Postal service, couriers and messengers</t>
        </is>
      </c>
      <c r="D1253" t="n">
        <v>20121.8</v>
      </c>
      <c r="E1253">
        <f>IFERROR(VLOOKUP(B1253,Crosswalk!$A$2:$C$125,3,FALSE),"Unmapped")</f>
        <v/>
      </c>
    </row>
    <row r="1254">
      <c r="A1254" t="n">
        <v>2020</v>
      </c>
      <c r="B1254" t="inlineStr">
        <is>
          <t>BS4AA00</t>
        </is>
      </c>
      <c r="C1254" t="inlineStr">
        <is>
          <t>Retail trade (except cannabis)</t>
        </is>
      </c>
      <c r="D1254" t="n">
        <v>172739.2</v>
      </c>
      <c r="E1254">
        <f>IFERROR(VLOOKUP(B1254,Crosswalk!$A$2:$C$125,3,FALSE),"Unmapped")</f>
        <v/>
      </c>
    </row>
    <row r="1255">
      <c r="A1255" t="n">
        <v>2020</v>
      </c>
      <c r="B1255" t="inlineStr">
        <is>
          <t>BS51200</t>
        </is>
      </c>
      <c r="C1255" t="inlineStr">
        <is>
          <t>Motion picture and sound recording industries</t>
        </is>
      </c>
      <c r="D1255" t="n">
        <v>10965.7</v>
      </c>
      <c r="E1255">
        <f>IFERROR(VLOOKUP(B1255,Crosswalk!$A$2:$C$125,3,FALSE),"Unmapped")</f>
        <v/>
      </c>
    </row>
    <row r="1256">
      <c r="A1256" t="n">
        <v>2020</v>
      </c>
      <c r="B1256" t="inlineStr">
        <is>
          <t>BS51610</t>
        </is>
      </c>
      <c r="C1256" t="inlineStr">
        <is>
          <t>Radio and television broadcasting stations</t>
        </is>
      </c>
      <c r="D1256" t="n">
        <v>3023.5</v>
      </c>
      <c r="E1256">
        <f>IFERROR(VLOOKUP(B1256,Crosswalk!$A$2:$C$125,3,FALSE),"Unmapped")</f>
        <v/>
      </c>
    </row>
    <row r="1257">
      <c r="A1257" t="n">
        <v>2020</v>
      </c>
      <c r="B1257" t="inlineStr">
        <is>
          <t>BS51B00</t>
        </is>
      </c>
      <c r="C1257" t="inlineStr">
        <is>
          <t>Publishing, pay/specialty services, telecommunications and other information services</t>
        </is>
      </c>
      <c r="D1257" t="n">
        <v>102621.6</v>
      </c>
      <c r="E1257">
        <f>IFERROR(VLOOKUP(B1257,Crosswalk!$A$2:$C$125,3,FALSE),"Unmapped")</f>
        <v/>
      </c>
    </row>
    <row r="1258">
      <c r="A1258" t="n">
        <v>2020</v>
      </c>
      <c r="B1258" t="inlineStr">
        <is>
          <t>BS52410</t>
        </is>
      </c>
      <c r="C1258" t="inlineStr">
        <is>
          <t>Insurance carriers</t>
        </is>
      </c>
      <c r="D1258" t="n">
        <v>53150.1</v>
      </c>
      <c r="E1258">
        <f>IFERROR(VLOOKUP(B1258,Crosswalk!$A$2:$C$125,3,FALSE),"Unmapped")</f>
        <v/>
      </c>
    </row>
    <row r="1259">
      <c r="A1259" t="n">
        <v>2020</v>
      </c>
      <c r="B1259" t="inlineStr">
        <is>
          <t>BS52B00</t>
        </is>
      </c>
      <c r="C1259" t="inlineStr">
        <is>
          <t>Depository credit intermediation and monetary authorities</t>
        </is>
      </c>
      <c r="D1259" t="n">
        <v>106110.1</v>
      </c>
      <c r="E1259">
        <f>IFERROR(VLOOKUP(B1259,Crosswalk!$A$2:$C$125,3,FALSE),"Unmapped")</f>
        <v/>
      </c>
    </row>
    <row r="1260">
      <c r="A1260" t="n">
        <v>2020</v>
      </c>
      <c r="B1260" t="inlineStr">
        <is>
          <t>BS53110</t>
        </is>
      </c>
      <c r="C1260" t="inlineStr">
        <is>
          <t>Lessors of real estate</t>
        </is>
      </c>
      <c r="D1260" t="n">
        <v>114426</v>
      </c>
      <c r="E1260">
        <f>IFERROR(VLOOKUP(B1260,Crosswalk!$A$2:$C$125,3,FALSE),"Unmapped")</f>
        <v/>
      </c>
    </row>
    <row r="1261">
      <c r="A1261" t="n">
        <v>2020</v>
      </c>
      <c r="B1261" t="inlineStr">
        <is>
          <t>BS5311A</t>
        </is>
      </c>
      <c r="C1261" t="inlineStr">
        <is>
          <t>Owner-occupied dwellings</t>
        </is>
      </c>
      <c r="D1261" t="n">
        <v>211122.8</v>
      </c>
      <c r="E1261">
        <f>IFERROR(VLOOKUP(B1261,Crosswalk!$A$2:$C$125,3,FALSE),"Unmapped")</f>
        <v/>
      </c>
    </row>
    <row r="1262">
      <c r="A1262" t="n">
        <v>2020</v>
      </c>
      <c r="B1262" t="inlineStr">
        <is>
          <t>BS53B00</t>
        </is>
      </c>
      <c r="C1262" t="inlineStr">
        <is>
          <t>Rental and leasing services and lessors of non-financial intangible assets (except copyrighted works)</t>
        </is>
      </c>
      <c r="D1262" t="n">
        <v>23205.8</v>
      </c>
      <c r="E1262">
        <f>IFERROR(VLOOKUP(B1262,Crosswalk!$A$2:$C$125,3,FALSE),"Unmapped")</f>
        <v/>
      </c>
    </row>
    <row r="1263">
      <c r="A1263" t="n">
        <v>2020</v>
      </c>
      <c r="B1263" t="inlineStr">
        <is>
          <t>BS54180</t>
        </is>
      </c>
      <c r="C1263" t="inlineStr">
        <is>
          <t>Advertising, public relations, and related services</t>
        </is>
      </c>
      <c r="D1263" t="n">
        <v>9578.6</v>
      </c>
      <c r="E1263">
        <f>IFERROR(VLOOKUP(B1263,Crosswalk!$A$2:$C$125,3,FALSE),"Unmapped")</f>
        <v/>
      </c>
    </row>
    <row r="1264">
      <c r="A1264" t="n">
        <v>2020</v>
      </c>
      <c r="B1264" t="inlineStr">
        <is>
          <t>BS541C0</t>
        </is>
      </c>
      <c r="C1264" t="inlineStr">
        <is>
          <t>Legal, accounting and architectural, engineering and related services</t>
        </is>
      </c>
      <c r="D1264" t="n">
        <v>88897.10000000001</v>
      </c>
      <c r="E1264">
        <f>IFERROR(VLOOKUP(B1264,Crosswalk!$A$2:$C$125,3,FALSE),"Unmapped")</f>
        <v/>
      </c>
    </row>
    <row r="1265">
      <c r="A1265" t="n">
        <v>2020</v>
      </c>
      <c r="B1265" t="inlineStr">
        <is>
          <t>BS541D0</t>
        </is>
      </c>
      <c r="C1265" t="inlineStr">
        <is>
          <t>Computer systems design and other professional, scientific and technical services</t>
        </is>
      </c>
      <c r="D1265" t="n">
        <v>121645.6</v>
      </c>
      <c r="E1265">
        <f>IFERROR(VLOOKUP(B1265,Crosswalk!$A$2:$C$125,3,FALSE),"Unmapped")</f>
        <v/>
      </c>
    </row>
    <row r="1266">
      <c r="A1266" t="n">
        <v>2020</v>
      </c>
      <c r="B1266" t="inlineStr">
        <is>
          <t>BS56100</t>
        </is>
      </c>
      <c r="C1266" t="inlineStr">
        <is>
          <t>Administrative and support services</t>
        </is>
      </c>
      <c r="D1266" t="n">
        <v>80696.8</v>
      </c>
      <c r="E1266">
        <f>IFERROR(VLOOKUP(B1266,Crosswalk!$A$2:$C$125,3,FALSE),"Unmapped")</f>
        <v/>
      </c>
    </row>
    <row r="1267">
      <c r="A1267" t="n">
        <v>2020</v>
      </c>
      <c r="B1267" t="inlineStr">
        <is>
          <t>BS56200</t>
        </is>
      </c>
      <c r="C1267" t="inlineStr">
        <is>
          <t>Waste management and remediation services</t>
        </is>
      </c>
      <c r="D1267" t="n">
        <v>12792.9</v>
      </c>
      <c r="E1267">
        <f>IFERROR(VLOOKUP(B1267,Crosswalk!$A$2:$C$125,3,FALSE),"Unmapped")</f>
        <v/>
      </c>
    </row>
    <row r="1268">
      <c r="A1268" t="n">
        <v>2020</v>
      </c>
      <c r="B1268" t="inlineStr">
        <is>
          <t>BS5A000</t>
        </is>
      </c>
      <c r="C1268" t="inlineStr">
        <is>
          <t>Other finance, insurance and real estate services and management of companies and enterprises</t>
        </is>
      </c>
      <c r="D1268" t="n">
        <v>154563</v>
      </c>
      <c r="E1268">
        <f>IFERROR(VLOOKUP(B1268,Crosswalk!$A$2:$C$125,3,FALSE),"Unmapped")</f>
        <v/>
      </c>
    </row>
    <row r="1269">
      <c r="A1269" t="n">
        <v>2020</v>
      </c>
      <c r="B1269" t="inlineStr">
        <is>
          <t>BS61000</t>
        </is>
      </c>
      <c r="C1269" t="inlineStr">
        <is>
          <t>Educational services</t>
        </is>
      </c>
      <c r="D1269" t="n">
        <v>8000.3</v>
      </c>
      <c r="E1269">
        <f>IFERROR(VLOOKUP(B1269,Crosswalk!$A$2:$C$125,3,FALSE),"Unmapped")</f>
        <v/>
      </c>
    </row>
    <row r="1270">
      <c r="A1270" t="n">
        <v>2020</v>
      </c>
      <c r="B1270" t="inlineStr">
        <is>
          <t>BS62000</t>
        </is>
      </c>
      <c r="C1270" t="inlineStr">
        <is>
          <t>Health care and social assistance</t>
        </is>
      </c>
      <c r="D1270" t="n">
        <v>85810.39999999999</v>
      </c>
      <c r="E1270">
        <f>IFERROR(VLOOKUP(B1270,Crosswalk!$A$2:$C$125,3,FALSE),"Unmapped")</f>
        <v/>
      </c>
    </row>
    <row r="1271">
      <c r="A1271" t="n">
        <v>2020</v>
      </c>
      <c r="B1271" t="inlineStr">
        <is>
          <t>BS71000</t>
        </is>
      </c>
      <c r="C1271" t="inlineStr">
        <is>
          <t>Arts, entertainment and recreation</t>
        </is>
      </c>
      <c r="D1271" t="n">
        <v>20204.5</v>
      </c>
      <c r="E1271">
        <f>IFERROR(VLOOKUP(B1271,Crosswalk!$A$2:$C$125,3,FALSE),"Unmapped")</f>
        <v/>
      </c>
    </row>
    <row r="1272">
      <c r="A1272" t="n">
        <v>2020</v>
      </c>
      <c r="B1272" t="inlineStr">
        <is>
          <t>BS72000</t>
        </is>
      </c>
      <c r="C1272" t="inlineStr">
        <is>
          <t>Accommodation and food services</t>
        </is>
      </c>
      <c r="D1272" t="n">
        <v>71524.5</v>
      </c>
      <c r="E1272">
        <f>IFERROR(VLOOKUP(B1272,Crosswalk!$A$2:$C$125,3,FALSE),"Unmapped")</f>
        <v/>
      </c>
    </row>
    <row r="1273">
      <c r="A1273" t="n">
        <v>2020</v>
      </c>
      <c r="B1273" t="inlineStr">
        <is>
          <t>BS81100</t>
        </is>
      </c>
      <c r="C1273" t="inlineStr">
        <is>
          <t>Repair and maintenance</t>
        </is>
      </c>
      <c r="D1273" t="n">
        <v>25743.5</v>
      </c>
      <c r="E1273">
        <f>IFERROR(VLOOKUP(B1273,Crosswalk!$A$2:$C$125,3,FALSE),"Unmapped")</f>
        <v/>
      </c>
    </row>
    <row r="1274">
      <c r="A1274" t="n">
        <v>2020</v>
      </c>
      <c r="B1274" t="inlineStr">
        <is>
          <t>BS81300</t>
        </is>
      </c>
      <c r="C1274" t="inlineStr">
        <is>
          <t>Business, professional and other membership organizations</t>
        </is>
      </c>
      <c r="D1274" t="n">
        <v>5549.4</v>
      </c>
      <c r="E1274">
        <f>IFERROR(VLOOKUP(B1274,Crosswalk!$A$2:$C$125,3,FALSE),"Unmapped")</f>
        <v/>
      </c>
    </row>
    <row r="1275">
      <c r="A1275" t="n">
        <v>2020</v>
      </c>
      <c r="B1275" t="inlineStr">
        <is>
          <t>BS81A00</t>
        </is>
      </c>
      <c r="C1275" t="inlineStr">
        <is>
          <t>Personal services and private households</t>
        </is>
      </c>
      <c r="D1275" t="n">
        <v>17340.3</v>
      </c>
      <c r="E1275">
        <f>IFERROR(VLOOKUP(B1275,Crosswalk!$A$2:$C$125,3,FALSE),"Unmapped")</f>
        <v/>
      </c>
    </row>
    <row r="1276">
      <c r="A1276" t="n">
        <v>2020</v>
      </c>
      <c r="B1276" t="inlineStr">
        <is>
          <t>GS61130</t>
        </is>
      </c>
      <c r="C1276" t="inlineStr">
        <is>
          <t>Universities</t>
        </is>
      </c>
      <c r="D1276" t="n">
        <v>48248.3</v>
      </c>
      <c r="E1276">
        <f>IFERROR(VLOOKUP(B1276,Crosswalk!$A$2:$C$125,3,FALSE),"Unmapped")</f>
        <v/>
      </c>
    </row>
    <row r="1277">
      <c r="A1277" t="n">
        <v>2020</v>
      </c>
      <c r="B1277" t="inlineStr">
        <is>
          <t>GS611B0</t>
        </is>
      </c>
      <c r="C1277" t="inlineStr">
        <is>
          <t>Educational services (except universities)</t>
        </is>
      </c>
      <c r="D1277" t="n">
        <v>80668.60000000001</v>
      </c>
      <c r="E1277">
        <f>IFERROR(VLOOKUP(B1277,Crosswalk!$A$2:$C$125,3,FALSE),"Unmapped")</f>
        <v/>
      </c>
    </row>
    <row r="1278">
      <c r="A1278" t="n">
        <v>2020</v>
      </c>
      <c r="B1278" t="inlineStr">
        <is>
          <t>GS62300</t>
        </is>
      </c>
      <c r="C1278" t="inlineStr">
        <is>
          <t>Nursing and residential care facilities</t>
        </is>
      </c>
      <c r="D1278" t="n">
        <v>20549.5</v>
      </c>
      <c r="E1278">
        <f>IFERROR(VLOOKUP(B1278,Crosswalk!$A$2:$C$125,3,FALSE),"Unmapped")</f>
        <v/>
      </c>
    </row>
    <row r="1279">
      <c r="A1279" t="n">
        <v>2020</v>
      </c>
      <c r="B1279" t="inlineStr">
        <is>
          <t>GS62B00</t>
        </is>
      </c>
      <c r="C1279" t="inlineStr">
        <is>
          <t>Health care and social assistance (except nursing and residential care facilities)</t>
        </is>
      </c>
      <c r="D1279" t="n">
        <v>116872.5</v>
      </c>
      <c r="E1279">
        <f>IFERROR(VLOOKUP(B1279,Crosswalk!$A$2:$C$125,3,FALSE),"Unmapped")</f>
        <v/>
      </c>
    </row>
    <row r="1280">
      <c r="A1280" t="n">
        <v>2020</v>
      </c>
      <c r="B1280" t="inlineStr">
        <is>
          <t>GS91100</t>
        </is>
      </c>
      <c r="C1280" t="inlineStr">
        <is>
          <t>Other federal government services</t>
        </is>
      </c>
      <c r="D1280" t="n">
        <v>90842.2</v>
      </c>
      <c r="E1280">
        <f>IFERROR(VLOOKUP(B1280,Crosswalk!$A$2:$C$125,3,FALSE),"Unmapped")</f>
        <v/>
      </c>
    </row>
    <row r="1281">
      <c r="A1281" t="n">
        <v>2020</v>
      </c>
      <c r="B1281" t="inlineStr">
        <is>
          <t>GS91200</t>
        </is>
      </c>
      <c r="C1281" t="inlineStr">
        <is>
          <t>Other provincial and territorial government services</t>
        </is>
      </c>
      <c r="D1281" t="n">
        <v>141020.3</v>
      </c>
      <c r="E1281">
        <f>IFERROR(VLOOKUP(B1281,Crosswalk!$A$2:$C$125,3,FALSE),"Unmapped")</f>
        <v/>
      </c>
    </row>
    <row r="1282">
      <c r="A1282" t="n">
        <v>2020</v>
      </c>
      <c r="B1282" t="inlineStr">
        <is>
          <t>GS91300</t>
        </is>
      </c>
      <c r="C1282" t="inlineStr">
        <is>
          <t>Other municipal government services</t>
        </is>
      </c>
      <c r="D1282" t="n">
        <v>96042.89999999999</v>
      </c>
      <c r="E1282">
        <f>IFERROR(VLOOKUP(B1282,Crosswalk!$A$2:$C$125,3,FALSE),"Unmapped")</f>
        <v/>
      </c>
    </row>
    <row r="1283">
      <c r="A1283" t="n">
        <v>2020</v>
      </c>
      <c r="B1283" t="inlineStr">
        <is>
          <t>GS91400</t>
        </is>
      </c>
      <c r="C1283" t="inlineStr">
        <is>
          <t>Other Indigenous government services</t>
        </is>
      </c>
      <c r="D1283" t="n">
        <v>13955.4</v>
      </c>
      <c r="E1283">
        <f>IFERROR(VLOOKUP(B1283,Crosswalk!$A$2:$C$125,3,FALSE),"Unmapped")</f>
        <v/>
      </c>
    </row>
    <row r="1284">
      <c r="A1284" t="n">
        <v>2020</v>
      </c>
      <c r="B1284" t="inlineStr">
        <is>
          <t>NP61000</t>
        </is>
      </c>
      <c r="C1284" t="inlineStr">
        <is>
          <t>Educational services</t>
        </is>
      </c>
      <c r="D1284" t="n">
        <v>6060.9</v>
      </c>
      <c r="E1284">
        <f>IFERROR(VLOOKUP(B1284,Crosswalk!$A$2:$C$125,3,FALSE),"Unmapped")</f>
        <v/>
      </c>
    </row>
    <row r="1285">
      <c r="A1285" t="n">
        <v>2020</v>
      </c>
      <c r="B1285" t="inlineStr">
        <is>
          <t>NP62400</t>
        </is>
      </c>
      <c r="C1285" t="inlineStr">
        <is>
          <t>Social assistance</t>
        </is>
      </c>
      <c r="D1285" t="n">
        <v>13879.7</v>
      </c>
      <c r="E1285">
        <f>IFERROR(VLOOKUP(B1285,Crosswalk!$A$2:$C$125,3,FALSE),"Unmapped")</f>
        <v/>
      </c>
    </row>
    <row r="1286">
      <c r="A1286" t="n">
        <v>2020</v>
      </c>
      <c r="B1286" t="inlineStr">
        <is>
          <t>NP71000</t>
        </is>
      </c>
      <c r="C1286" t="inlineStr">
        <is>
          <t>Arts, entertainment and recreation</t>
        </is>
      </c>
      <c r="D1286" t="n">
        <v>2306.7</v>
      </c>
      <c r="E1286">
        <f>IFERROR(VLOOKUP(B1286,Crosswalk!$A$2:$C$125,3,FALSE),"Unmapped")</f>
        <v/>
      </c>
    </row>
    <row r="1287">
      <c r="A1287" t="n">
        <v>2020</v>
      </c>
      <c r="B1287" t="inlineStr">
        <is>
          <t>NP81310</t>
        </is>
      </c>
      <c r="C1287" t="inlineStr">
        <is>
          <t>Religious organizations</t>
        </is>
      </c>
      <c r="D1287" t="n">
        <v>5890.5</v>
      </c>
      <c r="E1287">
        <f>IFERROR(VLOOKUP(B1287,Crosswalk!$A$2:$C$125,3,FALSE),"Unmapped")</f>
        <v/>
      </c>
    </row>
    <row r="1288">
      <c r="A1288" t="n">
        <v>2020</v>
      </c>
      <c r="B1288" t="inlineStr">
        <is>
          <t>NPA0000</t>
        </is>
      </c>
      <c r="C1288" t="inlineStr">
        <is>
          <t>Miscellaneous non-profit institutions serving households</t>
        </is>
      </c>
      <c r="D1288" t="n">
        <v>25964.8</v>
      </c>
      <c r="E1288">
        <f>IFERROR(VLOOKUP(B1288,Crosswalk!$A$2:$C$125,3,FALSE),"Unmapped")</f>
        <v/>
      </c>
    </row>
    <row r="1289">
      <c r="A1289" t="n">
        <v>2021</v>
      </c>
      <c r="B1289" t="inlineStr">
        <is>
          <t>BS111CL</t>
        </is>
      </c>
      <c r="C1289" t="inlineStr">
        <is>
          <t>Cannabis production (licensed)</t>
        </is>
      </c>
      <c r="D1289" t="n">
        <v>2873.4</v>
      </c>
      <c r="E1289">
        <f>IFERROR(VLOOKUP(B1289,Crosswalk!$A$2:$C$125,3,FALSE),"Unmapped")</f>
        <v/>
      </c>
    </row>
    <row r="1290">
      <c r="A1290" t="n">
        <v>2021</v>
      </c>
      <c r="B1290" t="inlineStr">
        <is>
          <t>BS111CU</t>
        </is>
      </c>
      <c r="C1290" t="inlineStr">
        <is>
          <t>Cannabis production (unlicensed)</t>
        </is>
      </c>
      <c r="D1290" t="n">
        <v>2881.5</v>
      </c>
      <c r="E1290">
        <f>IFERROR(VLOOKUP(B1290,Crosswalk!$A$2:$C$125,3,FALSE),"Unmapped")</f>
        <v/>
      </c>
    </row>
    <row r="1291">
      <c r="A1291" t="n">
        <v>2021</v>
      </c>
      <c r="B1291" t="inlineStr">
        <is>
          <t>BS11300</t>
        </is>
      </c>
      <c r="C1291" t="inlineStr">
        <is>
          <t>Forestry and logging</t>
        </is>
      </c>
      <c r="D1291" t="n">
        <v>13672.4</v>
      </c>
      <c r="E1291">
        <f>IFERROR(VLOOKUP(B1291,Crosswalk!$A$2:$C$125,3,FALSE),"Unmapped")</f>
        <v/>
      </c>
    </row>
    <row r="1292">
      <c r="A1292" t="n">
        <v>2021</v>
      </c>
      <c r="B1292" t="inlineStr">
        <is>
          <t>BS11400</t>
        </is>
      </c>
      <c r="C1292" t="inlineStr">
        <is>
          <t>Fishing, hunting and trapping</t>
        </is>
      </c>
      <c r="D1292" t="n">
        <v>4554.2</v>
      </c>
      <c r="E1292">
        <f>IFERROR(VLOOKUP(B1292,Crosswalk!$A$2:$C$125,3,FALSE),"Unmapped")</f>
        <v/>
      </c>
    </row>
    <row r="1293">
      <c r="A1293" t="n">
        <v>2021</v>
      </c>
      <c r="B1293" t="inlineStr">
        <is>
          <t>BS11500</t>
        </is>
      </c>
      <c r="C1293" t="inlineStr">
        <is>
          <t>Support activities for agriculture and forestry</t>
        </is>
      </c>
      <c r="D1293" t="n">
        <v>4521</v>
      </c>
      <c r="E1293">
        <f>IFERROR(VLOOKUP(B1293,Crosswalk!$A$2:$C$125,3,FALSE),"Unmapped")</f>
        <v/>
      </c>
    </row>
    <row r="1294">
      <c r="A1294" t="n">
        <v>2021</v>
      </c>
      <c r="B1294" t="inlineStr">
        <is>
          <t>BS11B00</t>
        </is>
      </c>
      <c r="C1294" t="inlineStr">
        <is>
          <t>Crop and animal production (except cannabis)</t>
        </is>
      </c>
      <c r="D1294" t="n">
        <v>80402</v>
      </c>
      <c r="E1294">
        <f>IFERROR(VLOOKUP(B1294,Crosswalk!$A$2:$C$125,3,FALSE),"Unmapped")</f>
        <v/>
      </c>
    </row>
    <row r="1295">
      <c r="A1295" t="n">
        <v>2021</v>
      </c>
      <c r="B1295" t="inlineStr">
        <is>
          <t>BS21100</t>
        </is>
      </c>
      <c r="C1295" t="inlineStr">
        <is>
          <t>Oil and gas extraction</t>
        </is>
      </c>
      <c r="D1295" t="n">
        <v>167249</v>
      </c>
      <c r="E1295">
        <f>IFERROR(VLOOKUP(B1295,Crosswalk!$A$2:$C$125,3,FALSE),"Unmapped")</f>
        <v/>
      </c>
    </row>
    <row r="1296">
      <c r="A1296" t="n">
        <v>2021</v>
      </c>
      <c r="B1296" t="inlineStr">
        <is>
          <t>BS21210</t>
        </is>
      </c>
      <c r="C1296" t="inlineStr">
        <is>
          <t>Coal mining</t>
        </is>
      </c>
      <c r="D1296" t="n">
        <v>7170.7</v>
      </c>
      <c r="E1296">
        <f>IFERROR(VLOOKUP(B1296,Crosswalk!$A$2:$C$125,3,FALSE),"Unmapped")</f>
        <v/>
      </c>
    </row>
    <row r="1297">
      <c r="A1297" t="n">
        <v>2021</v>
      </c>
      <c r="B1297" t="inlineStr">
        <is>
          <t>BS21220</t>
        </is>
      </c>
      <c r="C1297" t="inlineStr">
        <is>
          <t>Metal ore mining</t>
        </is>
      </c>
      <c r="D1297" t="n">
        <v>39196.9</v>
      </c>
      <c r="E1297">
        <f>IFERROR(VLOOKUP(B1297,Crosswalk!$A$2:$C$125,3,FALSE),"Unmapped")</f>
        <v/>
      </c>
    </row>
    <row r="1298">
      <c r="A1298" t="n">
        <v>2021</v>
      </c>
      <c r="B1298" t="inlineStr">
        <is>
          <t>BS21230</t>
        </is>
      </c>
      <c r="C1298" t="inlineStr">
        <is>
          <t>Non-metallic mineral mining and quarrying</t>
        </is>
      </c>
      <c r="D1298" t="n">
        <v>16313.8</v>
      </c>
      <c r="E1298">
        <f>IFERROR(VLOOKUP(B1298,Crosswalk!$A$2:$C$125,3,FALSE),"Unmapped")</f>
        <v/>
      </c>
    </row>
    <row r="1299">
      <c r="A1299" t="n">
        <v>2021</v>
      </c>
      <c r="B1299" t="inlineStr">
        <is>
          <t>BS21300</t>
        </is>
      </c>
      <c r="C1299" t="inlineStr">
        <is>
          <t>Support activities for mining, and oil and gas extraction</t>
        </is>
      </c>
      <c r="D1299" t="n">
        <v>21716.6</v>
      </c>
      <c r="E1299">
        <f>IFERROR(VLOOKUP(B1299,Crosswalk!$A$2:$C$125,3,FALSE),"Unmapped")</f>
        <v/>
      </c>
    </row>
    <row r="1300">
      <c r="A1300" t="n">
        <v>2021</v>
      </c>
      <c r="B1300" t="inlineStr">
        <is>
          <t>BS22110</t>
        </is>
      </c>
      <c r="C1300" t="inlineStr">
        <is>
          <t>Electric power generation, transmission and distribution</t>
        </is>
      </c>
      <c r="D1300" t="n">
        <v>52938.5</v>
      </c>
      <c r="E1300">
        <f>IFERROR(VLOOKUP(B1300,Crosswalk!$A$2:$C$125,3,FALSE),"Unmapped")</f>
        <v/>
      </c>
    </row>
    <row r="1301">
      <c r="A1301" t="n">
        <v>2021</v>
      </c>
      <c r="B1301" t="inlineStr">
        <is>
          <t>BS221A0</t>
        </is>
      </c>
      <c r="C1301" t="inlineStr">
        <is>
          <t>Natural gas distribution, water, sewage and other systems</t>
        </is>
      </c>
      <c r="D1301" t="n">
        <v>7922.8</v>
      </c>
      <c r="E1301">
        <f>IFERROR(VLOOKUP(B1301,Crosswalk!$A$2:$C$125,3,FALSE),"Unmapped")</f>
        <v/>
      </c>
    </row>
    <row r="1302">
      <c r="A1302" t="n">
        <v>2021</v>
      </c>
      <c r="B1302" t="inlineStr">
        <is>
          <t>BS23A00</t>
        </is>
      </c>
      <c r="C1302" t="inlineStr">
        <is>
          <t>Residential building construction</t>
        </is>
      </c>
      <c r="D1302" t="n">
        <v>170325.5</v>
      </c>
      <c r="E1302">
        <f>IFERROR(VLOOKUP(B1302,Crosswalk!$A$2:$C$125,3,FALSE),"Unmapped")</f>
        <v/>
      </c>
    </row>
    <row r="1303">
      <c r="A1303" t="n">
        <v>2021</v>
      </c>
      <c r="B1303" t="inlineStr">
        <is>
          <t>BS23B00</t>
        </is>
      </c>
      <c r="C1303" t="inlineStr">
        <is>
          <t>Non-residential building construction</t>
        </is>
      </c>
      <c r="D1303" t="n">
        <v>57029.3</v>
      </c>
      <c r="E1303">
        <f>IFERROR(VLOOKUP(B1303,Crosswalk!$A$2:$C$125,3,FALSE),"Unmapped")</f>
        <v/>
      </c>
    </row>
    <row r="1304">
      <c r="A1304" t="n">
        <v>2021</v>
      </c>
      <c r="B1304" t="inlineStr">
        <is>
          <t>BS23C10</t>
        </is>
      </c>
      <c r="C1304" t="inlineStr">
        <is>
          <t>Transportation engineering construction</t>
        </is>
      </c>
      <c r="D1304" t="n">
        <v>28572.4</v>
      </c>
      <c r="E1304">
        <f>IFERROR(VLOOKUP(B1304,Crosswalk!$A$2:$C$125,3,FALSE),"Unmapped")</f>
        <v/>
      </c>
    </row>
    <row r="1305">
      <c r="A1305" t="n">
        <v>2021</v>
      </c>
      <c r="B1305" t="inlineStr">
        <is>
          <t>BS23C20</t>
        </is>
      </c>
      <c r="C1305" t="inlineStr">
        <is>
          <t>Oil and gas engineering construction</t>
        </is>
      </c>
      <c r="D1305" t="n">
        <v>41667.5</v>
      </c>
      <c r="E1305">
        <f>IFERROR(VLOOKUP(B1305,Crosswalk!$A$2:$C$125,3,FALSE),"Unmapped")</f>
        <v/>
      </c>
    </row>
    <row r="1306">
      <c r="A1306" t="n">
        <v>2021</v>
      </c>
      <c r="B1306" t="inlineStr">
        <is>
          <t>BS23C30</t>
        </is>
      </c>
      <c r="C1306" t="inlineStr">
        <is>
          <t>Electric power engineering construction</t>
        </is>
      </c>
      <c r="D1306" t="n">
        <v>20247.8</v>
      </c>
      <c r="E1306">
        <f>IFERROR(VLOOKUP(B1306,Crosswalk!$A$2:$C$125,3,FALSE),"Unmapped")</f>
        <v/>
      </c>
    </row>
    <row r="1307">
      <c r="A1307" t="n">
        <v>2021</v>
      </c>
      <c r="B1307" t="inlineStr">
        <is>
          <t>BS23C40</t>
        </is>
      </c>
      <c r="C1307" t="inlineStr">
        <is>
          <t>Communication engineering construction</t>
        </is>
      </c>
      <c r="D1307" t="n">
        <v>6996.9</v>
      </c>
      <c r="E1307">
        <f>IFERROR(VLOOKUP(B1307,Crosswalk!$A$2:$C$125,3,FALSE),"Unmapped")</f>
        <v/>
      </c>
    </row>
    <row r="1308">
      <c r="A1308" t="n">
        <v>2021</v>
      </c>
      <c r="B1308" t="inlineStr">
        <is>
          <t>BS23C50</t>
        </is>
      </c>
      <c r="C1308" t="inlineStr">
        <is>
          <t>Other engineering construction</t>
        </is>
      </c>
      <c r="D1308" t="n">
        <v>22547.9</v>
      </c>
      <c r="E1308">
        <f>IFERROR(VLOOKUP(B1308,Crosswalk!$A$2:$C$125,3,FALSE),"Unmapped")</f>
        <v/>
      </c>
    </row>
    <row r="1309">
      <c r="A1309" t="n">
        <v>2021</v>
      </c>
      <c r="B1309" t="inlineStr">
        <is>
          <t>BS23D00</t>
        </is>
      </c>
      <c r="C1309" t="inlineStr">
        <is>
          <t>Repair construction</t>
        </is>
      </c>
      <c r="D1309" t="n">
        <v>57225.1</v>
      </c>
      <c r="E1309">
        <f>IFERROR(VLOOKUP(B1309,Crosswalk!$A$2:$C$125,3,FALSE),"Unmapped")</f>
        <v/>
      </c>
    </row>
    <row r="1310">
      <c r="A1310" t="n">
        <v>2021</v>
      </c>
      <c r="B1310" t="inlineStr">
        <is>
          <t>BS23E00</t>
        </is>
      </c>
      <c r="C1310" t="inlineStr">
        <is>
          <t>Other activities of the construction industry</t>
        </is>
      </c>
      <c r="D1310" t="n">
        <v>4578.2</v>
      </c>
      <c r="E1310">
        <f>IFERROR(VLOOKUP(B1310,Crosswalk!$A$2:$C$125,3,FALSE),"Unmapped")</f>
        <v/>
      </c>
    </row>
    <row r="1311">
      <c r="A1311" t="n">
        <v>2021</v>
      </c>
      <c r="B1311" t="inlineStr">
        <is>
          <t>BS31110</t>
        </is>
      </c>
      <c r="C1311" t="inlineStr">
        <is>
          <t>Animal food manufacturing</t>
        </is>
      </c>
      <c r="D1311" t="n">
        <v>10779.2</v>
      </c>
      <c r="E1311">
        <f>IFERROR(VLOOKUP(B1311,Crosswalk!$A$2:$C$125,3,FALSE),"Unmapped")</f>
        <v/>
      </c>
    </row>
    <row r="1312">
      <c r="A1312" t="n">
        <v>2021</v>
      </c>
      <c r="B1312" t="inlineStr">
        <is>
          <t>BS31130</t>
        </is>
      </c>
      <c r="C1312" t="inlineStr">
        <is>
          <t>Sugar and confectionery product manufacturing</t>
        </is>
      </c>
      <c r="D1312" t="n">
        <v>5306.1</v>
      </c>
      <c r="E1312">
        <f>IFERROR(VLOOKUP(B1312,Crosswalk!$A$2:$C$125,3,FALSE),"Unmapped")</f>
        <v/>
      </c>
    </row>
    <row r="1313">
      <c r="A1313" t="n">
        <v>2021</v>
      </c>
      <c r="B1313" t="inlineStr">
        <is>
          <t>BS31140</t>
        </is>
      </c>
      <c r="C1313" t="inlineStr">
        <is>
          <t>Fruit and vegetable preserving and specialty food manufacturing</t>
        </is>
      </c>
      <c r="D1313" t="n">
        <v>9205.799999999999</v>
      </c>
      <c r="E1313">
        <f>IFERROR(VLOOKUP(B1313,Crosswalk!$A$2:$C$125,3,FALSE),"Unmapped")</f>
        <v/>
      </c>
    </row>
    <row r="1314">
      <c r="A1314" t="n">
        <v>2021</v>
      </c>
      <c r="B1314" t="inlineStr">
        <is>
          <t>BS31150</t>
        </is>
      </c>
      <c r="C1314" t="inlineStr">
        <is>
          <t>Dairy product manufacturing</t>
        </is>
      </c>
      <c r="D1314" t="n">
        <v>17814.2</v>
      </c>
      <c r="E1314">
        <f>IFERROR(VLOOKUP(B1314,Crosswalk!$A$2:$C$125,3,FALSE),"Unmapped")</f>
        <v/>
      </c>
    </row>
    <row r="1315">
      <c r="A1315" t="n">
        <v>2021</v>
      </c>
      <c r="B1315" t="inlineStr">
        <is>
          <t>BS31160</t>
        </is>
      </c>
      <c r="C1315" t="inlineStr">
        <is>
          <t>Meat product manufacturing</t>
        </is>
      </c>
      <c r="D1315" t="n">
        <v>38091.5</v>
      </c>
      <c r="E1315">
        <f>IFERROR(VLOOKUP(B1315,Crosswalk!$A$2:$C$125,3,FALSE),"Unmapped")</f>
        <v/>
      </c>
    </row>
    <row r="1316">
      <c r="A1316" t="n">
        <v>2021</v>
      </c>
      <c r="B1316" t="inlineStr">
        <is>
          <t>BS31170</t>
        </is>
      </c>
      <c r="C1316" t="inlineStr">
        <is>
          <t>Seafood product preparation and packaging</t>
        </is>
      </c>
      <c r="D1316" t="n">
        <v>7372.6</v>
      </c>
      <c r="E1316">
        <f>IFERROR(VLOOKUP(B1316,Crosswalk!$A$2:$C$125,3,FALSE),"Unmapped")</f>
        <v/>
      </c>
    </row>
    <row r="1317">
      <c r="A1317" t="n">
        <v>2021</v>
      </c>
      <c r="B1317" t="inlineStr">
        <is>
          <t>BS311A0</t>
        </is>
      </c>
      <c r="C1317" t="inlineStr">
        <is>
          <t>Miscellaneous food manufacturing</t>
        </is>
      </c>
      <c r="D1317" t="n">
        <v>45040.2</v>
      </c>
      <c r="E1317">
        <f>IFERROR(VLOOKUP(B1317,Crosswalk!$A$2:$C$125,3,FALSE),"Unmapped")</f>
        <v/>
      </c>
    </row>
    <row r="1318">
      <c r="A1318" t="n">
        <v>2021</v>
      </c>
      <c r="B1318" t="inlineStr">
        <is>
          <t>BS31211</t>
        </is>
      </c>
      <c r="C1318" t="inlineStr">
        <is>
          <t>Soft drink and ice manufacturing</t>
        </is>
      </c>
      <c r="D1318" t="n">
        <v>4861.8</v>
      </c>
      <c r="E1318">
        <f>IFERROR(VLOOKUP(B1318,Crosswalk!$A$2:$C$125,3,FALSE),"Unmapped")</f>
        <v/>
      </c>
    </row>
    <row r="1319">
      <c r="A1319" t="n">
        <v>2021</v>
      </c>
      <c r="B1319" t="inlineStr">
        <is>
          <t>BS31212</t>
        </is>
      </c>
      <c r="C1319" t="inlineStr">
        <is>
          <t>Breweries</t>
        </is>
      </c>
      <c r="D1319" t="n">
        <v>7045.6</v>
      </c>
      <c r="E1319">
        <f>IFERROR(VLOOKUP(B1319,Crosswalk!$A$2:$C$125,3,FALSE),"Unmapped")</f>
        <v/>
      </c>
    </row>
    <row r="1320">
      <c r="A1320" t="n">
        <v>2021</v>
      </c>
      <c r="B1320" t="inlineStr">
        <is>
          <t>BS3121A</t>
        </is>
      </c>
      <c r="C1320" t="inlineStr">
        <is>
          <t>Wineries and distilleries</t>
        </is>
      </c>
      <c r="D1320" t="n">
        <v>3397.4</v>
      </c>
      <c r="E1320">
        <f>IFERROR(VLOOKUP(B1320,Crosswalk!$A$2:$C$125,3,FALSE),"Unmapped")</f>
        <v/>
      </c>
    </row>
    <row r="1321">
      <c r="A1321" t="n">
        <v>2021</v>
      </c>
      <c r="B1321" t="inlineStr">
        <is>
          <t>BS312A0</t>
        </is>
      </c>
      <c r="C1321" t="inlineStr">
        <is>
          <t>Tobacco and cannabis product manufacturing</t>
        </is>
      </c>
      <c r="D1321" t="n">
        <v>3934.5</v>
      </c>
      <c r="E1321">
        <f>IFERROR(VLOOKUP(B1321,Crosswalk!$A$2:$C$125,3,FALSE),"Unmapped")</f>
        <v/>
      </c>
    </row>
    <row r="1322">
      <c r="A1322" t="n">
        <v>2021</v>
      </c>
      <c r="B1322" t="inlineStr">
        <is>
          <t>BS31A00</t>
        </is>
      </c>
      <c r="C1322" t="inlineStr">
        <is>
          <t>Textile and textile product mills</t>
        </is>
      </c>
      <c r="D1322" t="n">
        <v>3805.5</v>
      </c>
      <c r="E1322">
        <f>IFERROR(VLOOKUP(B1322,Crosswalk!$A$2:$C$125,3,FALSE),"Unmapped")</f>
        <v/>
      </c>
    </row>
    <row r="1323">
      <c r="A1323" t="n">
        <v>2021</v>
      </c>
      <c r="B1323" t="inlineStr">
        <is>
          <t>BS31B00</t>
        </is>
      </c>
      <c r="C1323" t="inlineStr">
        <is>
          <t>Clothing and leather and allied product manufacturing</t>
        </is>
      </c>
      <c r="D1323" t="n">
        <v>2994.5</v>
      </c>
      <c r="E1323">
        <f>IFERROR(VLOOKUP(B1323,Crosswalk!$A$2:$C$125,3,FALSE),"Unmapped")</f>
        <v/>
      </c>
    </row>
    <row r="1324">
      <c r="A1324" t="n">
        <v>2021</v>
      </c>
      <c r="B1324" t="inlineStr">
        <is>
          <t>BS32100</t>
        </is>
      </c>
      <c r="C1324" t="inlineStr">
        <is>
          <t>Wood product manufacturing</t>
        </is>
      </c>
      <c r="D1324" t="n">
        <v>54423.8</v>
      </c>
      <c r="E1324">
        <f>IFERROR(VLOOKUP(B1324,Crosswalk!$A$2:$C$125,3,FALSE),"Unmapped")</f>
        <v/>
      </c>
    </row>
    <row r="1325">
      <c r="A1325" t="n">
        <v>2021</v>
      </c>
      <c r="B1325" t="inlineStr">
        <is>
          <t>BS32210</t>
        </is>
      </c>
      <c r="C1325" t="inlineStr">
        <is>
          <t>Pulp, paper and paperboard mills</t>
        </is>
      </c>
      <c r="D1325" t="n">
        <v>17985</v>
      </c>
      <c r="E1325">
        <f>IFERROR(VLOOKUP(B1325,Crosswalk!$A$2:$C$125,3,FALSE),"Unmapped")</f>
        <v/>
      </c>
    </row>
    <row r="1326">
      <c r="A1326" t="n">
        <v>2021</v>
      </c>
      <c r="B1326" t="inlineStr">
        <is>
          <t>BS32220</t>
        </is>
      </c>
      <c r="C1326" t="inlineStr">
        <is>
          <t>Converted paper product manufacturing</t>
        </is>
      </c>
      <c r="D1326" t="n">
        <v>12521.9</v>
      </c>
      <c r="E1326">
        <f>IFERROR(VLOOKUP(B1326,Crosswalk!$A$2:$C$125,3,FALSE),"Unmapped")</f>
        <v/>
      </c>
    </row>
    <row r="1327">
      <c r="A1327" t="n">
        <v>2021</v>
      </c>
      <c r="B1327" t="inlineStr">
        <is>
          <t>BS32300</t>
        </is>
      </c>
      <c r="C1327" t="inlineStr">
        <is>
          <t>Printing and related support activities</t>
        </is>
      </c>
      <c r="D1327" t="n">
        <v>8077.5</v>
      </c>
      <c r="E1327">
        <f>IFERROR(VLOOKUP(B1327,Crosswalk!$A$2:$C$125,3,FALSE),"Unmapped")</f>
        <v/>
      </c>
    </row>
    <row r="1328">
      <c r="A1328" t="n">
        <v>2021</v>
      </c>
      <c r="B1328" t="inlineStr">
        <is>
          <t>BS32400</t>
        </is>
      </c>
      <c r="C1328" t="inlineStr">
        <is>
          <t>Petroleum and coal product manufacturing</t>
        </is>
      </c>
      <c r="D1328" t="n">
        <v>78236</v>
      </c>
      <c r="E1328">
        <f>IFERROR(VLOOKUP(B1328,Crosswalk!$A$2:$C$125,3,FALSE),"Unmapped")</f>
        <v/>
      </c>
    </row>
    <row r="1329">
      <c r="A1329" t="n">
        <v>2021</v>
      </c>
      <c r="B1329" t="inlineStr">
        <is>
          <t>BS32510</t>
        </is>
      </c>
      <c r="C1329" t="inlineStr">
        <is>
          <t>Basic chemical manufacturing</t>
        </is>
      </c>
      <c r="D1329" t="n">
        <v>19799.3</v>
      </c>
      <c r="E1329">
        <f>IFERROR(VLOOKUP(B1329,Crosswalk!$A$2:$C$125,3,FALSE),"Unmapped")</f>
        <v/>
      </c>
    </row>
    <row r="1330">
      <c r="A1330" t="n">
        <v>2021</v>
      </c>
      <c r="B1330" t="inlineStr">
        <is>
          <t>BS32530</t>
        </is>
      </c>
      <c r="C1330" t="inlineStr">
        <is>
          <t>Pesticide, fertilizer and other agricultural chemical manufacturing</t>
        </is>
      </c>
      <c r="D1330" t="n">
        <v>7146</v>
      </c>
      <c r="E1330">
        <f>IFERROR(VLOOKUP(B1330,Crosswalk!$A$2:$C$125,3,FALSE),"Unmapped")</f>
        <v/>
      </c>
    </row>
    <row r="1331">
      <c r="A1331" t="n">
        <v>2021</v>
      </c>
      <c r="B1331" t="inlineStr">
        <is>
          <t>BS32540</t>
        </is>
      </c>
      <c r="C1331" t="inlineStr">
        <is>
          <t>Pharmaceutical and medicine manufacturing</t>
        </is>
      </c>
      <c r="D1331" t="n">
        <v>15355.4</v>
      </c>
      <c r="E1331">
        <f>IFERROR(VLOOKUP(B1331,Crosswalk!$A$2:$C$125,3,FALSE),"Unmapped")</f>
        <v/>
      </c>
    </row>
    <row r="1332">
      <c r="A1332" t="n">
        <v>2021</v>
      </c>
      <c r="B1332" t="inlineStr">
        <is>
          <t>BS325C0</t>
        </is>
      </c>
      <c r="C1332" t="inlineStr">
        <is>
          <t>Miscellaneous chemical product manufacturing</t>
        </is>
      </c>
      <c r="D1332" t="n">
        <v>27309.4</v>
      </c>
      <c r="E1332">
        <f>IFERROR(VLOOKUP(B1332,Crosswalk!$A$2:$C$125,3,FALSE),"Unmapped")</f>
        <v/>
      </c>
    </row>
    <row r="1333">
      <c r="A1333" t="n">
        <v>2021</v>
      </c>
      <c r="B1333" t="inlineStr">
        <is>
          <t>BS32610</t>
        </is>
      </c>
      <c r="C1333" t="inlineStr">
        <is>
          <t>Plastic product manufacturing</t>
        </is>
      </c>
      <c r="D1333" t="n">
        <v>30715.8</v>
      </c>
      <c r="E1333">
        <f>IFERROR(VLOOKUP(B1333,Crosswalk!$A$2:$C$125,3,FALSE),"Unmapped")</f>
        <v/>
      </c>
    </row>
    <row r="1334">
      <c r="A1334" t="n">
        <v>2021</v>
      </c>
      <c r="B1334" t="inlineStr">
        <is>
          <t>BS32620</t>
        </is>
      </c>
      <c r="C1334" t="inlineStr">
        <is>
          <t>Rubber product manufacturing</t>
        </is>
      </c>
      <c r="D1334" t="n">
        <v>5268.8</v>
      </c>
      <c r="E1334">
        <f>IFERROR(VLOOKUP(B1334,Crosswalk!$A$2:$C$125,3,FALSE),"Unmapped")</f>
        <v/>
      </c>
    </row>
    <row r="1335">
      <c r="A1335" t="n">
        <v>2021</v>
      </c>
      <c r="B1335" t="inlineStr">
        <is>
          <t>BS32730</t>
        </is>
      </c>
      <c r="C1335" t="inlineStr">
        <is>
          <t>Cement and concrete product manufacturing</t>
        </is>
      </c>
      <c r="D1335" t="n">
        <v>12466.4</v>
      </c>
      <c r="E1335">
        <f>IFERROR(VLOOKUP(B1335,Crosswalk!$A$2:$C$125,3,FALSE),"Unmapped")</f>
        <v/>
      </c>
    </row>
    <row r="1336">
      <c r="A1336" t="n">
        <v>2021</v>
      </c>
      <c r="B1336" t="inlineStr">
        <is>
          <t>BS327A0</t>
        </is>
      </c>
      <c r="C1336" t="inlineStr">
        <is>
          <t>Non-metallic mineral product manufacturing (except cement and concrete products)</t>
        </is>
      </c>
      <c r="D1336" t="n">
        <v>7897.3</v>
      </c>
      <c r="E1336">
        <f>IFERROR(VLOOKUP(B1336,Crosswalk!$A$2:$C$125,3,FALSE),"Unmapped")</f>
        <v/>
      </c>
    </row>
    <row r="1337">
      <c r="A1337" t="n">
        <v>2021</v>
      </c>
      <c r="B1337" t="inlineStr">
        <is>
          <t>BS33100</t>
        </is>
      </c>
      <c r="C1337" t="inlineStr">
        <is>
          <t>Primary metal manufacturing</t>
        </is>
      </c>
      <c r="D1337" t="n">
        <v>91007.7</v>
      </c>
      <c r="E1337">
        <f>IFERROR(VLOOKUP(B1337,Crosswalk!$A$2:$C$125,3,FALSE),"Unmapped")</f>
        <v/>
      </c>
    </row>
    <row r="1338">
      <c r="A1338" t="n">
        <v>2021</v>
      </c>
      <c r="B1338" t="inlineStr">
        <is>
          <t>BS33200</t>
        </is>
      </c>
      <c r="C1338" t="inlineStr">
        <is>
          <t>Fabricated metal product manufacturing</t>
        </is>
      </c>
      <c r="D1338" t="n">
        <v>45616.3</v>
      </c>
      <c r="E1338">
        <f>IFERROR(VLOOKUP(B1338,Crosswalk!$A$2:$C$125,3,FALSE),"Unmapped")</f>
        <v/>
      </c>
    </row>
    <row r="1339">
      <c r="A1339" t="n">
        <v>2021</v>
      </c>
      <c r="B1339" t="inlineStr">
        <is>
          <t>BS33300</t>
        </is>
      </c>
      <c r="C1339" t="inlineStr">
        <is>
          <t>Machinery manufacturing</t>
        </is>
      </c>
      <c r="D1339" t="n">
        <v>45126.6</v>
      </c>
      <c r="E1339">
        <f>IFERROR(VLOOKUP(B1339,Crosswalk!$A$2:$C$125,3,FALSE),"Unmapped")</f>
        <v/>
      </c>
    </row>
    <row r="1340">
      <c r="A1340" t="n">
        <v>2021</v>
      </c>
      <c r="B1340" t="inlineStr">
        <is>
          <t>BS33400</t>
        </is>
      </c>
      <c r="C1340" t="inlineStr">
        <is>
          <t>Computer and electronic product manufacturing</t>
        </is>
      </c>
      <c r="D1340" t="n">
        <v>16919.1</v>
      </c>
      <c r="E1340">
        <f>IFERROR(VLOOKUP(B1340,Crosswalk!$A$2:$C$125,3,FALSE),"Unmapped")</f>
        <v/>
      </c>
    </row>
    <row r="1341">
      <c r="A1341" t="n">
        <v>2021</v>
      </c>
      <c r="B1341" t="inlineStr">
        <is>
          <t>BS33500</t>
        </is>
      </c>
      <c r="C1341" t="inlineStr">
        <is>
          <t>Electrical equipment, appliance and component manufacturing</t>
        </is>
      </c>
      <c r="D1341" t="n">
        <v>13056.2</v>
      </c>
      <c r="E1341">
        <f>IFERROR(VLOOKUP(B1341,Crosswalk!$A$2:$C$125,3,FALSE),"Unmapped")</f>
        <v/>
      </c>
    </row>
    <row r="1342">
      <c r="A1342" t="n">
        <v>2021</v>
      </c>
      <c r="B1342" t="inlineStr">
        <is>
          <t>BS33610</t>
        </is>
      </c>
      <c r="C1342" t="inlineStr">
        <is>
          <t>Motor vehicle manufacturing</t>
        </is>
      </c>
      <c r="D1342" t="n">
        <v>36335.9</v>
      </c>
      <c r="E1342">
        <f>IFERROR(VLOOKUP(B1342,Crosswalk!$A$2:$C$125,3,FALSE),"Unmapped")</f>
        <v/>
      </c>
    </row>
    <row r="1343">
      <c r="A1343" t="n">
        <v>2021</v>
      </c>
      <c r="B1343" t="inlineStr">
        <is>
          <t>BS33620</t>
        </is>
      </c>
      <c r="C1343" t="inlineStr">
        <is>
          <t>Motor vehicle body and trailer manufacturing</t>
        </is>
      </c>
      <c r="D1343" t="n">
        <v>4053.3</v>
      </c>
      <c r="E1343">
        <f>IFERROR(VLOOKUP(B1343,Crosswalk!$A$2:$C$125,3,FALSE),"Unmapped")</f>
        <v/>
      </c>
    </row>
    <row r="1344">
      <c r="A1344" t="n">
        <v>2021</v>
      </c>
      <c r="B1344" t="inlineStr">
        <is>
          <t>BS33630</t>
        </is>
      </c>
      <c r="C1344" t="inlineStr">
        <is>
          <t>Motor vehicle parts manufacturing</t>
        </is>
      </c>
      <c r="D1344" t="n">
        <v>28604</v>
      </c>
      <c r="E1344">
        <f>IFERROR(VLOOKUP(B1344,Crosswalk!$A$2:$C$125,3,FALSE),"Unmapped")</f>
        <v/>
      </c>
    </row>
    <row r="1345">
      <c r="A1345" t="n">
        <v>2021</v>
      </c>
      <c r="B1345" t="inlineStr">
        <is>
          <t>BS33640</t>
        </is>
      </c>
      <c r="C1345" t="inlineStr">
        <is>
          <t>Aerospace product and parts manufacturing</t>
        </is>
      </c>
      <c r="D1345" t="n">
        <v>21305.8</v>
      </c>
      <c r="E1345">
        <f>IFERROR(VLOOKUP(B1345,Crosswalk!$A$2:$C$125,3,FALSE),"Unmapped")</f>
        <v/>
      </c>
    </row>
    <row r="1346">
      <c r="A1346" t="n">
        <v>2021</v>
      </c>
      <c r="B1346" t="inlineStr">
        <is>
          <t>BS33650</t>
        </is>
      </c>
      <c r="C1346" t="inlineStr">
        <is>
          <t>Railroad rolling stock manufacturing</t>
        </is>
      </c>
      <c r="D1346" t="n">
        <v>1694.4</v>
      </c>
      <c r="E1346">
        <f>IFERROR(VLOOKUP(B1346,Crosswalk!$A$2:$C$125,3,FALSE),"Unmapped")</f>
        <v/>
      </c>
    </row>
    <row r="1347">
      <c r="A1347" t="n">
        <v>2021</v>
      </c>
      <c r="B1347" t="inlineStr">
        <is>
          <t>BS33660</t>
        </is>
      </c>
      <c r="C1347" t="inlineStr">
        <is>
          <t>Ship and boat building</t>
        </is>
      </c>
      <c r="D1347" t="n">
        <v>3137.9</v>
      </c>
      <c r="E1347">
        <f>IFERROR(VLOOKUP(B1347,Crosswalk!$A$2:$C$125,3,FALSE),"Unmapped")</f>
        <v/>
      </c>
    </row>
    <row r="1348">
      <c r="A1348" t="n">
        <v>2021</v>
      </c>
      <c r="B1348" t="inlineStr">
        <is>
          <t>BS33690</t>
        </is>
      </c>
      <c r="C1348" t="inlineStr">
        <is>
          <t>Other transportation equipment manufacturing</t>
        </is>
      </c>
      <c r="D1348" t="n">
        <v>9437</v>
      </c>
      <c r="E1348">
        <f>IFERROR(VLOOKUP(B1348,Crosswalk!$A$2:$C$125,3,FALSE),"Unmapped")</f>
        <v/>
      </c>
    </row>
    <row r="1349">
      <c r="A1349" t="n">
        <v>2021</v>
      </c>
      <c r="B1349" t="inlineStr">
        <is>
          <t>BS33700</t>
        </is>
      </c>
      <c r="C1349" t="inlineStr">
        <is>
          <t>Furniture and related product manufacturing</t>
        </is>
      </c>
      <c r="D1349" t="n">
        <v>14037.9</v>
      </c>
      <c r="E1349">
        <f>IFERROR(VLOOKUP(B1349,Crosswalk!$A$2:$C$125,3,FALSE),"Unmapped")</f>
        <v/>
      </c>
    </row>
    <row r="1350">
      <c r="A1350" t="n">
        <v>2021</v>
      </c>
      <c r="B1350" t="inlineStr">
        <is>
          <t>BS33900</t>
        </is>
      </c>
      <c r="C1350" t="inlineStr">
        <is>
          <t>Miscellaneous manufacturing</t>
        </is>
      </c>
      <c r="D1350" t="n">
        <v>19559.1</v>
      </c>
      <c r="E1350">
        <f>IFERROR(VLOOKUP(B1350,Crosswalk!$A$2:$C$125,3,FALSE),"Unmapped")</f>
        <v/>
      </c>
    </row>
    <row r="1351">
      <c r="A1351" t="n">
        <v>2021</v>
      </c>
      <c r="B1351" t="inlineStr">
        <is>
          <t>BS41000</t>
        </is>
      </c>
      <c r="C1351" t="inlineStr">
        <is>
          <t>Wholesale trade</t>
        </is>
      </c>
      <c r="D1351" t="n">
        <v>197319.4</v>
      </c>
      <c r="E1351">
        <f>IFERROR(VLOOKUP(B1351,Crosswalk!$A$2:$C$125,3,FALSE),"Unmapped")</f>
        <v/>
      </c>
    </row>
    <row r="1352">
      <c r="A1352" t="n">
        <v>2021</v>
      </c>
      <c r="B1352" t="inlineStr">
        <is>
          <t>BS459BL</t>
        </is>
      </c>
      <c r="C1352" t="inlineStr">
        <is>
          <t>Cannabis retailers (licensed)</t>
        </is>
      </c>
      <c r="D1352" t="n">
        <v>920.5</v>
      </c>
      <c r="E1352">
        <f>IFERROR(VLOOKUP(B1352,Crosswalk!$A$2:$C$125,3,FALSE),"Unmapped")</f>
        <v/>
      </c>
    </row>
    <row r="1353">
      <c r="A1353" t="n">
        <v>2021</v>
      </c>
      <c r="B1353" t="inlineStr">
        <is>
          <t>BS459BU</t>
        </is>
      </c>
      <c r="C1353" t="inlineStr">
        <is>
          <t>Cannabis retailers (unlicensed)</t>
        </is>
      </c>
      <c r="D1353" t="n">
        <v>844</v>
      </c>
      <c r="E1353">
        <f>IFERROR(VLOOKUP(B1353,Crosswalk!$A$2:$C$125,3,FALSE),"Unmapped")</f>
        <v/>
      </c>
    </row>
    <row r="1354">
      <c r="A1354" t="n">
        <v>2021</v>
      </c>
      <c r="B1354" t="inlineStr">
        <is>
          <t>BS48100</t>
        </is>
      </c>
      <c r="C1354" t="inlineStr">
        <is>
          <t>Air transportation</t>
        </is>
      </c>
      <c r="D1354" t="n">
        <v>13139</v>
      </c>
      <c r="E1354">
        <f>IFERROR(VLOOKUP(B1354,Crosswalk!$A$2:$C$125,3,FALSE),"Unmapped")</f>
        <v/>
      </c>
    </row>
    <row r="1355">
      <c r="A1355" t="n">
        <v>2021</v>
      </c>
      <c r="B1355" t="inlineStr">
        <is>
          <t>BS48200</t>
        </is>
      </c>
      <c r="C1355" t="inlineStr">
        <is>
          <t>Rail transportation</t>
        </is>
      </c>
      <c r="D1355" t="n">
        <v>16598.3</v>
      </c>
      <c r="E1355">
        <f>IFERROR(VLOOKUP(B1355,Crosswalk!$A$2:$C$125,3,FALSE),"Unmapped")</f>
        <v/>
      </c>
    </row>
    <row r="1356">
      <c r="A1356" t="n">
        <v>2021</v>
      </c>
      <c r="B1356" t="inlineStr">
        <is>
          <t>BS48300</t>
        </is>
      </c>
      <c r="C1356" t="inlineStr">
        <is>
          <t>Water transportation</t>
        </is>
      </c>
      <c r="D1356" t="n">
        <v>4273.2</v>
      </c>
      <c r="E1356">
        <f>IFERROR(VLOOKUP(B1356,Crosswalk!$A$2:$C$125,3,FALSE),"Unmapped")</f>
        <v/>
      </c>
    </row>
    <row r="1357">
      <c r="A1357" t="n">
        <v>2021</v>
      </c>
      <c r="B1357" t="inlineStr">
        <is>
          <t>BS48400</t>
        </is>
      </c>
      <c r="C1357" t="inlineStr">
        <is>
          <t>Truck transportation</t>
        </is>
      </c>
      <c r="D1357" t="n">
        <v>75877.8</v>
      </c>
      <c r="E1357">
        <f>IFERROR(VLOOKUP(B1357,Crosswalk!$A$2:$C$125,3,FALSE),"Unmapped")</f>
        <v/>
      </c>
    </row>
    <row r="1358">
      <c r="A1358" t="n">
        <v>2021</v>
      </c>
      <c r="B1358" t="inlineStr">
        <is>
          <t>BS48600</t>
        </is>
      </c>
      <c r="C1358" t="inlineStr">
        <is>
          <t>Pipeline transportation</t>
        </is>
      </c>
      <c r="D1358" t="n">
        <v>14659.3</v>
      </c>
      <c r="E1358">
        <f>IFERROR(VLOOKUP(B1358,Crosswalk!$A$2:$C$125,3,FALSE),"Unmapped")</f>
        <v/>
      </c>
    </row>
    <row r="1359">
      <c r="A1359" t="n">
        <v>2021</v>
      </c>
      <c r="B1359" t="inlineStr">
        <is>
          <t>BS48B00</t>
        </is>
      </c>
      <c r="C1359" t="inlineStr">
        <is>
          <t>Transit, ground passenger and scenic and sightseeing transportation, taxi and limousine service and support activities for transportation</t>
        </is>
      </c>
      <c r="D1359" t="n">
        <v>54003.4</v>
      </c>
      <c r="E1359">
        <f>IFERROR(VLOOKUP(B1359,Crosswalk!$A$2:$C$125,3,FALSE),"Unmapped")</f>
        <v/>
      </c>
    </row>
    <row r="1360">
      <c r="A1360" t="n">
        <v>2021</v>
      </c>
      <c r="B1360" t="inlineStr">
        <is>
          <t>BS49300</t>
        </is>
      </c>
      <c r="C1360" t="inlineStr">
        <is>
          <t>Warehousing and storage</t>
        </is>
      </c>
      <c r="D1360" t="n">
        <v>9388.6</v>
      </c>
      <c r="E1360">
        <f>IFERROR(VLOOKUP(B1360,Crosswalk!$A$2:$C$125,3,FALSE),"Unmapped")</f>
        <v/>
      </c>
    </row>
    <row r="1361">
      <c r="A1361" t="n">
        <v>2021</v>
      </c>
      <c r="B1361" t="inlineStr">
        <is>
          <t>BS49A00</t>
        </is>
      </c>
      <c r="C1361" t="inlineStr">
        <is>
          <t>Postal service, couriers and messengers</t>
        </is>
      </c>
      <c r="D1361" t="n">
        <v>23255.3</v>
      </c>
      <c r="E1361">
        <f>IFERROR(VLOOKUP(B1361,Crosswalk!$A$2:$C$125,3,FALSE),"Unmapped")</f>
        <v/>
      </c>
    </row>
    <row r="1362">
      <c r="A1362" t="n">
        <v>2021</v>
      </c>
      <c r="B1362" t="inlineStr">
        <is>
          <t>BS4AA00</t>
        </is>
      </c>
      <c r="C1362" t="inlineStr">
        <is>
          <t>Retail trade (except cannabis)</t>
        </is>
      </c>
      <c r="D1362" t="n">
        <v>191972.7</v>
      </c>
      <c r="E1362">
        <f>IFERROR(VLOOKUP(B1362,Crosswalk!$A$2:$C$125,3,FALSE),"Unmapped")</f>
        <v/>
      </c>
    </row>
    <row r="1363">
      <c r="A1363" t="n">
        <v>2021</v>
      </c>
      <c r="B1363" t="inlineStr">
        <is>
          <t>BS51200</t>
        </is>
      </c>
      <c r="C1363" t="inlineStr">
        <is>
          <t>Motion picture and sound recording industries</t>
        </is>
      </c>
      <c r="D1363" t="n">
        <v>14529.6</v>
      </c>
      <c r="E1363">
        <f>IFERROR(VLOOKUP(B1363,Crosswalk!$A$2:$C$125,3,FALSE),"Unmapped")</f>
        <v/>
      </c>
    </row>
    <row r="1364">
      <c r="A1364" t="n">
        <v>2021</v>
      </c>
      <c r="B1364" t="inlineStr">
        <is>
          <t>BS51610</t>
        </is>
      </c>
      <c r="C1364" t="inlineStr">
        <is>
          <t>Radio and television broadcasting stations</t>
        </is>
      </c>
      <c r="D1364" t="n">
        <v>2752</v>
      </c>
      <c r="E1364">
        <f>IFERROR(VLOOKUP(B1364,Crosswalk!$A$2:$C$125,3,FALSE),"Unmapped")</f>
        <v/>
      </c>
    </row>
    <row r="1365">
      <c r="A1365" t="n">
        <v>2021</v>
      </c>
      <c r="B1365" t="inlineStr">
        <is>
          <t>BS51B00</t>
        </is>
      </c>
      <c r="C1365" t="inlineStr">
        <is>
          <t>Publishing, pay/specialty services, telecommunications and other information services</t>
        </is>
      </c>
      <c r="D1365" t="n">
        <v>111384.9</v>
      </c>
      <c r="E1365">
        <f>IFERROR(VLOOKUP(B1365,Crosswalk!$A$2:$C$125,3,FALSE),"Unmapped")</f>
        <v/>
      </c>
    </row>
    <row r="1366">
      <c r="A1366" t="n">
        <v>2021</v>
      </c>
      <c r="B1366" t="inlineStr">
        <is>
          <t>BS52410</t>
        </is>
      </c>
      <c r="C1366" t="inlineStr">
        <is>
          <t>Insurance carriers</t>
        </is>
      </c>
      <c r="D1366" t="n">
        <v>59348</v>
      </c>
      <c r="E1366">
        <f>IFERROR(VLOOKUP(B1366,Crosswalk!$A$2:$C$125,3,FALSE),"Unmapped")</f>
        <v/>
      </c>
    </row>
    <row r="1367">
      <c r="A1367" t="n">
        <v>2021</v>
      </c>
      <c r="B1367" t="inlineStr">
        <is>
          <t>BS52B00</t>
        </is>
      </c>
      <c r="C1367" t="inlineStr">
        <is>
          <t>Depository credit intermediation and monetary authorities</t>
        </is>
      </c>
      <c r="D1367" t="n">
        <v>115337.3</v>
      </c>
      <c r="E1367">
        <f>IFERROR(VLOOKUP(B1367,Crosswalk!$A$2:$C$125,3,FALSE),"Unmapped")</f>
        <v/>
      </c>
    </row>
    <row r="1368">
      <c r="A1368" t="n">
        <v>2021</v>
      </c>
      <c r="B1368" t="inlineStr">
        <is>
          <t>BS53110</t>
        </is>
      </c>
      <c r="C1368" t="inlineStr">
        <is>
          <t>Lessors of real estate</t>
        </is>
      </c>
      <c r="D1368" t="n">
        <v>119728.7</v>
      </c>
      <c r="E1368">
        <f>IFERROR(VLOOKUP(B1368,Crosswalk!$A$2:$C$125,3,FALSE),"Unmapped")</f>
        <v/>
      </c>
    </row>
    <row r="1369">
      <c r="A1369" t="n">
        <v>2021</v>
      </c>
      <c r="B1369" t="inlineStr">
        <is>
          <t>BS5311A</t>
        </is>
      </c>
      <c r="C1369" t="inlineStr">
        <is>
          <t>Owner-occupied dwellings</t>
        </is>
      </c>
      <c r="D1369" t="n">
        <v>220125.2</v>
      </c>
      <c r="E1369">
        <f>IFERROR(VLOOKUP(B1369,Crosswalk!$A$2:$C$125,3,FALSE),"Unmapped")</f>
        <v/>
      </c>
    </row>
    <row r="1370">
      <c r="A1370" t="n">
        <v>2021</v>
      </c>
      <c r="B1370" t="inlineStr">
        <is>
          <t>BS53B00</t>
        </is>
      </c>
      <c r="C1370" t="inlineStr">
        <is>
          <t>Rental and leasing services and lessors of non-financial intangible assets (except copyrighted works)</t>
        </is>
      </c>
      <c r="D1370" t="n">
        <v>25811.6</v>
      </c>
      <c r="E1370">
        <f>IFERROR(VLOOKUP(B1370,Crosswalk!$A$2:$C$125,3,FALSE),"Unmapped")</f>
        <v/>
      </c>
    </row>
    <row r="1371">
      <c r="A1371" t="n">
        <v>2021</v>
      </c>
      <c r="B1371" t="inlineStr">
        <is>
          <t>BS54180</t>
        </is>
      </c>
      <c r="C1371" t="inlineStr">
        <is>
          <t>Advertising, public relations, and related services</t>
        </is>
      </c>
      <c r="D1371" t="n">
        <v>11061.6</v>
      </c>
      <c r="E1371">
        <f>IFERROR(VLOOKUP(B1371,Crosswalk!$A$2:$C$125,3,FALSE),"Unmapped")</f>
        <v/>
      </c>
    </row>
    <row r="1372">
      <c r="A1372" t="n">
        <v>2021</v>
      </c>
      <c r="B1372" t="inlineStr">
        <is>
          <t>BS541C0</t>
        </is>
      </c>
      <c r="C1372" t="inlineStr">
        <is>
          <t>Legal, accounting and architectural, engineering and related services</t>
        </is>
      </c>
      <c r="D1372" t="n">
        <v>97268.10000000001</v>
      </c>
      <c r="E1372">
        <f>IFERROR(VLOOKUP(B1372,Crosswalk!$A$2:$C$125,3,FALSE),"Unmapped")</f>
        <v/>
      </c>
    </row>
    <row r="1373">
      <c r="A1373" t="n">
        <v>2021</v>
      </c>
      <c r="B1373" t="inlineStr">
        <is>
          <t>BS541D0</t>
        </is>
      </c>
      <c r="C1373" t="inlineStr">
        <is>
          <t>Computer systems design and other professional, scientific and technical services</t>
        </is>
      </c>
      <c r="D1373" t="n">
        <v>142704.9</v>
      </c>
      <c r="E1373">
        <f>IFERROR(VLOOKUP(B1373,Crosswalk!$A$2:$C$125,3,FALSE),"Unmapped")</f>
        <v/>
      </c>
    </row>
    <row r="1374">
      <c r="A1374" t="n">
        <v>2021</v>
      </c>
      <c r="B1374" t="inlineStr">
        <is>
          <t>BS56100</t>
        </is>
      </c>
      <c r="C1374" t="inlineStr">
        <is>
          <t>Administrative and support services</t>
        </is>
      </c>
      <c r="D1374" t="n">
        <v>88546.89999999999</v>
      </c>
      <c r="E1374">
        <f>IFERROR(VLOOKUP(B1374,Crosswalk!$A$2:$C$125,3,FALSE),"Unmapped")</f>
        <v/>
      </c>
    </row>
    <row r="1375">
      <c r="A1375" t="n">
        <v>2021</v>
      </c>
      <c r="B1375" t="inlineStr">
        <is>
          <t>BS56200</t>
        </is>
      </c>
      <c r="C1375" t="inlineStr">
        <is>
          <t>Waste management and remediation services</t>
        </is>
      </c>
      <c r="D1375" t="n">
        <v>14518</v>
      </c>
      <c r="E1375">
        <f>IFERROR(VLOOKUP(B1375,Crosswalk!$A$2:$C$125,3,FALSE),"Unmapped")</f>
        <v/>
      </c>
    </row>
    <row r="1376">
      <c r="A1376" t="n">
        <v>2021</v>
      </c>
      <c r="B1376" t="inlineStr">
        <is>
          <t>BS5A000</t>
        </is>
      </c>
      <c r="C1376" t="inlineStr">
        <is>
          <t>Other finance, insurance and real estate services and management of companies and enterprises</t>
        </is>
      </c>
      <c r="D1376" t="n">
        <v>178219</v>
      </c>
      <c r="E1376">
        <f>IFERROR(VLOOKUP(B1376,Crosswalk!$A$2:$C$125,3,FALSE),"Unmapped")</f>
        <v/>
      </c>
    </row>
    <row r="1377">
      <c r="A1377" t="n">
        <v>2021</v>
      </c>
      <c r="B1377" t="inlineStr">
        <is>
          <t>BS61000</t>
        </is>
      </c>
      <c r="C1377" t="inlineStr">
        <is>
          <t>Educational services</t>
        </is>
      </c>
      <c r="D1377" t="n">
        <v>8785.299999999999</v>
      </c>
      <c r="E1377">
        <f>IFERROR(VLOOKUP(B1377,Crosswalk!$A$2:$C$125,3,FALSE),"Unmapped")</f>
        <v/>
      </c>
    </row>
    <row r="1378">
      <c r="A1378" t="n">
        <v>2021</v>
      </c>
      <c r="B1378" t="inlineStr">
        <is>
          <t>BS62000</t>
        </is>
      </c>
      <c r="C1378" t="inlineStr">
        <is>
          <t>Health care and social assistance</t>
        </is>
      </c>
      <c r="D1378" t="n">
        <v>95681</v>
      </c>
      <c r="E1378">
        <f>IFERROR(VLOOKUP(B1378,Crosswalk!$A$2:$C$125,3,FALSE),"Unmapped")</f>
        <v/>
      </c>
    </row>
    <row r="1379">
      <c r="A1379" t="n">
        <v>2021</v>
      </c>
      <c r="B1379" t="inlineStr">
        <is>
          <t>BS71000</t>
        </is>
      </c>
      <c r="C1379" t="inlineStr">
        <is>
          <t>Arts, entertainment and recreation</t>
        </is>
      </c>
      <c r="D1379" t="n">
        <v>25367.6</v>
      </c>
      <c r="E1379">
        <f>IFERROR(VLOOKUP(B1379,Crosswalk!$A$2:$C$125,3,FALSE),"Unmapped")</f>
        <v/>
      </c>
    </row>
    <row r="1380">
      <c r="A1380" t="n">
        <v>2021</v>
      </c>
      <c r="B1380" t="inlineStr">
        <is>
          <t>BS72000</t>
        </is>
      </c>
      <c r="C1380" t="inlineStr">
        <is>
          <t>Accommodation and food services</t>
        </is>
      </c>
      <c r="D1380" t="n">
        <v>86983.2</v>
      </c>
      <c r="E1380">
        <f>IFERROR(VLOOKUP(B1380,Crosswalk!$A$2:$C$125,3,FALSE),"Unmapped")</f>
        <v/>
      </c>
    </row>
    <row r="1381">
      <c r="A1381" t="n">
        <v>2021</v>
      </c>
      <c r="B1381" t="inlineStr">
        <is>
          <t>BS81100</t>
        </is>
      </c>
      <c r="C1381" t="inlineStr">
        <is>
          <t>Repair and maintenance</t>
        </is>
      </c>
      <c r="D1381" t="n">
        <v>28583.4</v>
      </c>
      <c r="E1381">
        <f>IFERROR(VLOOKUP(B1381,Crosswalk!$A$2:$C$125,3,FALSE),"Unmapped")</f>
        <v/>
      </c>
    </row>
    <row r="1382">
      <c r="A1382" t="n">
        <v>2021</v>
      </c>
      <c r="B1382" t="inlineStr">
        <is>
          <t>BS81300</t>
        </is>
      </c>
      <c r="C1382" t="inlineStr">
        <is>
          <t>Business, professional and other membership organizations</t>
        </is>
      </c>
      <c r="D1382" t="n">
        <v>6044.9</v>
      </c>
      <c r="E1382">
        <f>IFERROR(VLOOKUP(B1382,Crosswalk!$A$2:$C$125,3,FALSE),"Unmapped")</f>
        <v/>
      </c>
    </row>
    <row r="1383">
      <c r="A1383" t="n">
        <v>2021</v>
      </c>
      <c r="B1383" t="inlineStr">
        <is>
          <t>BS81A00</t>
        </is>
      </c>
      <c r="C1383" t="inlineStr">
        <is>
          <t>Personal services and private households</t>
        </is>
      </c>
      <c r="D1383" t="n">
        <v>18506.1</v>
      </c>
      <c r="E1383">
        <f>IFERROR(VLOOKUP(B1383,Crosswalk!$A$2:$C$125,3,FALSE),"Unmapped")</f>
        <v/>
      </c>
    </row>
    <row r="1384">
      <c r="A1384" t="n">
        <v>2021</v>
      </c>
      <c r="B1384" t="inlineStr">
        <is>
          <t>GS61130</t>
        </is>
      </c>
      <c r="C1384" t="inlineStr">
        <is>
          <t>Universities</t>
        </is>
      </c>
      <c r="D1384" t="n">
        <v>50313.1</v>
      </c>
      <c r="E1384">
        <f>IFERROR(VLOOKUP(B1384,Crosswalk!$A$2:$C$125,3,FALSE),"Unmapped")</f>
        <v/>
      </c>
    </row>
    <row r="1385">
      <c r="A1385" t="n">
        <v>2021</v>
      </c>
      <c r="B1385" t="inlineStr">
        <is>
          <t>GS611B0</t>
        </is>
      </c>
      <c r="C1385" t="inlineStr">
        <is>
          <t>Educational services (except universities)</t>
        </is>
      </c>
      <c r="D1385" t="n">
        <v>85681.89999999999</v>
      </c>
      <c r="E1385">
        <f>IFERROR(VLOOKUP(B1385,Crosswalk!$A$2:$C$125,3,FALSE),"Unmapped")</f>
        <v/>
      </c>
    </row>
    <row r="1386">
      <c r="A1386" t="n">
        <v>2021</v>
      </c>
      <c r="B1386" t="inlineStr">
        <is>
          <t>GS62300</t>
        </is>
      </c>
      <c r="C1386" t="inlineStr">
        <is>
          <t>Nursing and residential care facilities</t>
        </is>
      </c>
      <c r="D1386" t="n">
        <v>21613</v>
      </c>
      <c r="E1386">
        <f>IFERROR(VLOOKUP(B1386,Crosswalk!$A$2:$C$125,3,FALSE),"Unmapped")</f>
        <v/>
      </c>
    </row>
    <row r="1387">
      <c r="A1387" t="n">
        <v>2021</v>
      </c>
      <c r="B1387" t="inlineStr">
        <is>
          <t>GS62B00</t>
        </is>
      </c>
      <c r="C1387" t="inlineStr">
        <is>
          <t>Health care and social assistance (except nursing and residential care facilities)</t>
        </is>
      </c>
      <c r="D1387" t="n">
        <v>123380.8</v>
      </c>
      <c r="E1387">
        <f>IFERROR(VLOOKUP(B1387,Crosswalk!$A$2:$C$125,3,FALSE),"Unmapped")</f>
        <v/>
      </c>
    </row>
    <row r="1388">
      <c r="A1388" t="n">
        <v>2021</v>
      </c>
      <c r="B1388" t="inlineStr">
        <is>
          <t>GS91100</t>
        </is>
      </c>
      <c r="C1388" t="inlineStr">
        <is>
          <t>Other federal government services</t>
        </is>
      </c>
      <c r="D1388" t="n">
        <v>107995.2</v>
      </c>
      <c r="E1388">
        <f>IFERROR(VLOOKUP(B1388,Crosswalk!$A$2:$C$125,3,FALSE),"Unmapped")</f>
        <v/>
      </c>
    </row>
    <row r="1389">
      <c r="A1389" t="n">
        <v>2021</v>
      </c>
      <c r="B1389" t="inlineStr">
        <is>
          <t>GS91200</t>
        </is>
      </c>
      <c r="C1389" t="inlineStr">
        <is>
          <t>Other provincial and territorial government services</t>
        </is>
      </c>
      <c r="D1389" t="n">
        <v>148932.7</v>
      </c>
      <c r="E1389">
        <f>IFERROR(VLOOKUP(B1389,Crosswalk!$A$2:$C$125,3,FALSE),"Unmapped")</f>
        <v/>
      </c>
    </row>
    <row r="1390">
      <c r="A1390" t="n">
        <v>2021</v>
      </c>
      <c r="B1390" t="inlineStr">
        <is>
          <t>GS91300</t>
        </is>
      </c>
      <c r="C1390" t="inlineStr">
        <is>
          <t>Other municipal government services</t>
        </is>
      </c>
      <c r="D1390" t="n">
        <v>101555</v>
      </c>
      <c r="E1390">
        <f>IFERROR(VLOOKUP(B1390,Crosswalk!$A$2:$C$125,3,FALSE),"Unmapped")</f>
        <v/>
      </c>
    </row>
    <row r="1391">
      <c r="A1391" t="n">
        <v>2021</v>
      </c>
      <c r="B1391" t="inlineStr">
        <is>
          <t>GS91400</t>
        </is>
      </c>
      <c r="C1391" t="inlineStr">
        <is>
          <t>Other Indigenous government services</t>
        </is>
      </c>
      <c r="D1391" t="n">
        <v>16018.8</v>
      </c>
      <c r="E1391">
        <f>IFERROR(VLOOKUP(B1391,Crosswalk!$A$2:$C$125,3,FALSE),"Unmapped")</f>
        <v/>
      </c>
    </row>
    <row r="1392">
      <c r="A1392" t="n">
        <v>2021</v>
      </c>
      <c r="B1392" t="inlineStr">
        <is>
          <t>NP61000</t>
        </is>
      </c>
      <c r="C1392" t="inlineStr">
        <is>
          <t>Educational services</t>
        </is>
      </c>
      <c r="D1392" t="n">
        <v>6201.5</v>
      </c>
      <c r="E1392">
        <f>IFERROR(VLOOKUP(B1392,Crosswalk!$A$2:$C$125,3,FALSE),"Unmapped")</f>
        <v/>
      </c>
    </row>
    <row r="1393">
      <c r="A1393" t="n">
        <v>2021</v>
      </c>
      <c r="B1393" t="inlineStr">
        <is>
          <t>NP62400</t>
        </is>
      </c>
      <c r="C1393" t="inlineStr">
        <is>
          <t>Social assistance</t>
        </is>
      </c>
      <c r="D1393" t="n">
        <v>14421.4</v>
      </c>
      <c r="E1393">
        <f>IFERROR(VLOOKUP(B1393,Crosswalk!$A$2:$C$125,3,FALSE),"Unmapped")</f>
        <v/>
      </c>
    </row>
    <row r="1394">
      <c r="A1394" t="n">
        <v>2021</v>
      </c>
      <c r="B1394" t="inlineStr">
        <is>
          <t>NP71000</t>
        </is>
      </c>
      <c r="C1394" t="inlineStr">
        <is>
          <t>Arts, entertainment and recreation</t>
        </is>
      </c>
      <c r="D1394" t="n">
        <v>2104.3</v>
      </c>
      <c r="E1394">
        <f>IFERROR(VLOOKUP(B1394,Crosswalk!$A$2:$C$125,3,FALSE),"Unmapped")</f>
        <v/>
      </c>
    </row>
    <row r="1395">
      <c r="A1395" t="n">
        <v>2021</v>
      </c>
      <c r="B1395" t="inlineStr">
        <is>
          <t>NP81310</t>
        </is>
      </c>
      <c r="C1395" t="inlineStr">
        <is>
          <t>Religious organizations</t>
        </is>
      </c>
      <c r="D1395" t="n">
        <v>6043.2</v>
      </c>
      <c r="E1395">
        <f>IFERROR(VLOOKUP(B1395,Crosswalk!$A$2:$C$125,3,FALSE),"Unmapped")</f>
        <v/>
      </c>
    </row>
    <row r="1396">
      <c r="A1396" t="n">
        <v>2021</v>
      </c>
      <c r="B1396" t="inlineStr">
        <is>
          <t>NPA0000</t>
        </is>
      </c>
      <c r="C1396" t="inlineStr">
        <is>
          <t>Miscellaneous non-profit institutions serving households</t>
        </is>
      </c>
      <c r="D1396" t="n">
        <v>26893.2</v>
      </c>
      <c r="E1396">
        <f>IFERROR(VLOOKUP(B1396,Crosswalk!$A$2:$C$125,3,FALSE),"Unmapped")</f>
        <v/>
      </c>
    </row>
    <row r="1397">
      <c r="A1397" t="n">
        <v>2022</v>
      </c>
      <c r="B1397" t="inlineStr">
        <is>
          <t>BS111CL</t>
        </is>
      </c>
      <c r="C1397" t="inlineStr">
        <is>
          <t>Cannabis production (licensed)</t>
        </is>
      </c>
      <c r="D1397" t="n">
        <v>2567.8</v>
      </c>
      <c r="E1397">
        <f>IFERROR(VLOOKUP(B1397,Crosswalk!$A$2:$C$125,3,FALSE),"Unmapped")</f>
        <v/>
      </c>
    </row>
    <row r="1398">
      <c r="A1398" t="n">
        <v>2022</v>
      </c>
      <c r="B1398" t="inlineStr">
        <is>
          <t>BS111CU</t>
        </is>
      </c>
      <c r="C1398" t="inlineStr">
        <is>
          <t>Cannabis production (unlicensed)</t>
        </is>
      </c>
      <c r="D1398" t="n">
        <v>2903.3</v>
      </c>
      <c r="E1398">
        <f>IFERROR(VLOOKUP(B1398,Crosswalk!$A$2:$C$125,3,FALSE),"Unmapped")</f>
        <v/>
      </c>
    </row>
    <row r="1399">
      <c r="A1399" t="n">
        <v>2022</v>
      </c>
      <c r="B1399" t="inlineStr">
        <is>
          <t>BS11300</t>
        </is>
      </c>
      <c r="C1399" t="inlineStr">
        <is>
          <t>Forestry and logging</t>
        </is>
      </c>
      <c r="D1399" t="n">
        <v>14405.3</v>
      </c>
      <c r="E1399">
        <f>IFERROR(VLOOKUP(B1399,Crosswalk!$A$2:$C$125,3,FALSE),"Unmapped")</f>
        <v/>
      </c>
    </row>
    <row r="1400">
      <c r="A1400" t="n">
        <v>2022</v>
      </c>
      <c r="B1400" t="inlineStr">
        <is>
          <t>BS11400</t>
        </is>
      </c>
      <c r="C1400" t="inlineStr">
        <is>
          <t>Fishing, hunting and trapping</t>
        </is>
      </c>
      <c r="D1400" t="n">
        <v>4657.8</v>
      </c>
      <c r="E1400">
        <f>IFERROR(VLOOKUP(B1400,Crosswalk!$A$2:$C$125,3,FALSE),"Unmapped")</f>
        <v/>
      </c>
    </row>
    <row r="1401">
      <c r="A1401" t="n">
        <v>2022</v>
      </c>
      <c r="B1401" t="inlineStr">
        <is>
          <t>BS11500</t>
        </is>
      </c>
      <c r="C1401" t="inlineStr">
        <is>
          <t>Support activities for agriculture and forestry</t>
        </is>
      </c>
      <c r="D1401" t="n">
        <v>4831.2</v>
      </c>
      <c r="E1401">
        <f>IFERROR(VLOOKUP(B1401,Crosswalk!$A$2:$C$125,3,FALSE),"Unmapped")</f>
        <v/>
      </c>
    </row>
    <row r="1402">
      <c r="A1402" t="n">
        <v>2022</v>
      </c>
      <c r="B1402" t="inlineStr">
        <is>
          <t>BS11B00</t>
        </is>
      </c>
      <c r="C1402" t="inlineStr">
        <is>
          <t>Crop and animal production (except cannabis)</t>
        </is>
      </c>
      <c r="D1402" t="n">
        <v>106602.9</v>
      </c>
      <c r="E1402">
        <f>IFERROR(VLOOKUP(B1402,Crosswalk!$A$2:$C$125,3,FALSE),"Unmapped")</f>
        <v/>
      </c>
    </row>
    <row r="1403">
      <c r="A1403" t="n">
        <v>2022</v>
      </c>
      <c r="B1403" t="inlineStr">
        <is>
          <t>BS21100</t>
        </is>
      </c>
      <c r="C1403" t="inlineStr">
        <is>
          <t>Oil and gas extraction</t>
        </is>
      </c>
      <c r="D1403" t="n">
        <v>274649.9</v>
      </c>
      <c r="E1403">
        <f>IFERROR(VLOOKUP(B1403,Crosswalk!$A$2:$C$125,3,FALSE),"Unmapped")</f>
        <v/>
      </c>
    </row>
    <row r="1404">
      <c r="A1404" t="n">
        <v>2022</v>
      </c>
      <c r="B1404" t="inlineStr">
        <is>
          <t>BS21210</t>
        </is>
      </c>
      <c r="C1404" t="inlineStr">
        <is>
          <t>Coal mining</t>
        </is>
      </c>
      <c r="D1404" t="n">
        <v>12924.9</v>
      </c>
      <c r="E1404">
        <f>IFERROR(VLOOKUP(B1404,Crosswalk!$A$2:$C$125,3,FALSE),"Unmapped")</f>
        <v/>
      </c>
    </row>
    <row r="1405">
      <c r="A1405" t="n">
        <v>2022</v>
      </c>
      <c r="B1405" t="inlineStr">
        <is>
          <t>BS21220</t>
        </is>
      </c>
      <c r="C1405" t="inlineStr">
        <is>
          <t>Metal ore mining</t>
        </is>
      </c>
      <c r="D1405" t="n">
        <v>38858.4</v>
      </c>
      <c r="E1405">
        <f>IFERROR(VLOOKUP(B1405,Crosswalk!$A$2:$C$125,3,FALSE),"Unmapped")</f>
        <v/>
      </c>
    </row>
    <row r="1406">
      <c r="A1406" t="n">
        <v>2022</v>
      </c>
      <c r="B1406" t="inlineStr">
        <is>
          <t>BS21230</t>
        </is>
      </c>
      <c r="C1406" t="inlineStr">
        <is>
          <t>Non-metallic mineral mining and quarrying</t>
        </is>
      </c>
      <c r="D1406" t="n">
        <v>25848</v>
      </c>
      <c r="E1406">
        <f>IFERROR(VLOOKUP(B1406,Crosswalk!$A$2:$C$125,3,FALSE),"Unmapped")</f>
        <v/>
      </c>
    </row>
    <row r="1407">
      <c r="A1407" t="n">
        <v>2022</v>
      </c>
      <c r="B1407" t="inlineStr">
        <is>
          <t>BS21300</t>
        </is>
      </c>
      <c r="C1407" t="inlineStr">
        <is>
          <t>Support activities for mining, and oil and gas extraction</t>
        </is>
      </c>
      <c r="D1407" t="n">
        <v>28217.7</v>
      </c>
      <c r="E1407">
        <f>IFERROR(VLOOKUP(B1407,Crosswalk!$A$2:$C$125,3,FALSE),"Unmapped")</f>
        <v/>
      </c>
    </row>
    <row r="1408">
      <c r="A1408" t="n">
        <v>2022</v>
      </c>
      <c r="B1408" t="inlineStr">
        <is>
          <t>BS22110</t>
        </is>
      </c>
      <c r="C1408" t="inlineStr">
        <is>
          <t>Electric power generation, transmission and distribution</t>
        </is>
      </c>
      <c r="D1408" t="n">
        <v>57951.2</v>
      </c>
      <c r="E1408">
        <f>IFERROR(VLOOKUP(B1408,Crosswalk!$A$2:$C$125,3,FALSE),"Unmapped")</f>
        <v/>
      </c>
    </row>
    <row r="1409">
      <c r="A1409" t="n">
        <v>2022</v>
      </c>
      <c r="B1409" t="inlineStr">
        <is>
          <t>BS221A0</t>
        </is>
      </c>
      <c r="C1409" t="inlineStr">
        <is>
          <t>Natural gas distribution, water, sewage and other systems</t>
        </is>
      </c>
      <c r="D1409" t="n">
        <v>8454.4</v>
      </c>
      <c r="E1409">
        <f>IFERROR(VLOOKUP(B1409,Crosswalk!$A$2:$C$125,3,FALSE),"Unmapped")</f>
        <v/>
      </c>
    </row>
    <row r="1410">
      <c r="A1410" t="n">
        <v>2022</v>
      </c>
      <c r="B1410" t="inlineStr">
        <is>
          <t>BS23A00</t>
        </is>
      </c>
      <c r="C1410" t="inlineStr">
        <is>
          <t>Residential building construction</t>
        </is>
      </c>
      <c r="D1410" t="n">
        <v>184060.3</v>
      </c>
      <c r="E1410">
        <f>IFERROR(VLOOKUP(B1410,Crosswalk!$A$2:$C$125,3,FALSE),"Unmapped")</f>
        <v/>
      </c>
    </row>
    <row r="1411">
      <c r="A1411" t="n">
        <v>2022</v>
      </c>
      <c r="B1411" t="inlineStr">
        <is>
          <t>BS23B00</t>
        </is>
      </c>
      <c r="C1411" t="inlineStr">
        <is>
          <t>Non-residential building construction</t>
        </is>
      </c>
      <c r="D1411" t="n">
        <v>66293.2</v>
      </c>
      <c r="E1411">
        <f>IFERROR(VLOOKUP(B1411,Crosswalk!$A$2:$C$125,3,FALSE),"Unmapped")</f>
        <v/>
      </c>
    </row>
    <row r="1412">
      <c r="A1412" t="n">
        <v>2022</v>
      </c>
      <c r="B1412" t="inlineStr">
        <is>
          <t>BS23C10</t>
        </is>
      </c>
      <c r="C1412" t="inlineStr">
        <is>
          <t>Transportation engineering construction</t>
        </is>
      </c>
      <c r="D1412" t="n">
        <v>30949.4</v>
      </c>
      <c r="E1412">
        <f>IFERROR(VLOOKUP(B1412,Crosswalk!$A$2:$C$125,3,FALSE),"Unmapped")</f>
        <v/>
      </c>
    </row>
    <row r="1413">
      <c r="A1413" t="n">
        <v>2022</v>
      </c>
      <c r="B1413" t="inlineStr">
        <is>
          <t>BS23C20</t>
        </is>
      </c>
      <c r="C1413" t="inlineStr">
        <is>
          <t>Oil and gas engineering construction</t>
        </is>
      </c>
      <c r="D1413" t="n">
        <v>56624.1</v>
      </c>
      <c r="E1413">
        <f>IFERROR(VLOOKUP(B1413,Crosswalk!$A$2:$C$125,3,FALSE),"Unmapped")</f>
        <v/>
      </c>
    </row>
    <row r="1414">
      <c r="A1414" t="n">
        <v>2022</v>
      </c>
      <c r="B1414" t="inlineStr">
        <is>
          <t>BS23C30</t>
        </is>
      </c>
      <c r="C1414" t="inlineStr">
        <is>
          <t>Electric power engineering construction</t>
        </is>
      </c>
      <c r="D1414" t="n">
        <v>21236.7</v>
      </c>
      <c r="E1414">
        <f>IFERROR(VLOOKUP(B1414,Crosswalk!$A$2:$C$125,3,FALSE),"Unmapped")</f>
        <v/>
      </c>
    </row>
    <row r="1415">
      <c r="A1415" t="n">
        <v>2022</v>
      </c>
      <c r="B1415" t="inlineStr">
        <is>
          <t>BS23C40</t>
        </is>
      </c>
      <c r="C1415" t="inlineStr">
        <is>
          <t>Communication engineering construction</t>
        </is>
      </c>
      <c r="D1415" t="n">
        <v>7088.2</v>
      </c>
      <c r="E1415">
        <f>IFERROR(VLOOKUP(B1415,Crosswalk!$A$2:$C$125,3,FALSE),"Unmapped")</f>
        <v/>
      </c>
    </row>
    <row r="1416">
      <c r="A1416" t="n">
        <v>2022</v>
      </c>
      <c r="B1416" t="inlineStr">
        <is>
          <t>BS23C50</t>
        </is>
      </c>
      <c r="C1416" t="inlineStr">
        <is>
          <t>Other engineering construction</t>
        </is>
      </c>
      <c r="D1416" t="n">
        <v>25045.5</v>
      </c>
      <c r="E1416">
        <f>IFERROR(VLOOKUP(B1416,Crosswalk!$A$2:$C$125,3,FALSE),"Unmapped")</f>
        <v/>
      </c>
    </row>
    <row r="1417">
      <c r="A1417" t="n">
        <v>2022</v>
      </c>
      <c r="B1417" t="inlineStr">
        <is>
          <t>BS23D00</t>
        </is>
      </c>
      <c r="C1417" t="inlineStr">
        <is>
          <t>Repair construction</t>
        </is>
      </c>
      <c r="D1417" t="n">
        <v>63658.3</v>
      </c>
      <c r="E1417">
        <f>IFERROR(VLOOKUP(B1417,Crosswalk!$A$2:$C$125,3,FALSE),"Unmapped")</f>
        <v/>
      </c>
    </row>
    <row r="1418">
      <c r="A1418" t="n">
        <v>2022</v>
      </c>
      <c r="B1418" t="inlineStr">
        <is>
          <t>BS23E00</t>
        </is>
      </c>
      <c r="C1418" t="inlineStr">
        <is>
          <t>Other activities of the construction industry</t>
        </is>
      </c>
      <c r="D1418" t="n">
        <v>4872.2</v>
      </c>
      <c r="E1418">
        <f>IFERROR(VLOOKUP(B1418,Crosswalk!$A$2:$C$125,3,FALSE),"Unmapped")</f>
        <v/>
      </c>
    </row>
    <row r="1419">
      <c r="A1419" t="n">
        <v>2022</v>
      </c>
      <c r="B1419" t="inlineStr">
        <is>
          <t>BS31110</t>
        </is>
      </c>
      <c r="C1419" t="inlineStr">
        <is>
          <t>Animal food manufacturing</t>
        </is>
      </c>
      <c r="D1419" t="n">
        <v>12450.1</v>
      </c>
      <c r="E1419">
        <f>IFERROR(VLOOKUP(B1419,Crosswalk!$A$2:$C$125,3,FALSE),"Unmapped")</f>
        <v/>
      </c>
    </row>
    <row r="1420">
      <c r="A1420" t="n">
        <v>2022</v>
      </c>
      <c r="B1420" t="inlineStr">
        <is>
          <t>BS31130</t>
        </is>
      </c>
      <c r="C1420" t="inlineStr">
        <is>
          <t>Sugar and confectionery product manufacturing</t>
        </is>
      </c>
      <c r="D1420" t="n">
        <v>6284.4</v>
      </c>
      <c r="E1420">
        <f>IFERROR(VLOOKUP(B1420,Crosswalk!$A$2:$C$125,3,FALSE),"Unmapped")</f>
        <v/>
      </c>
    </row>
    <row r="1421">
      <c r="A1421" t="n">
        <v>2022</v>
      </c>
      <c r="B1421" t="inlineStr">
        <is>
          <t>BS31140</t>
        </is>
      </c>
      <c r="C1421" t="inlineStr">
        <is>
          <t>Fruit and vegetable preserving and specialty food manufacturing</t>
        </is>
      </c>
      <c r="D1421" t="n">
        <v>10189.7</v>
      </c>
      <c r="E1421">
        <f>IFERROR(VLOOKUP(B1421,Crosswalk!$A$2:$C$125,3,FALSE),"Unmapped")</f>
        <v/>
      </c>
    </row>
    <row r="1422">
      <c r="A1422" t="n">
        <v>2022</v>
      </c>
      <c r="B1422" t="inlineStr">
        <is>
          <t>BS31150</t>
        </is>
      </c>
      <c r="C1422" t="inlineStr">
        <is>
          <t>Dairy product manufacturing</t>
        </is>
      </c>
      <c r="D1422" t="n">
        <v>20374.6</v>
      </c>
      <c r="E1422">
        <f>IFERROR(VLOOKUP(B1422,Crosswalk!$A$2:$C$125,3,FALSE),"Unmapped")</f>
        <v/>
      </c>
    </row>
    <row r="1423">
      <c r="A1423" t="n">
        <v>2022</v>
      </c>
      <c r="B1423" t="inlineStr">
        <is>
          <t>BS31160</t>
        </is>
      </c>
      <c r="C1423" t="inlineStr">
        <is>
          <t>Meat product manufacturing</t>
        </is>
      </c>
      <c r="D1423" t="n">
        <v>40726.6</v>
      </c>
      <c r="E1423">
        <f>IFERROR(VLOOKUP(B1423,Crosswalk!$A$2:$C$125,3,FALSE),"Unmapped")</f>
        <v/>
      </c>
    </row>
    <row r="1424">
      <c r="A1424" t="n">
        <v>2022</v>
      </c>
      <c r="B1424" t="inlineStr">
        <is>
          <t>BS31170</t>
        </is>
      </c>
      <c r="C1424" t="inlineStr">
        <is>
          <t>Seafood product preparation and packaging</t>
        </is>
      </c>
      <c r="D1424" t="n">
        <v>7353.1</v>
      </c>
      <c r="E1424">
        <f>IFERROR(VLOOKUP(B1424,Crosswalk!$A$2:$C$125,3,FALSE),"Unmapped")</f>
        <v/>
      </c>
    </row>
    <row r="1425">
      <c r="A1425" t="n">
        <v>2022</v>
      </c>
      <c r="B1425" t="inlineStr">
        <is>
          <t>BS311A0</t>
        </is>
      </c>
      <c r="C1425" t="inlineStr">
        <is>
          <t>Miscellaneous food manufacturing</t>
        </is>
      </c>
      <c r="D1425" t="n">
        <v>53603.6</v>
      </c>
      <c r="E1425">
        <f>IFERROR(VLOOKUP(B1425,Crosswalk!$A$2:$C$125,3,FALSE),"Unmapped")</f>
        <v/>
      </c>
    </row>
    <row r="1426">
      <c r="A1426" t="n">
        <v>2022</v>
      </c>
      <c r="B1426" t="inlineStr">
        <is>
          <t>BS31211</t>
        </is>
      </c>
      <c r="C1426" t="inlineStr">
        <is>
          <t>Soft drink and ice manufacturing</t>
        </is>
      </c>
      <c r="D1426" t="n">
        <v>5406.2</v>
      </c>
      <c r="E1426">
        <f>IFERROR(VLOOKUP(B1426,Crosswalk!$A$2:$C$125,3,FALSE),"Unmapped")</f>
        <v/>
      </c>
    </row>
    <row r="1427">
      <c r="A1427" t="n">
        <v>2022</v>
      </c>
      <c r="B1427" t="inlineStr">
        <is>
          <t>BS31212</t>
        </is>
      </c>
      <c r="C1427" t="inlineStr">
        <is>
          <t>Breweries</t>
        </is>
      </c>
      <c r="D1427" t="n">
        <v>5740.9</v>
      </c>
      <c r="E1427">
        <f>IFERROR(VLOOKUP(B1427,Crosswalk!$A$2:$C$125,3,FALSE),"Unmapped")</f>
        <v/>
      </c>
    </row>
    <row r="1428">
      <c r="A1428" t="n">
        <v>2022</v>
      </c>
      <c r="B1428" t="inlineStr">
        <is>
          <t>BS3121A</t>
        </is>
      </c>
      <c r="C1428" t="inlineStr">
        <is>
          <t>Wineries and distilleries</t>
        </is>
      </c>
      <c r="D1428" t="n">
        <v>3670.4</v>
      </c>
      <c r="E1428">
        <f>IFERROR(VLOOKUP(B1428,Crosswalk!$A$2:$C$125,3,FALSE),"Unmapped")</f>
        <v/>
      </c>
    </row>
    <row r="1429">
      <c r="A1429" t="n">
        <v>2022</v>
      </c>
      <c r="B1429" t="inlineStr">
        <is>
          <t>BS312A0</t>
        </is>
      </c>
      <c r="C1429" t="inlineStr">
        <is>
          <t>Tobacco and cannabis product manufacturing</t>
        </is>
      </c>
      <c r="D1429" t="n">
        <v>3929.8</v>
      </c>
      <c r="E1429">
        <f>IFERROR(VLOOKUP(B1429,Crosswalk!$A$2:$C$125,3,FALSE),"Unmapped")</f>
        <v/>
      </c>
    </row>
    <row r="1430">
      <c r="A1430" t="n">
        <v>2022</v>
      </c>
      <c r="B1430" t="inlineStr">
        <is>
          <t>BS31A00</t>
        </is>
      </c>
      <c r="C1430" t="inlineStr">
        <is>
          <t>Textile and textile product mills</t>
        </is>
      </c>
      <c r="D1430" t="n">
        <v>3977.1</v>
      </c>
      <c r="E1430">
        <f>IFERROR(VLOOKUP(B1430,Crosswalk!$A$2:$C$125,3,FALSE),"Unmapped")</f>
        <v/>
      </c>
    </row>
    <row r="1431">
      <c r="A1431" t="n">
        <v>2022</v>
      </c>
      <c r="B1431" t="inlineStr">
        <is>
          <t>BS31B00</t>
        </is>
      </c>
      <c r="C1431" t="inlineStr">
        <is>
          <t>Clothing and leather and allied product manufacturing</t>
        </is>
      </c>
      <c r="D1431" t="n">
        <v>3360.4</v>
      </c>
      <c r="E1431">
        <f>IFERROR(VLOOKUP(B1431,Crosswalk!$A$2:$C$125,3,FALSE),"Unmapped")</f>
        <v/>
      </c>
    </row>
    <row r="1432">
      <c r="A1432" t="n">
        <v>2022</v>
      </c>
      <c r="B1432" t="inlineStr">
        <is>
          <t>BS32100</t>
        </is>
      </c>
      <c r="C1432" t="inlineStr">
        <is>
          <t>Wood product manufacturing</t>
        </is>
      </c>
      <c r="D1432" t="n">
        <v>53769.1</v>
      </c>
      <c r="E1432">
        <f>IFERROR(VLOOKUP(B1432,Crosswalk!$A$2:$C$125,3,FALSE),"Unmapped")</f>
        <v/>
      </c>
    </row>
    <row r="1433">
      <c r="A1433" t="n">
        <v>2022</v>
      </c>
      <c r="B1433" t="inlineStr">
        <is>
          <t>BS32210</t>
        </is>
      </c>
      <c r="C1433" t="inlineStr">
        <is>
          <t>Pulp, paper and paperboard mills</t>
        </is>
      </c>
      <c r="D1433" t="n">
        <v>21287.7</v>
      </c>
      <c r="E1433">
        <f>IFERROR(VLOOKUP(B1433,Crosswalk!$A$2:$C$125,3,FALSE),"Unmapped")</f>
        <v/>
      </c>
    </row>
    <row r="1434">
      <c r="A1434" t="n">
        <v>2022</v>
      </c>
      <c r="B1434" t="inlineStr">
        <is>
          <t>BS32220</t>
        </is>
      </c>
      <c r="C1434" t="inlineStr">
        <is>
          <t>Converted paper product manufacturing</t>
        </is>
      </c>
      <c r="D1434" t="n">
        <v>14017.7</v>
      </c>
      <c r="E1434">
        <f>IFERROR(VLOOKUP(B1434,Crosswalk!$A$2:$C$125,3,FALSE),"Unmapped")</f>
        <v/>
      </c>
    </row>
    <row r="1435">
      <c r="A1435" t="n">
        <v>2022</v>
      </c>
      <c r="B1435" t="inlineStr">
        <is>
          <t>BS32300</t>
        </is>
      </c>
      <c r="C1435" t="inlineStr">
        <is>
          <t>Printing and related support activities</t>
        </is>
      </c>
      <c r="D1435" t="n">
        <v>8968.9</v>
      </c>
      <c r="E1435">
        <f>IFERROR(VLOOKUP(B1435,Crosswalk!$A$2:$C$125,3,FALSE),"Unmapped")</f>
        <v/>
      </c>
    </row>
    <row r="1436">
      <c r="A1436" t="n">
        <v>2022</v>
      </c>
      <c r="B1436" t="inlineStr">
        <is>
          <t>BS32400</t>
        </is>
      </c>
      <c r="C1436" t="inlineStr">
        <is>
          <t>Petroleum and coal product manufacturing</t>
        </is>
      </c>
      <c r="D1436" t="n">
        <v>120656.8</v>
      </c>
      <c r="E1436">
        <f>IFERROR(VLOOKUP(B1436,Crosswalk!$A$2:$C$125,3,FALSE),"Unmapped")</f>
        <v/>
      </c>
    </row>
    <row r="1437">
      <c r="A1437" t="n">
        <v>2022</v>
      </c>
      <c r="B1437" t="inlineStr">
        <is>
          <t>BS32510</t>
        </is>
      </c>
      <c r="C1437" t="inlineStr">
        <is>
          <t>Basic chemical manufacturing</t>
        </is>
      </c>
      <c r="D1437" t="n">
        <v>22758.8</v>
      </c>
      <c r="E1437">
        <f>IFERROR(VLOOKUP(B1437,Crosswalk!$A$2:$C$125,3,FALSE),"Unmapped")</f>
        <v/>
      </c>
    </row>
    <row r="1438">
      <c r="A1438" t="n">
        <v>2022</v>
      </c>
      <c r="B1438" t="inlineStr">
        <is>
          <t>BS32530</t>
        </is>
      </c>
      <c r="C1438" t="inlineStr">
        <is>
          <t>Pesticide, fertilizer and other agricultural chemical manufacturing</t>
        </is>
      </c>
      <c r="D1438" t="n">
        <v>9320</v>
      </c>
      <c r="E1438">
        <f>IFERROR(VLOOKUP(B1438,Crosswalk!$A$2:$C$125,3,FALSE),"Unmapped")</f>
        <v/>
      </c>
    </row>
    <row r="1439">
      <c r="A1439" t="n">
        <v>2022</v>
      </c>
      <c r="B1439" t="inlineStr">
        <is>
          <t>BS32540</t>
        </is>
      </c>
      <c r="C1439" t="inlineStr">
        <is>
          <t>Pharmaceutical and medicine manufacturing</t>
        </is>
      </c>
      <c r="D1439" t="n">
        <v>18191.1</v>
      </c>
      <c r="E1439">
        <f>IFERROR(VLOOKUP(B1439,Crosswalk!$A$2:$C$125,3,FALSE),"Unmapped")</f>
        <v/>
      </c>
    </row>
    <row r="1440">
      <c r="A1440" t="n">
        <v>2022</v>
      </c>
      <c r="B1440" t="inlineStr">
        <is>
          <t>BS325C0</t>
        </is>
      </c>
      <c r="C1440" t="inlineStr">
        <is>
          <t>Miscellaneous chemical product manufacturing</t>
        </is>
      </c>
      <c r="D1440" t="n">
        <v>29479.4</v>
      </c>
      <c r="E1440">
        <f>IFERROR(VLOOKUP(B1440,Crosswalk!$A$2:$C$125,3,FALSE),"Unmapped")</f>
        <v/>
      </c>
    </row>
    <row r="1441">
      <c r="A1441" t="n">
        <v>2022</v>
      </c>
      <c r="B1441" t="inlineStr">
        <is>
          <t>BS32610</t>
        </is>
      </c>
      <c r="C1441" t="inlineStr">
        <is>
          <t>Plastic product manufacturing</t>
        </is>
      </c>
      <c r="D1441" t="n">
        <v>34901.4</v>
      </c>
      <c r="E1441">
        <f>IFERROR(VLOOKUP(B1441,Crosswalk!$A$2:$C$125,3,FALSE),"Unmapped")</f>
        <v/>
      </c>
    </row>
    <row r="1442">
      <c r="A1442" t="n">
        <v>2022</v>
      </c>
      <c r="B1442" t="inlineStr">
        <is>
          <t>BS32620</t>
        </is>
      </c>
      <c r="C1442" t="inlineStr">
        <is>
          <t>Rubber product manufacturing</t>
        </is>
      </c>
      <c r="D1442" t="n">
        <v>6186.5</v>
      </c>
      <c r="E1442">
        <f>IFERROR(VLOOKUP(B1442,Crosswalk!$A$2:$C$125,3,FALSE),"Unmapped")</f>
        <v/>
      </c>
    </row>
    <row r="1443">
      <c r="A1443" t="n">
        <v>2022</v>
      </c>
      <c r="B1443" t="inlineStr">
        <is>
          <t>BS32730</t>
        </is>
      </c>
      <c r="C1443" t="inlineStr">
        <is>
          <t>Cement and concrete product manufacturing</t>
        </is>
      </c>
      <c r="D1443" t="n">
        <v>13703</v>
      </c>
      <c r="E1443">
        <f>IFERROR(VLOOKUP(B1443,Crosswalk!$A$2:$C$125,3,FALSE),"Unmapped")</f>
        <v/>
      </c>
    </row>
    <row r="1444">
      <c r="A1444" t="n">
        <v>2022</v>
      </c>
      <c r="B1444" t="inlineStr">
        <is>
          <t>BS327A0</t>
        </is>
      </c>
      <c r="C1444" t="inlineStr">
        <is>
          <t>Non-metallic mineral product manufacturing (except cement and concrete products)</t>
        </is>
      </c>
      <c r="D1444" t="n">
        <v>8883.799999999999</v>
      </c>
      <c r="E1444">
        <f>IFERROR(VLOOKUP(B1444,Crosswalk!$A$2:$C$125,3,FALSE),"Unmapped")</f>
        <v/>
      </c>
    </row>
    <row r="1445">
      <c r="A1445" t="n">
        <v>2022</v>
      </c>
      <c r="B1445" t="inlineStr">
        <is>
          <t>BS33100</t>
        </is>
      </c>
      <c r="C1445" t="inlineStr">
        <is>
          <t>Primary metal manufacturing</t>
        </is>
      </c>
      <c r="D1445" t="n">
        <v>103563.1</v>
      </c>
      <c r="E1445">
        <f>IFERROR(VLOOKUP(B1445,Crosswalk!$A$2:$C$125,3,FALSE),"Unmapped")</f>
        <v/>
      </c>
    </row>
    <row r="1446">
      <c r="A1446" t="n">
        <v>2022</v>
      </c>
      <c r="B1446" t="inlineStr">
        <is>
          <t>BS33200</t>
        </is>
      </c>
      <c r="C1446" t="inlineStr">
        <is>
          <t>Fabricated metal product manufacturing</t>
        </is>
      </c>
      <c r="D1446" t="n">
        <v>53339.7</v>
      </c>
      <c r="E1446">
        <f>IFERROR(VLOOKUP(B1446,Crosswalk!$A$2:$C$125,3,FALSE),"Unmapped")</f>
        <v/>
      </c>
    </row>
    <row r="1447">
      <c r="A1447" t="n">
        <v>2022</v>
      </c>
      <c r="B1447" t="inlineStr">
        <is>
          <t>BS33300</t>
        </is>
      </c>
      <c r="C1447" t="inlineStr">
        <is>
          <t>Machinery manufacturing</t>
        </is>
      </c>
      <c r="D1447" t="n">
        <v>53198.4</v>
      </c>
      <c r="E1447">
        <f>IFERROR(VLOOKUP(B1447,Crosswalk!$A$2:$C$125,3,FALSE),"Unmapped")</f>
        <v/>
      </c>
    </row>
    <row r="1448">
      <c r="A1448" t="n">
        <v>2022</v>
      </c>
      <c r="B1448" t="inlineStr">
        <is>
          <t>BS33400</t>
        </is>
      </c>
      <c r="C1448" t="inlineStr">
        <is>
          <t>Computer and electronic product manufacturing</t>
        </is>
      </c>
      <c r="D1448" t="n">
        <v>18497.9</v>
      </c>
      <c r="E1448">
        <f>IFERROR(VLOOKUP(B1448,Crosswalk!$A$2:$C$125,3,FALSE),"Unmapped")</f>
        <v/>
      </c>
    </row>
    <row r="1449">
      <c r="A1449" t="n">
        <v>2022</v>
      </c>
      <c r="B1449" t="inlineStr">
        <is>
          <t>BS33500</t>
        </is>
      </c>
      <c r="C1449" t="inlineStr">
        <is>
          <t>Electrical equipment, appliance and component manufacturing</t>
        </is>
      </c>
      <c r="D1449" t="n">
        <v>14124.5</v>
      </c>
      <c r="E1449">
        <f>IFERROR(VLOOKUP(B1449,Crosswalk!$A$2:$C$125,3,FALSE),"Unmapped")</f>
        <v/>
      </c>
    </row>
    <row r="1450">
      <c r="A1450" t="n">
        <v>2022</v>
      </c>
      <c r="B1450" t="inlineStr">
        <is>
          <t>BS33610</t>
        </is>
      </c>
      <c r="C1450" t="inlineStr">
        <is>
          <t>Motor vehicle manufacturing</t>
        </is>
      </c>
      <c r="D1450" t="n">
        <v>48126</v>
      </c>
      <c r="E1450">
        <f>IFERROR(VLOOKUP(B1450,Crosswalk!$A$2:$C$125,3,FALSE),"Unmapped")</f>
        <v/>
      </c>
    </row>
    <row r="1451">
      <c r="A1451" t="n">
        <v>2022</v>
      </c>
      <c r="B1451" t="inlineStr">
        <is>
          <t>BS33620</t>
        </is>
      </c>
      <c r="C1451" t="inlineStr">
        <is>
          <t>Motor vehicle body and trailer manufacturing</t>
        </is>
      </c>
      <c r="D1451" t="n">
        <v>4928.4</v>
      </c>
      <c r="E1451">
        <f>IFERROR(VLOOKUP(B1451,Crosswalk!$A$2:$C$125,3,FALSE),"Unmapped")</f>
        <v/>
      </c>
    </row>
    <row r="1452">
      <c r="A1452" t="n">
        <v>2022</v>
      </c>
      <c r="B1452" t="inlineStr">
        <is>
          <t>BS33630</t>
        </is>
      </c>
      <c r="C1452" t="inlineStr">
        <is>
          <t>Motor vehicle parts manufacturing</t>
        </is>
      </c>
      <c r="D1452" t="n">
        <v>34549.6</v>
      </c>
      <c r="E1452">
        <f>IFERROR(VLOOKUP(B1452,Crosswalk!$A$2:$C$125,3,FALSE),"Unmapped")</f>
        <v/>
      </c>
    </row>
    <row r="1453">
      <c r="A1453" t="n">
        <v>2022</v>
      </c>
      <c r="B1453" t="inlineStr">
        <is>
          <t>BS33640</t>
        </is>
      </c>
      <c r="C1453" t="inlineStr">
        <is>
          <t>Aerospace product and parts manufacturing</t>
        </is>
      </c>
      <c r="D1453" t="n">
        <v>22302.1</v>
      </c>
      <c r="E1453">
        <f>IFERROR(VLOOKUP(B1453,Crosswalk!$A$2:$C$125,3,FALSE),"Unmapped")</f>
        <v/>
      </c>
    </row>
    <row r="1454">
      <c r="A1454" t="n">
        <v>2022</v>
      </c>
      <c r="B1454" t="inlineStr">
        <is>
          <t>BS33650</t>
        </is>
      </c>
      <c r="C1454" t="inlineStr">
        <is>
          <t>Railroad rolling stock manufacturing</t>
        </is>
      </c>
      <c r="D1454" t="n">
        <v>2092.2</v>
      </c>
      <c r="E1454">
        <f>IFERROR(VLOOKUP(B1454,Crosswalk!$A$2:$C$125,3,FALSE),"Unmapped")</f>
        <v/>
      </c>
    </row>
    <row r="1455">
      <c r="A1455" t="n">
        <v>2022</v>
      </c>
      <c r="B1455" t="inlineStr">
        <is>
          <t>BS33660</t>
        </is>
      </c>
      <c r="C1455" t="inlineStr">
        <is>
          <t>Ship and boat building</t>
        </is>
      </c>
      <c r="D1455" t="n">
        <v>3590.5</v>
      </c>
      <c r="E1455">
        <f>IFERROR(VLOOKUP(B1455,Crosswalk!$A$2:$C$125,3,FALSE),"Unmapped")</f>
        <v/>
      </c>
    </row>
    <row r="1456">
      <c r="A1456" t="n">
        <v>2022</v>
      </c>
      <c r="B1456" t="inlineStr">
        <is>
          <t>BS33690</t>
        </is>
      </c>
      <c r="C1456" t="inlineStr">
        <is>
          <t>Other transportation equipment manufacturing</t>
        </is>
      </c>
      <c r="D1456" t="n">
        <v>5293.1</v>
      </c>
      <c r="E1456">
        <f>IFERROR(VLOOKUP(B1456,Crosswalk!$A$2:$C$125,3,FALSE),"Unmapped")</f>
        <v/>
      </c>
    </row>
    <row r="1457">
      <c r="A1457" t="n">
        <v>2022</v>
      </c>
      <c r="B1457" t="inlineStr">
        <is>
          <t>BS33700</t>
        </is>
      </c>
      <c r="C1457" t="inlineStr">
        <is>
          <t>Furniture and related product manufacturing</t>
        </is>
      </c>
      <c r="D1457" t="n">
        <v>16374.4</v>
      </c>
      <c r="E1457">
        <f>IFERROR(VLOOKUP(B1457,Crosswalk!$A$2:$C$125,3,FALSE),"Unmapped")</f>
        <v/>
      </c>
    </row>
    <row r="1458">
      <c r="A1458" t="n">
        <v>2022</v>
      </c>
      <c r="B1458" t="inlineStr">
        <is>
          <t>BS33900</t>
        </is>
      </c>
      <c r="C1458" t="inlineStr">
        <is>
          <t>Miscellaneous manufacturing</t>
        </is>
      </c>
      <c r="D1458" t="n">
        <v>18264.4</v>
      </c>
      <c r="E1458">
        <f>IFERROR(VLOOKUP(B1458,Crosswalk!$A$2:$C$125,3,FALSE),"Unmapped")</f>
        <v/>
      </c>
    </row>
    <row r="1459">
      <c r="A1459" t="n">
        <v>2022</v>
      </c>
      <c r="B1459" t="inlineStr">
        <is>
          <t>BS41000</t>
        </is>
      </c>
      <c r="C1459" t="inlineStr">
        <is>
          <t>Wholesale trade</t>
        </is>
      </c>
      <c r="D1459" t="n">
        <v>216443.3</v>
      </c>
      <c r="E1459">
        <f>IFERROR(VLOOKUP(B1459,Crosswalk!$A$2:$C$125,3,FALSE),"Unmapped")</f>
        <v/>
      </c>
    </row>
    <row r="1460">
      <c r="A1460" t="n">
        <v>2022</v>
      </c>
      <c r="B1460" t="inlineStr">
        <is>
          <t>BS459BL</t>
        </is>
      </c>
      <c r="C1460" t="inlineStr">
        <is>
          <t>Cannabis retailers (licensed)</t>
        </is>
      </c>
      <c r="D1460" t="n">
        <v>1103.3</v>
      </c>
      <c r="E1460">
        <f>IFERROR(VLOOKUP(B1460,Crosswalk!$A$2:$C$125,3,FALSE),"Unmapped")</f>
        <v/>
      </c>
    </row>
    <row r="1461">
      <c r="A1461" t="n">
        <v>2022</v>
      </c>
      <c r="B1461" t="inlineStr">
        <is>
          <t>BS459BU</t>
        </is>
      </c>
      <c r="C1461" t="inlineStr">
        <is>
          <t>Cannabis retailers (unlicensed)</t>
        </is>
      </c>
      <c r="D1461" t="n">
        <v>855.4</v>
      </c>
      <c r="E1461">
        <f>IFERROR(VLOOKUP(B1461,Crosswalk!$A$2:$C$125,3,FALSE),"Unmapped")</f>
        <v/>
      </c>
    </row>
    <row r="1462">
      <c r="A1462" t="n">
        <v>2022</v>
      </c>
      <c r="B1462" t="inlineStr">
        <is>
          <t>BS48100</t>
        </is>
      </c>
      <c r="C1462" t="inlineStr">
        <is>
          <t>Air transportation</t>
        </is>
      </c>
      <c r="D1462" t="n">
        <v>27614.7</v>
      </c>
      <c r="E1462">
        <f>IFERROR(VLOOKUP(B1462,Crosswalk!$A$2:$C$125,3,FALSE),"Unmapped")</f>
        <v/>
      </c>
    </row>
    <row r="1463">
      <c r="A1463" t="n">
        <v>2022</v>
      </c>
      <c r="B1463" t="inlineStr">
        <is>
          <t>BS48200</t>
        </is>
      </c>
      <c r="C1463" t="inlineStr">
        <is>
          <t>Rail transportation</t>
        </is>
      </c>
      <c r="D1463" t="n">
        <v>18879.8</v>
      </c>
      <c r="E1463">
        <f>IFERROR(VLOOKUP(B1463,Crosswalk!$A$2:$C$125,3,FALSE),"Unmapped")</f>
        <v/>
      </c>
    </row>
    <row r="1464">
      <c r="A1464" t="n">
        <v>2022</v>
      </c>
      <c r="B1464" t="inlineStr">
        <is>
          <t>BS48300</t>
        </is>
      </c>
      <c r="C1464" t="inlineStr">
        <is>
          <t>Water transportation</t>
        </is>
      </c>
      <c r="D1464" t="n">
        <v>5370.4</v>
      </c>
      <c r="E1464">
        <f>IFERROR(VLOOKUP(B1464,Crosswalk!$A$2:$C$125,3,FALSE),"Unmapped")</f>
        <v/>
      </c>
    </row>
    <row r="1465">
      <c r="A1465" t="n">
        <v>2022</v>
      </c>
      <c r="B1465" t="inlineStr">
        <is>
          <t>BS48400</t>
        </is>
      </c>
      <c r="C1465" t="inlineStr">
        <is>
          <t>Truck transportation</t>
        </is>
      </c>
      <c r="D1465" t="n">
        <v>96420.39999999999</v>
      </c>
      <c r="E1465">
        <f>IFERROR(VLOOKUP(B1465,Crosswalk!$A$2:$C$125,3,FALSE),"Unmapped")</f>
        <v/>
      </c>
    </row>
    <row r="1466">
      <c r="A1466" t="n">
        <v>2022</v>
      </c>
      <c r="B1466" t="inlineStr">
        <is>
          <t>BS48600</t>
        </is>
      </c>
      <c r="C1466" t="inlineStr">
        <is>
          <t>Pipeline transportation</t>
        </is>
      </c>
      <c r="D1466" t="n">
        <v>15870.1</v>
      </c>
      <c r="E1466">
        <f>IFERROR(VLOOKUP(B1466,Crosswalk!$A$2:$C$125,3,FALSE),"Unmapped")</f>
        <v/>
      </c>
    </row>
    <row r="1467">
      <c r="A1467" t="n">
        <v>2022</v>
      </c>
      <c r="B1467" t="inlineStr">
        <is>
          <t>BS48B00</t>
        </is>
      </c>
      <c r="C1467" t="inlineStr">
        <is>
          <t>Transit, ground passenger and scenic and sightseeing transportation, taxi and limousine service and support activities for transportation</t>
        </is>
      </c>
      <c r="D1467" t="n">
        <v>60568.2</v>
      </c>
      <c r="E1467">
        <f>IFERROR(VLOOKUP(B1467,Crosswalk!$A$2:$C$125,3,FALSE),"Unmapped")</f>
        <v/>
      </c>
    </row>
    <row r="1468">
      <c r="A1468" t="n">
        <v>2022</v>
      </c>
      <c r="B1468" t="inlineStr">
        <is>
          <t>BS49300</t>
        </is>
      </c>
      <c r="C1468" t="inlineStr">
        <is>
          <t>Warehousing and storage</t>
        </is>
      </c>
      <c r="D1468" t="n">
        <v>11190.3</v>
      </c>
      <c r="E1468">
        <f>IFERROR(VLOOKUP(B1468,Crosswalk!$A$2:$C$125,3,FALSE),"Unmapped")</f>
        <v/>
      </c>
    </row>
    <row r="1469">
      <c r="A1469" t="n">
        <v>2022</v>
      </c>
      <c r="B1469" t="inlineStr">
        <is>
          <t>BS49A00</t>
        </is>
      </c>
      <c r="C1469" t="inlineStr">
        <is>
          <t>Postal service, couriers and messengers</t>
        </is>
      </c>
      <c r="D1469" t="n">
        <v>27601.4</v>
      </c>
      <c r="E1469">
        <f>IFERROR(VLOOKUP(B1469,Crosswalk!$A$2:$C$125,3,FALSE),"Unmapped")</f>
        <v/>
      </c>
    </row>
    <row r="1470">
      <c r="A1470" t="n">
        <v>2022</v>
      </c>
      <c r="B1470" t="inlineStr">
        <is>
          <t>BS4AA00</t>
        </is>
      </c>
      <c r="C1470" t="inlineStr">
        <is>
          <t>Retail trade (except cannabis)</t>
        </is>
      </c>
      <c r="D1470" t="n">
        <v>202206.6</v>
      </c>
      <c r="E1470">
        <f>IFERROR(VLOOKUP(B1470,Crosswalk!$A$2:$C$125,3,FALSE),"Unmapped")</f>
        <v/>
      </c>
    </row>
    <row r="1471">
      <c r="A1471" t="n">
        <v>2022</v>
      </c>
      <c r="B1471" t="inlineStr">
        <is>
          <t>BS51200</t>
        </is>
      </c>
      <c r="C1471" t="inlineStr">
        <is>
          <t>Motion picture and sound recording industries</t>
        </is>
      </c>
      <c r="D1471" t="n">
        <v>16989.4</v>
      </c>
      <c r="E1471">
        <f>IFERROR(VLOOKUP(B1471,Crosswalk!$A$2:$C$125,3,FALSE),"Unmapped")</f>
        <v/>
      </c>
    </row>
    <row r="1472">
      <c r="A1472" t="n">
        <v>2022</v>
      </c>
      <c r="B1472" t="inlineStr">
        <is>
          <t>BS51610</t>
        </is>
      </c>
      <c r="C1472" t="inlineStr">
        <is>
          <t>Radio and television broadcasting stations</t>
        </is>
      </c>
      <c r="D1472" t="n">
        <v>2958.8</v>
      </c>
      <c r="E1472">
        <f>IFERROR(VLOOKUP(B1472,Crosswalk!$A$2:$C$125,3,FALSE),"Unmapped")</f>
        <v/>
      </c>
    </row>
    <row r="1473">
      <c r="A1473" t="n">
        <v>2022</v>
      </c>
      <c r="B1473" t="inlineStr">
        <is>
          <t>BS51B00</t>
        </is>
      </c>
      <c r="C1473" t="inlineStr">
        <is>
          <t>Publishing, pay/specialty services, telecommunications and other information services</t>
        </is>
      </c>
      <c r="D1473" t="n">
        <v>118086.6</v>
      </c>
      <c r="E1473">
        <f>IFERROR(VLOOKUP(B1473,Crosswalk!$A$2:$C$125,3,FALSE),"Unmapped")</f>
        <v/>
      </c>
    </row>
    <row r="1474">
      <c r="A1474" t="n">
        <v>2022</v>
      </c>
      <c r="B1474" t="inlineStr">
        <is>
          <t>BS52410</t>
        </is>
      </c>
      <c r="C1474" t="inlineStr">
        <is>
          <t>Insurance carriers</t>
        </is>
      </c>
      <c r="D1474" t="n">
        <v>62989.8</v>
      </c>
      <c r="E1474">
        <f>IFERROR(VLOOKUP(B1474,Crosswalk!$A$2:$C$125,3,FALSE),"Unmapped")</f>
        <v/>
      </c>
    </row>
    <row r="1475">
      <c r="A1475" t="n">
        <v>2022</v>
      </c>
      <c r="B1475" t="inlineStr">
        <is>
          <t>BS52B00</t>
        </is>
      </c>
      <c r="C1475" t="inlineStr">
        <is>
          <t>Depository credit intermediation and monetary authorities</t>
        </is>
      </c>
      <c r="D1475" t="n">
        <v>124743.5</v>
      </c>
      <c r="E1475">
        <f>IFERROR(VLOOKUP(B1475,Crosswalk!$A$2:$C$125,3,FALSE),"Unmapped")</f>
        <v/>
      </c>
    </row>
    <row r="1476">
      <c r="A1476" t="n">
        <v>2022</v>
      </c>
      <c r="B1476" t="inlineStr">
        <is>
          <t>BS53110</t>
        </is>
      </c>
      <c r="C1476" t="inlineStr">
        <is>
          <t>Lessors of real estate</t>
        </is>
      </c>
      <c r="D1476" t="n">
        <v>128484.4</v>
      </c>
      <c r="E1476">
        <f>IFERROR(VLOOKUP(B1476,Crosswalk!$A$2:$C$125,3,FALSE),"Unmapped")</f>
        <v/>
      </c>
    </row>
    <row r="1477">
      <c r="A1477" t="n">
        <v>2022</v>
      </c>
      <c r="B1477" t="inlineStr">
        <is>
          <t>BS5311A</t>
        </is>
      </c>
      <c r="C1477" t="inlineStr">
        <is>
          <t>Owner-occupied dwellings</t>
        </is>
      </c>
      <c r="D1477" t="n">
        <v>235939.6</v>
      </c>
      <c r="E1477">
        <f>IFERROR(VLOOKUP(B1477,Crosswalk!$A$2:$C$125,3,FALSE),"Unmapped")</f>
        <v/>
      </c>
    </row>
    <row r="1478">
      <c r="A1478" t="n">
        <v>2022</v>
      </c>
      <c r="B1478" t="inlineStr">
        <is>
          <t>BS53B00</t>
        </is>
      </c>
      <c r="C1478" t="inlineStr">
        <is>
          <t>Rental and leasing services and lessors of non-financial intangible assets (except copyrighted works)</t>
        </is>
      </c>
      <c r="D1478" t="n">
        <v>31744.1</v>
      </c>
      <c r="E1478">
        <f>IFERROR(VLOOKUP(B1478,Crosswalk!$A$2:$C$125,3,FALSE),"Unmapped")</f>
        <v/>
      </c>
    </row>
    <row r="1479">
      <c r="A1479" t="n">
        <v>2022</v>
      </c>
      <c r="B1479" t="inlineStr">
        <is>
          <t>BS54180</t>
        </is>
      </c>
      <c r="C1479" t="inlineStr">
        <is>
          <t>Advertising, public relations, and related services</t>
        </is>
      </c>
      <c r="D1479" t="n">
        <v>13207.9</v>
      </c>
      <c r="E1479">
        <f>IFERROR(VLOOKUP(B1479,Crosswalk!$A$2:$C$125,3,FALSE),"Unmapped")</f>
        <v/>
      </c>
    </row>
    <row r="1480">
      <c r="A1480" t="n">
        <v>2022</v>
      </c>
      <c r="B1480" t="inlineStr">
        <is>
          <t>BS541C0</t>
        </is>
      </c>
      <c r="C1480" t="inlineStr">
        <is>
          <t>Legal, accounting and architectural, engineering and related services</t>
        </is>
      </c>
      <c r="D1480" t="n">
        <v>105968.1</v>
      </c>
      <c r="E1480">
        <f>IFERROR(VLOOKUP(B1480,Crosswalk!$A$2:$C$125,3,FALSE),"Unmapped")</f>
        <v/>
      </c>
    </row>
    <row r="1481">
      <c r="A1481" t="n">
        <v>2022</v>
      </c>
      <c r="B1481" t="inlineStr">
        <is>
          <t>BS541D0</t>
        </is>
      </c>
      <c r="C1481" t="inlineStr">
        <is>
          <t>Computer systems design and other professional, scientific and technical services</t>
        </is>
      </c>
      <c r="D1481" t="n">
        <v>169299</v>
      </c>
      <c r="E1481">
        <f>IFERROR(VLOOKUP(B1481,Crosswalk!$A$2:$C$125,3,FALSE),"Unmapped")</f>
        <v/>
      </c>
    </row>
    <row r="1482">
      <c r="A1482" t="n">
        <v>2022</v>
      </c>
      <c r="B1482" t="inlineStr">
        <is>
          <t>BS56100</t>
        </is>
      </c>
      <c r="C1482" t="inlineStr">
        <is>
          <t>Administrative and support services</t>
        </is>
      </c>
      <c r="D1482" t="n">
        <v>101900.5</v>
      </c>
      <c r="E1482">
        <f>IFERROR(VLOOKUP(B1482,Crosswalk!$A$2:$C$125,3,FALSE),"Unmapped")</f>
        <v/>
      </c>
    </row>
    <row r="1483">
      <c r="A1483" t="n">
        <v>2022</v>
      </c>
      <c r="B1483" t="inlineStr">
        <is>
          <t>BS56200</t>
        </is>
      </c>
      <c r="C1483" t="inlineStr">
        <is>
          <t>Waste management and remediation services</t>
        </is>
      </c>
      <c r="D1483" t="n">
        <v>16267.7</v>
      </c>
      <c r="E1483">
        <f>IFERROR(VLOOKUP(B1483,Crosswalk!$A$2:$C$125,3,FALSE),"Unmapped")</f>
        <v/>
      </c>
    </row>
    <row r="1484">
      <c r="A1484" t="n">
        <v>2022</v>
      </c>
      <c r="B1484" t="inlineStr">
        <is>
          <t>BS5A000</t>
        </is>
      </c>
      <c r="C1484" t="inlineStr">
        <is>
          <t>Other finance, insurance and real estate services and management of companies and enterprises</t>
        </is>
      </c>
      <c r="D1484" t="n">
        <v>170559.5</v>
      </c>
      <c r="E1484">
        <f>IFERROR(VLOOKUP(B1484,Crosswalk!$A$2:$C$125,3,FALSE),"Unmapped")</f>
        <v/>
      </c>
    </row>
    <row r="1485">
      <c r="A1485" t="n">
        <v>2022</v>
      </c>
      <c r="B1485" t="inlineStr">
        <is>
          <t>BS61000</t>
        </is>
      </c>
      <c r="C1485" t="inlineStr">
        <is>
          <t>Educational services</t>
        </is>
      </c>
      <c r="D1485" t="n">
        <v>10477.9</v>
      </c>
      <c r="E1485">
        <f>IFERROR(VLOOKUP(B1485,Crosswalk!$A$2:$C$125,3,FALSE),"Unmapped")</f>
        <v/>
      </c>
    </row>
    <row r="1486">
      <c r="A1486" t="n">
        <v>2022</v>
      </c>
      <c r="B1486" t="inlineStr">
        <is>
          <t>BS62000</t>
        </is>
      </c>
      <c r="C1486" t="inlineStr">
        <is>
          <t>Health care and social assistance</t>
        </is>
      </c>
      <c r="D1486" t="n">
        <v>104015</v>
      </c>
      <c r="E1486">
        <f>IFERROR(VLOOKUP(B1486,Crosswalk!$A$2:$C$125,3,FALSE),"Unmapped")</f>
        <v/>
      </c>
    </row>
    <row r="1487">
      <c r="A1487" t="n">
        <v>2022</v>
      </c>
      <c r="B1487" t="inlineStr">
        <is>
          <t>BS71000</t>
        </is>
      </c>
      <c r="C1487" t="inlineStr">
        <is>
          <t>Arts, entertainment and recreation</t>
        </is>
      </c>
      <c r="D1487" t="n">
        <v>36150.9</v>
      </c>
      <c r="E1487">
        <f>IFERROR(VLOOKUP(B1487,Crosswalk!$A$2:$C$125,3,FALSE),"Unmapped")</f>
        <v/>
      </c>
    </row>
    <row r="1488">
      <c r="A1488" t="n">
        <v>2022</v>
      </c>
      <c r="B1488" t="inlineStr">
        <is>
          <t>BS72000</t>
        </is>
      </c>
      <c r="C1488" t="inlineStr">
        <is>
          <t>Accommodation and food services</t>
        </is>
      </c>
      <c r="D1488" t="n">
        <v>115040.3</v>
      </c>
      <c r="E1488">
        <f>IFERROR(VLOOKUP(B1488,Crosswalk!$A$2:$C$125,3,FALSE),"Unmapped")</f>
        <v/>
      </c>
    </row>
    <row r="1489">
      <c r="A1489" t="n">
        <v>2022</v>
      </c>
      <c r="B1489" t="inlineStr">
        <is>
          <t>BS81100</t>
        </is>
      </c>
      <c r="C1489" t="inlineStr">
        <is>
          <t>Repair and maintenance</t>
        </is>
      </c>
      <c r="D1489" t="n">
        <v>30626.9</v>
      </c>
      <c r="E1489">
        <f>IFERROR(VLOOKUP(B1489,Crosswalk!$A$2:$C$125,3,FALSE),"Unmapped")</f>
        <v/>
      </c>
    </row>
    <row r="1490">
      <c r="A1490" t="n">
        <v>2022</v>
      </c>
      <c r="B1490" t="inlineStr">
        <is>
          <t>BS81300</t>
        </is>
      </c>
      <c r="C1490" t="inlineStr">
        <is>
          <t>Business, professional and other membership organizations</t>
        </is>
      </c>
      <c r="D1490" t="n">
        <v>8212</v>
      </c>
      <c r="E1490">
        <f>IFERROR(VLOOKUP(B1490,Crosswalk!$A$2:$C$125,3,FALSE),"Unmapped")</f>
        <v/>
      </c>
    </row>
    <row r="1491">
      <c r="A1491" t="n">
        <v>2022</v>
      </c>
      <c r="B1491" t="inlineStr">
        <is>
          <t>BS81A00</t>
        </is>
      </c>
      <c r="C1491" t="inlineStr">
        <is>
          <t>Personal services and private households</t>
        </is>
      </c>
      <c r="D1491" t="n">
        <v>22206.8</v>
      </c>
      <c r="E1491">
        <f>IFERROR(VLOOKUP(B1491,Crosswalk!$A$2:$C$125,3,FALSE),"Unmapped")</f>
        <v/>
      </c>
    </row>
    <row r="1492">
      <c r="A1492" t="n">
        <v>2022</v>
      </c>
      <c r="B1492" t="inlineStr">
        <is>
          <t>GS61130</t>
        </is>
      </c>
      <c r="C1492" t="inlineStr">
        <is>
          <t>Universities</t>
        </is>
      </c>
      <c r="D1492" t="n">
        <v>53876</v>
      </c>
      <c r="E1492">
        <f>IFERROR(VLOOKUP(B1492,Crosswalk!$A$2:$C$125,3,FALSE),"Unmapped")</f>
        <v/>
      </c>
    </row>
    <row r="1493">
      <c r="A1493" t="n">
        <v>2022</v>
      </c>
      <c r="B1493" t="inlineStr">
        <is>
          <t>GS611B0</t>
        </is>
      </c>
      <c r="C1493" t="inlineStr">
        <is>
          <t>Educational services (except universities)</t>
        </is>
      </c>
      <c r="D1493" t="n">
        <v>91487</v>
      </c>
      <c r="E1493">
        <f>IFERROR(VLOOKUP(B1493,Crosswalk!$A$2:$C$125,3,FALSE),"Unmapped")</f>
        <v/>
      </c>
    </row>
    <row r="1494">
      <c r="A1494" t="n">
        <v>2022</v>
      </c>
      <c r="B1494" t="inlineStr">
        <is>
          <t>GS62300</t>
        </is>
      </c>
      <c r="C1494" t="inlineStr">
        <is>
          <t>Nursing and residential care facilities</t>
        </is>
      </c>
      <c r="D1494" t="n">
        <v>23083.8</v>
      </c>
      <c r="E1494">
        <f>IFERROR(VLOOKUP(B1494,Crosswalk!$A$2:$C$125,3,FALSE),"Unmapped")</f>
        <v/>
      </c>
    </row>
    <row r="1495">
      <c r="A1495" t="n">
        <v>2022</v>
      </c>
      <c r="B1495" t="inlineStr">
        <is>
          <t>GS62B00</t>
        </is>
      </c>
      <c r="C1495" t="inlineStr">
        <is>
          <t>Health care and social assistance (except nursing and residential care facilities)</t>
        </is>
      </c>
      <c r="D1495" t="n">
        <v>133416.6</v>
      </c>
      <c r="E1495">
        <f>IFERROR(VLOOKUP(B1495,Crosswalk!$A$2:$C$125,3,FALSE),"Unmapped")</f>
        <v/>
      </c>
    </row>
    <row r="1496">
      <c r="A1496" t="n">
        <v>2022</v>
      </c>
      <c r="B1496" t="inlineStr">
        <is>
          <t>GS91100</t>
        </is>
      </c>
      <c r="C1496" t="inlineStr">
        <is>
          <t>Other federal government services</t>
        </is>
      </c>
      <c r="D1496" t="n">
        <v>115254.4</v>
      </c>
      <c r="E1496">
        <f>IFERROR(VLOOKUP(B1496,Crosswalk!$A$2:$C$125,3,FALSE),"Unmapped")</f>
        <v/>
      </c>
    </row>
    <row r="1497">
      <c r="A1497" t="n">
        <v>2022</v>
      </c>
      <c r="B1497" t="inlineStr">
        <is>
          <t>GS91200</t>
        </is>
      </c>
      <c r="C1497" t="inlineStr">
        <is>
          <t>Other provincial and territorial government services</t>
        </is>
      </c>
      <c r="D1497" t="n">
        <v>158370.8</v>
      </c>
      <c r="E1497">
        <f>IFERROR(VLOOKUP(B1497,Crosswalk!$A$2:$C$125,3,FALSE),"Unmapped")</f>
        <v/>
      </c>
    </row>
    <row r="1498">
      <c r="A1498" t="n">
        <v>2022</v>
      </c>
      <c r="B1498" t="inlineStr">
        <is>
          <t>GS91300</t>
        </is>
      </c>
      <c r="C1498" t="inlineStr">
        <is>
          <t>Other municipal government services</t>
        </is>
      </c>
      <c r="D1498" t="n">
        <v>109535.5</v>
      </c>
      <c r="E1498">
        <f>IFERROR(VLOOKUP(B1498,Crosswalk!$A$2:$C$125,3,FALSE),"Unmapped")</f>
        <v/>
      </c>
    </row>
    <row r="1499">
      <c r="A1499" t="n">
        <v>2022</v>
      </c>
      <c r="B1499" t="inlineStr">
        <is>
          <t>GS91400</t>
        </is>
      </c>
      <c r="C1499" t="inlineStr">
        <is>
          <t>Other Indigenous government services</t>
        </is>
      </c>
      <c r="D1499" t="n">
        <v>20209.6</v>
      </c>
      <c r="E1499">
        <f>IFERROR(VLOOKUP(B1499,Crosswalk!$A$2:$C$125,3,FALSE),"Unmapped")</f>
        <v/>
      </c>
    </row>
    <row r="1500">
      <c r="A1500" t="n">
        <v>2022</v>
      </c>
      <c r="B1500" t="inlineStr">
        <is>
          <t>NP61000</t>
        </is>
      </c>
      <c r="C1500" t="inlineStr">
        <is>
          <t>Educational services</t>
        </is>
      </c>
      <c r="D1500" t="n">
        <v>6789.7</v>
      </c>
      <c r="E1500">
        <f>IFERROR(VLOOKUP(B1500,Crosswalk!$A$2:$C$125,3,FALSE),"Unmapped")</f>
        <v/>
      </c>
    </row>
    <row r="1501">
      <c r="A1501" t="n">
        <v>2022</v>
      </c>
      <c r="B1501" t="inlineStr">
        <is>
          <t>NP62400</t>
        </is>
      </c>
      <c r="C1501" t="inlineStr">
        <is>
          <t>Social assistance</t>
        </is>
      </c>
      <c r="D1501" t="n">
        <v>15895.4</v>
      </c>
      <c r="E1501">
        <f>IFERROR(VLOOKUP(B1501,Crosswalk!$A$2:$C$125,3,FALSE),"Unmapped")</f>
        <v/>
      </c>
    </row>
    <row r="1502">
      <c r="A1502" t="n">
        <v>2022</v>
      </c>
      <c r="B1502" t="inlineStr">
        <is>
          <t>NP71000</t>
        </is>
      </c>
      <c r="C1502" t="inlineStr">
        <is>
          <t>Arts, entertainment and recreation</t>
        </is>
      </c>
      <c r="D1502" t="n">
        <v>2869.7</v>
      </c>
      <c r="E1502">
        <f>IFERROR(VLOOKUP(B1502,Crosswalk!$A$2:$C$125,3,FALSE),"Unmapped")</f>
        <v/>
      </c>
    </row>
    <row r="1503">
      <c r="A1503" t="n">
        <v>2022</v>
      </c>
      <c r="B1503" t="inlineStr">
        <is>
          <t>NP81310</t>
        </is>
      </c>
      <c r="C1503" t="inlineStr">
        <is>
          <t>Religious organizations</t>
        </is>
      </c>
      <c r="D1503" t="n">
        <v>6754.2</v>
      </c>
      <c r="E1503">
        <f>IFERROR(VLOOKUP(B1503,Crosswalk!$A$2:$C$125,3,FALSE),"Unmapped")</f>
        <v/>
      </c>
    </row>
    <row r="1504">
      <c r="A1504" t="n">
        <v>2022</v>
      </c>
      <c r="B1504" t="inlineStr">
        <is>
          <t>NPA0000</t>
        </is>
      </c>
      <c r="C1504" t="inlineStr">
        <is>
          <t>Miscellaneous non-profit institutions serving households</t>
        </is>
      </c>
      <c r="D1504" t="n">
        <v>29902</v>
      </c>
      <c r="E1504">
        <f>IFERROR(VLOOKUP(B1504,Crosswalk!$A$2:$C$125,3,FALSE),"Unmapped")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Year</t>
        </is>
      </c>
      <c r="B1" s="8" t="inlineStr">
        <is>
          <t>Total, industries (kt)</t>
        </is>
      </c>
      <c r="C1" s="8" t="inlineStr">
        <is>
          <t>Total, households (kt)</t>
        </is>
      </c>
      <c r="D1" s="8" t="inlineStr">
        <is>
          <t>Total, industries and households (kt)</t>
        </is>
      </c>
      <c r="E1" s="8" t="inlineStr">
        <is>
          <t>UNFCCC submission total (kt)</t>
        </is>
      </c>
      <c r="F1" s="8" t="inlineStr">
        <is>
          <t>Published reconciliation with UNFCCC (kt)</t>
        </is>
      </c>
    </row>
    <row r="2">
      <c r="A2" t="n">
        <v>2009</v>
      </c>
      <c r="B2" t="n">
        <v>633252</v>
      </c>
      <c r="C2" t="n">
        <v>125283</v>
      </c>
      <c r="D2" t="n">
        <v>758535</v>
      </c>
      <c r="E2" t="n">
        <v>714217</v>
      </c>
      <c r="F2" t="n">
        <v>-44321</v>
      </c>
    </row>
    <row r="3">
      <c r="A3" t="n">
        <v>2010</v>
      </c>
      <c r="B3" t="n">
        <v>649007</v>
      </c>
      <c r="C3" t="n">
        <v>125377</v>
      </c>
      <c r="D3" t="n">
        <v>774383</v>
      </c>
      <c r="E3" t="n">
        <v>728027</v>
      </c>
      <c r="F3" t="n">
        <v>-46355</v>
      </c>
    </row>
    <row r="4">
      <c r="A4" t="n">
        <v>2011</v>
      </c>
      <c r="B4" t="n">
        <v>657444</v>
      </c>
      <c r="C4" t="n">
        <v>129020</v>
      </c>
      <c r="D4" t="n">
        <v>786464</v>
      </c>
      <c r="E4" t="n">
        <v>737732</v>
      </c>
      <c r="F4" t="n">
        <v>-48731</v>
      </c>
    </row>
    <row r="5">
      <c r="A5" t="n">
        <v>2012</v>
      </c>
      <c r="B5" t="n">
        <v>661310</v>
      </c>
      <c r="C5" t="n">
        <v>124925</v>
      </c>
      <c r="D5" t="n">
        <v>786235</v>
      </c>
      <c r="E5" t="n">
        <v>741163</v>
      </c>
      <c r="F5" t="n">
        <v>-45072</v>
      </c>
    </row>
    <row r="6">
      <c r="A6" t="n">
        <v>2013</v>
      </c>
      <c r="B6" t="n">
        <v>666162</v>
      </c>
      <c r="C6" t="n">
        <v>131500</v>
      </c>
      <c r="D6" t="n">
        <v>797662</v>
      </c>
      <c r="E6" t="n">
        <v>750044</v>
      </c>
      <c r="F6" t="n">
        <v>-47618</v>
      </c>
    </row>
    <row r="7">
      <c r="A7" t="n">
        <v>2014</v>
      </c>
      <c r="B7" t="n">
        <v>669007</v>
      </c>
      <c r="C7" t="n">
        <v>129489</v>
      </c>
      <c r="D7" t="n">
        <v>798496</v>
      </c>
      <c r="E7" t="n">
        <v>747495</v>
      </c>
      <c r="F7" t="n">
        <v>-50999</v>
      </c>
    </row>
    <row r="8">
      <c r="A8" t="n">
        <v>2015</v>
      </c>
      <c r="B8" t="n">
        <v>666209</v>
      </c>
      <c r="C8" t="n">
        <v>128732</v>
      </c>
      <c r="D8" t="n">
        <v>794941</v>
      </c>
      <c r="E8" t="n">
        <v>742044</v>
      </c>
      <c r="F8" t="n">
        <v>-52896</v>
      </c>
    </row>
    <row r="9">
      <c r="A9" t="n">
        <v>2016</v>
      </c>
      <c r="B9" t="n">
        <v>643007</v>
      </c>
      <c r="C9" t="n">
        <v>126859</v>
      </c>
      <c r="D9" t="n">
        <v>769866</v>
      </c>
      <c r="E9" t="n">
        <v>724909</v>
      </c>
      <c r="F9" t="n">
        <v>-44957</v>
      </c>
    </row>
    <row r="10">
      <c r="A10" t="n">
        <v>2017</v>
      </c>
      <c r="B10" t="n">
        <v>658947</v>
      </c>
      <c r="C10" t="n">
        <v>129916</v>
      </c>
      <c r="D10" t="n">
        <v>788862</v>
      </c>
      <c r="E10" t="n">
        <v>737607</v>
      </c>
      <c r="F10" t="n">
        <v>-51256</v>
      </c>
    </row>
    <row r="11">
      <c r="A11" t="n">
        <v>2018</v>
      </c>
      <c r="B11" t="n">
        <v>665283</v>
      </c>
      <c r="C11" t="n">
        <v>132475</v>
      </c>
      <c r="D11" t="n">
        <v>797758</v>
      </c>
      <c r="E11" t="n">
        <v>747051</v>
      </c>
      <c r="F11" t="n">
        <v>-50708</v>
      </c>
    </row>
    <row r="12">
      <c r="A12" t="n">
        <v>2019</v>
      </c>
      <c r="B12" t="n">
        <v>660522</v>
      </c>
      <c r="C12" t="n">
        <v>133581</v>
      </c>
      <c r="D12" t="n">
        <v>794102</v>
      </c>
      <c r="E12" t="n">
        <v>747308</v>
      </c>
      <c r="F12" t="n">
        <v>-46797</v>
      </c>
    </row>
    <row r="13">
      <c r="A13" t="n">
        <v>2020</v>
      </c>
      <c r="B13" t="n">
        <v>598721</v>
      </c>
      <c r="C13" t="n">
        <v>111281</v>
      </c>
      <c r="D13" t="n">
        <v>710002</v>
      </c>
      <c r="E13" t="n">
        <v>682283</v>
      </c>
      <c r="F13" t="n">
        <v>-27718</v>
      </c>
    </row>
    <row r="14">
      <c r="A14" t="n">
        <v>2021</v>
      </c>
      <c r="B14" t="n">
        <v>615378</v>
      </c>
      <c r="C14" t="n">
        <v>110492</v>
      </c>
      <c r="D14" t="n">
        <v>725870</v>
      </c>
      <c r="E14" t="n">
        <v>693574</v>
      </c>
      <c r="F14" t="n">
        <v>-32295</v>
      </c>
    </row>
    <row r="15">
      <c r="A15" t="n">
        <v>2022</v>
      </c>
      <c r="B15" t="n">
        <v>623320</v>
      </c>
      <c r="C15" t="n">
        <v>114987</v>
      </c>
      <c r="D15" t="n">
        <v>738307</v>
      </c>
      <c r="E15" t="n">
        <v>699899</v>
      </c>
      <c r="F15" t="n">
        <v>-38409</v>
      </c>
    </row>
    <row r="16">
      <c r="A16" t="n">
        <v>2023</v>
      </c>
      <c r="B16" t="n">
        <v>619036</v>
      </c>
      <c r="C16" t="n">
        <v>112269</v>
      </c>
      <c r="D16" t="n">
        <v>731305</v>
      </c>
      <c r="E16" t="n">
        <v>693912</v>
      </c>
      <c r="F16" t="n">
        <v>-37394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2026-10-06T01:52:36Z</dcterms:created>
  <dcterms:modified xmlns:dcterms="http://purl.org/dc/terms/" xmlns:xsi="http://www.w3.org/2001/XMLSchema-instance" xsi:type="dcterms:W3CDTF">2026-10-06T01:52:36Z</dcterms:modified>
</cp:coreProperties>
</file>